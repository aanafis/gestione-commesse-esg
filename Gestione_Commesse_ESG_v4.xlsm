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prismabusiness-my.sharepoint.com/personal/aanafi_ilprisma_com/Documents/Desktop/ESG_GESTIONE_COMMESSE/"/>
    </mc:Choice>
  </mc:AlternateContent>
  <xr:revisionPtr revIDLastSave="1088" documentId="8_{F3BCB384-AED1-4928-981F-AA31007752F7}" xr6:coauthVersionLast="47" xr6:coauthVersionMax="47" xr10:uidLastSave="{5713E5FC-8EA1-4280-8DE0-2A05CE432ADC}"/>
  <bookViews>
    <workbookView xWindow="-108" yWindow="-108" windowWidth="23256" windowHeight="13896" tabRatio="500" firstSheet="8" activeTab="13" xr2:uid="{00000000-000D-0000-FFFF-FFFF00000000}"/>
  </bookViews>
  <sheets>
    <sheet name="ISTRUZIONI" sheetId="1" r:id="rId1"/>
    <sheet name="MASCHERA" sheetId="2" r:id="rId2"/>
    <sheet name="DASHBOARD" sheetId="3" r:id="rId3"/>
    <sheet name="CONTROLLO_ORE" sheetId="4" r:id="rId4"/>
    <sheet name="COMMESSE" sheetId="5" r:id="rId5"/>
    <sheet name="SERVIZI" sheetId="6" r:id="rId6"/>
    <sheet name="ASSEGNAZIONI" sheetId="7" r:id="rId7"/>
    <sheet name="FASI" sheetId="8" r:id="rId8"/>
    <sheet name="SAL" sheetId="9" r:id="rId9"/>
    <sheet name="ODA" sheetId="10" r:id="rId10"/>
    <sheet name="ORE" sheetId="11" r:id="rId11"/>
    <sheet name="PREVISIONE_ORE" sheetId="12" r:id="rId12"/>
    <sheet name="TEAM" sheetId="13" r:id="rId13"/>
    <sheet name="FORNITORI" sheetId="14" r:id="rId14"/>
    <sheet name="OFFERTE" sheetId="15" r:id="rId15"/>
    <sheet name="TEMPLATE_FASI" sheetId="16" r:id="rId16"/>
    <sheet name="LISTE" sheetId="17" r:id="rId17"/>
    <sheet name="CODICE_VBA" sheetId="18" r:id="rId18"/>
  </sheets>
  <definedNames>
    <definedName name="ALLERTA_ORE">LISTE!$P$20</definedName>
    <definedName name="CATEGORIE">OFFSET(LISTE!$D$2,0,0,COUNTA(LISTE!$D$2:$D$100),1)</definedName>
    <definedName name="GIORNI_PAG">LISTE!$P$22</definedName>
    <definedName name="L_LIVELLO">OFFSET(LISTE!$M$3,0,0,COUNTA(LISTE!$M$3:$M$50),1)</definedName>
    <definedName name="L_PERSONA">OFFSET(TEAM!$A$2,0,0,COUNTA(TEAM!$A$2:$A$100),1)</definedName>
    <definedName name="L_RUOLO">OFFSET(LISTE!$K$2,0,0,COUNTA(LISTE!$K$2:$K$100),1)</definedName>
    <definedName name="L_SERVIZIO">OFFSET(LISTE!$B$2,0,0,COUNTA(LISTE!$B$2:$B$100),1)</definedName>
    <definedName name="L_STATO">OFFSET(LISTE!$A$2,0,0,COUNTA(LISTE!$A$2:$A$100),1)</definedName>
    <definedName name="L_STATO_INCASSO">OFFSET(LISTE!$G$2,0,0,COUNTA(LISTE!$G$2:$G$100),1)</definedName>
    <definedName name="L_STATO_ODA">OFFSET(LISTE!$C$2,0,0,COUNTA(LISTE!$C$2:$C$100),1)</definedName>
    <definedName name="L_STATO_OFFERTA">OFFSET(LISTE!$F$2,0,0,COUNTA(LISTE!$F$2:$F$100),1)</definedName>
    <definedName name="L_TEMPLATE">OFFSET(LISTE!$E$2,0,0,COUNTA(LISTE!$E$2:$E$100),1)</definedName>
    <definedName name="L_TIPO_SAL">OFFSET(LISTE!$I$2,0,0,COUNTA(LISTE!$I$2:$I$100),1)</definedName>
    <definedName name="MARKUP_DEF">LISTE!$P$17</definedName>
    <definedName name="SCONTO_MAX">LISTE!$P$21</definedName>
    <definedName name="SOGLIA_DIR">LISTE!$P$19</definedName>
    <definedName name="SOGLIA_PM">LISTE!$P$18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" l="1"/>
  <c r="G34" i="3"/>
  <c r="E34" i="3"/>
  <c r="D34" i="3"/>
  <c r="C34" i="3"/>
  <c r="H3" i="12"/>
  <c r="H2" i="12"/>
  <c r="F11" i="3"/>
  <c r="U3" i="10"/>
  <c r="V3" i="10"/>
  <c r="U4" i="10"/>
  <c r="V4" i="10"/>
  <c r="U5" i="10"/>
  <c r="V5" i="10"/>
  <c r="U6" i="10"/>
  <c r="V6" i="10"/>
  <c r="U7" i="10"/>
  <c r="V7" i="10"/>
  <c r="U8" i="10"/>
  <c r="V8" i="10"/>
  <c r="U9" i="10"/>
  <c r="V9" i="10"/>
  <c r="U10" i="10"/>
  <c r="V10" i="10"/>
  <c r="U11" i="10"/>
  <c r="V11" i="10"/>
  <c r="U12" i="10"/>
  <c r="V12" i="10"/>
  <c r="U13" i="10"/>
  <c r="V13" i="10"/>
  <c r="U14" i="10"/>
  <c r="V14" i="10"/>
  <c r="U15" i="10"/>
  <c r="V15" i="10"/>
  <c r="U16" i="10"/>
  <c r="V16" i="10"/>
  <c r="U17" i="10"/>
  <c r="V17" i="10"/>
  <c r="U18" i="10"/>
  <c r="V18" i="10"/>
  <c r="U19" i="10"/>
  <c r="V19" i="10"/>
  <c r="U20" i="10"/>
  <c r="V20" i="10"/>
  <c r="U21" i="10"/>
  <c r="V21" i="10"/>
  <c r="U22" i="10"/>
  <c r="V22" i="10"/>
  <c r="U23" i="10"/>
  <c r="V23" i="10"/>
  <c r="U24" i="10"/>
  <c r="V24" i="10"/>
  <c r="U25" i="10"/>
  <c r="V25" i="10"/>
  <c r="U26" i="10"/>
  <c r="V26" i="10"/>
  <c r="U27" i="10"/>
  <c r="V27" i="10"/>
  <c r="U28" i="10"/>
  <c r="V28" i="10"/>
  <c r="U29" i="10"/>
  <c r="V29" i="10"/>
  <c r="U30" i="10"/>
  <c r="V30" i="10"/>
  <c r="U31" i="10"/>
  <c r="V31" i="10"/>
  <c r="U32" i="10"/>
  <c r="V32" i="10"/>
  <c r="U33" i="10"/>
  <c r="V33" i="10"/>
  <c r="U34" i="10"/>
  <c r="V34" i="10"/>
  <c r="U35" i="10"/>
  <c r="V35" i="10"/>
  <c r="U36" i="10"/>
  <c r="V36" i="10"/>
  <c r="U37" i="10"/>
  <c r="V37" i="10"/>
  <c r="U38" i="10"/>
  <c r="V38" i="10"/>
  <c r="U39" i="10"/>
  <c r="V39" i="10"/>
  <c r="U40" i="10"/>
  <c r="V40" i="10"/>
  <c r="U41" i="10"/>
  <c r="V41" i="10"/>
  <c r="U42" i="10"/>
  <c r="V42" i="10"/>
  <c r="U43" i="10"/>
  <c r="V43" i="10"/>
  <c r="U44" i="10"/>
  <c r="V44" i="10"/>
  <c r="U45" i="10"/>
  <c r="V45" i="10"/>
  <c r="U46" i="10"/>
  <c r="V46" i="10"/>
  <c r="U47" i="10"/>
  <c r="V47" i="10"/>
  <c r="U48" i="10"/>
  <c r="V48" i="10"/>
  <c r="U49" i="10"/>
  <c r="V49" i="10"/>
  <c r="U50" i="10"/>
  <c r="V50" i="10"/>
  <c r="U51" i="10"/>
  <c r="V51" i="10"/>
  <c r="U52" i="10"/>
  <c r="V52" i="10"/>
  <c r="U53" i="10"/>
  <c r="V53" i="10"/>
  <c r="U54" i="10"/>
  <c r="V54" i="10"/>
  <c r="U55" i="10"/>
  <c r="V55" i="10"/>
  <c r="U56" i="10"/>
  <c r="V56" i="10"/>
  <c r="U57" i="10"/>
  <c r="V57" i="10"/>
  <c r="U58" i="10"/>
  <c r="V58" i="10"/>
  <c r="U59" i="10"/>
  <c r="V59" i="10"/>
  <c r="U60" i="10"/>
  <c r="V60" i="10"/>
  <c r="U61" i="10"/>
  <c r="V61" i="10"/>
  <c r="U62" i="10"/>
  <c r="V62" i="10"/>
  <c r="U63" i="10"/>
  <c r="V63" i="10"/>
  <c r="U64" i="10"/>
  <c r="V64" i="10"/>
  <c r="U65" i="10"/>
  <c r="V65" i="10"/>
  <c r="U66" i="10"/>
  <c r="V66" i="10"/>
  <c r="U67" i="10"/>
  <c r="V67" i="10"/>
  <c r="U68" i="10"/>
  <c r="V68" i="10"/>
  <c r="U69" i="10"/>
  <c r="V69" i="10"/>
  <c r="U70" i="10"/>
  <c r="V70" i="10"/>
  <c r="U71" i="10"/>
  <c r="V71" i="10"/>
  <c r="U72" i="10"/>
  <c r="V72" i="10"/>
  <c r="U73" i="10"/>
  <c r="V73" i="10"/>
  <c r="U74" i="10"/>
  <c r="V74" i="10"/>
  <c r="U75" i="10"/>
  <c r="V75" i="10"/>
  <c r="U76" i="10"/>
  <c r="V76" i="10"/>
  <c r="U77" i="10"/>
  <c r="V77" i="10"/>
  <c r="U78" i="10"/>
  <c r="V78" i="10"/>
  <c r="U79" i="10"/>
  <c r="V79" i="10"/>
  <c r="U80" i="10"/>
  <c r="V80" i="10"/>
  <c r="U81" i="10"/>
  <c r="V81" i="10"/>
  <c r="U82" i="10"/>
  <c r="V82" i="10"/>
  <c r="U83" i="10"/>
  <c r="V83" i="10"/>
  <c r="U84" i="10"/>
  <c r="V84" i="10"/>
  <c r="U85" i="10"/>
  <c r="V85" i="10"/>
  <c r="U86" i="10"/>
  <c r="V86" i="10"/>
  <c r="U87" i="10"/>
  <c r="V87" i="10"/>
  <c r="U88" i="10"/>
  <c r="V88" i="10"/>
  <c r="U89" i="10"/>
  <c r="V89" i="10"/>
  <c r="U90" i="10"/>
  <c r="V90" i="10"/>
  <c r="U91" i="10"/>
  <c r="V91" i="10"/>
  <c r="U92" i="10"/>
  <c r="V92" i="10"/>
  <c r="U93" i="10"/>
  <c r="V93" i="10"/>
  <c r="U94" i="10"/>
  <c r="V94" i="10"/>
  <c r="U95" i="10"/>
  <c r="V95" i="10"/>
  <c r="U96" i="10"/>
  <c r="V96" i="10"/>
  <c r="U97" i="10"/>
  <c r="V97" i="10"/>
  <c r="U98" i="10"/>
  <c r="V98" i="10"/>
  <c r="U99" i="10"/>
  <c r="V99" i="10"/>
  <c r="U100" i="10"/>
  <c r="V100" i="10"/>
  <c r="U101" i="10"/>
  <c r="V101" i="10"/>
  <c r="U102" i="10"/>
  <c r="V102" i="10"/>
  <c r="U103" i="10"/>
  <c r="V103" i="10"/>
  <c r="U104" i="10"/>
  <c r="V104" i="10"/>
  <c r="U105" i="10"/>
  <c r="V105" i="10"/>
  <c r="U106" i="10"/>
  <c r="V106" i="10"/>
  <c r="U107" i="10"/>
  <c r="V107" i="10"/>
  <c r="U108" i="10"/>
  <c r="V108" i="10"/>
  <c r="U109" i="10"/>
  <c r="V109" i="10"/>
  <c r="U110" i="10"/>
  <c r="V110" i="10"/>
  <c r="U111" i="10"/>
  <c r="V111" i="10"/>
  <c r="U112" i="10"/>
  <c r="V112" i="10"/>
  <c r="U113" i="10"/>
  <c r="V113" i="10"/>
  <c r="U114" i="10"/>
  <c r="V114" i="10"/>
  <c r="U115" i="10"/>
  <c r="V115" i="10"/>
  <c r="U116" i="10"/>
  <c r="V116" i="10"/>
  <c r="U117" i="10"/>
  <c r="V117" i="10"/>
  <c r="U118" i="10"/>
  <c r="V118" i="10"/>
  <c r="U119" i="10"/>
  <c r="V119" i="10"/>
  <c r="U120" i="10"/>
  <c r="V120" i="10"/>
  <c r="U121" i="10"/>
  <c r="V121" i="10"/>
  <c r="U122" i="10"/>
  <c r="V122" i="10"/>
  <c r="U123" i="10"/>
  <c r="V123" i="10"/>
  <c r="U124" i="10"/>
  <c r="V124" i="10"/>
  <c r="U125" i="10"/>
  <c r="V125" i="10"/>
  <c r="U126" i="10"/>
  <c r="V126" i="10"/>
  <c r="U127" i="10"/>
  <c r="V127" i="10"/>
  <c r="U128" i="10"/>
  <c r="V128" i="10"/>
  <c r="U129" i="10"/>
  <c r="V129" i="10"/>
  <c r="U130" i="10"/>
  <c r="V130" i="10"/>
  <c r="U131" i="10"/>
  <c r="V131" i="10"/>
  <c r="U132" i="10"/>
  <c r="V132" i="10"/>
  <c r="U133" i="10"/>
  <c r="V133" i="10"/>
  <c r="U134" i="10"/>
  <c r="V134" i="10"/>
  <c r="U135" i="10"/>
  <c r="V135" i="10"/>
  <c r="U136" i="10"/>
  <c r="V136" i="10"/>
  <c r="U137" i="10"/>
  <c r="V137" i="10"/>
  <c r="U138" i="10"/>
  <c r="V138" i="10"/>
  <c r="U139" i="10"/>
  <c r="V139" i="10"/>
  <c r="U140" i="10"/>
  <c r="V140" i="10"/>
  <c r="U141" i="10"/>
  <c r="V141" i="10"/>
  <c r="U142" i="10"/>
  <c r="V142" i="10"/>
  <c r="U143" i="10"/>
  <c r="V143" i="10"/>
  <c r="U144" i="10"/>
  <c r="V144" i="10"/>
  <c r="U145" i="10"/>
  <c r="V145" i="10"/>
  <c r="U146" i="10"/>
  <c r="V146" i="10"/>
  <c r="U147" i="10"/>
  <c r="V147" i="10"/>
  <c r="U148" i="10"/>
  <c r="V148" i="10"/>
  <c r="U149" i="10"/>
  <c r="V149" i="10"/>
  <c r="U150" i="10"/>
  <c r="V150" i="10"/>
  <c r="U151" i="10"/>
  <c r="V151" i="10"/>
  <c r="U152" i="10"/>
  <c r="V152" i="10"/>
  <c r="U153" i="10"/>
  <c r="V153" i="10"/>
  <c r="U154" i="10"/>
  <c r="V154" i="10"/>
  <c r="U155" i="10"/>
  <c r="V155" i="10"/>
  <c r="U156" i="10"/>
  <c r="V156" i="10"/>
  <c r="U157" i="10"/>
  <c r="V157" i="10"/>
  <c r="U158" i="10"/>
  <c r="V158" i="10"/>
  <c r="U159" i="10"/>
  <c r="V159" i="10"/>
  <c r="U160" i="10"/>
  <c r="V160" i="10"/>
  <c r="U161" i="10"/>
  <c r="V161" i="10"/>
  <c r="U162" i="10"/>
  <c r="V162" i="10"/>
  <c r="U163" i="10"/>
  <c r="V163" i="10"/>
  <c r="U164" i="10"/>
  <c r="V164" i="10"/>
  <c r="U165" i="10"/>
  <c r="V165" i="10"/>
  <c r="U166" i="10"/>
  <c r="V166" i="10"/>
  <c r="U167" i="10"/>
  <c r="V167" i="10"/>
  <c r="U168" i="10"/>
  <c r="V168" i="10"/>
  <c r="U169" i="10"/>
  <c r="V169" i="10"/>
  <c r="U170" i="10"/>
  <c r="V170" i="10"/>
  <c r="U171" i="10"/>
  <c r="V171" i="10"/>
  <c r="U172" i="10"/>
  <c r="V172" i="10"/>
  <c r="U173" i="10"/>
  <c r="V173" i="10"/>
  <c r="U174" i="10"/>
  <c r="V174" i="10"/>
  <c r="U175" i="10"/>
  <c r="V175" i="10"/>
  <c r="U176" i="10"/>
  <c r="V176" i="10"/>
  <c r="U177" i="10"/>
  <c r="V177" i="10"/>
  <c r="U178" i="10"/>
  <c r="V178" i="10"/>
  <c r="U179" i="10"/>
  <c r="V179" i="10"/>
  <c r="U180" i="10"/>
  <c r="V180" i="10"/>
  <c r="U181" i="10"/>
  <c r="V181" i="10"/>
  <c r="U182" i="10"/>
  <c r="V182" i="10"/>
  <c r="U183" i="10"/>
  <c r="V183" i="10"/>
  <c r="U184" i="10"/>
  <c r="V184" i="10"/>
  <c r="U185" i="10"/>
  <c r="V185" i="10"/>
  <c r="U186" i="10"/>
  <c r="V186" i="10"/>
  <c r="U187" i="10"/>
  <c r="V187" i="10"/>
  <c r="U188" i="10"/>
  <c r="V188" i="10"/>
  <c r="U189" i="10"/>
  <c r="V189" i="10"/>
  <c r="U190" i="10"/>
  <c r="V190" i="10"/>
  <c r="U191" i="10"/>
  <c r="V191" i="10"/>
  <c r="U192" i="10"/>
  <c r="V192" i="10"/>
  <c r="U193" i="10"/>
  <c r="V193" i="10"/>
  <c r="U194" i="10"/>
  <c r="V194" i="10"/>
  <c r="U195" i="10"/>
  <c r="V195" i="10"/>
  <c r="U196" i="10"/>
  <c r="V196" i="10"/>
  <c r="U197" i="10"/>
  <c r="V197" i="10"/>
  <c r="U198" i="10"/>
  <c r="V198" i="10"/>
  <c r="U199" i="10"/>
  <c r="V199" i="10"/>
  <c r="U200" i="10"/>
  <c r="V200" i="10"/>
  <c r="U201" i="10"/>
  <c r="V201" i="10"/>
  <c r="V2" i="10"/>
  <c r="U2" i="10"/>
  <c r="M3" i="6"/>
  <c r="F34" i="3" l="1"/>
  <c r="F2" i="13" l="1"/>
  <c r="F5" i="13"/>
  <c r="F4" i="13"/>
  <c r="F3" i="13"/>
  <c r="Q12" i="17" l="1"/>
  <c r="P12" i="17"/>
  <c r="Q11" i="17"/>
  <c r="P11" i="17"/>
  <c r="Q10" i="17"/>
  <c r="P10" i="17"/>
  <c r="Q9" i="17"/>
  <c r="P9" i="17"/>
  <c r="Q8" i="17"/>
  <c r="P8" i="17"/>
  <c r="Q7" i="17"/>
  <c r="P7" i="17"/>
  <c r="Q6" i="17"/>
  <c r="P6" i="17"/>
  <c r="Q5" i="17"/>
  <c r="P5" i="17"/>
  <c r="Q4" i="17"/>
  <c r="P4" i="17"/>
  <c r="Q3" i="17"/>
  <c r="P3" i="17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E41" i="13"/>
  <c r="D41" i="13"/>
  <c r="C41" i="13"/>
  <c r="E40" i="13"/>
  <c r="D40" i="13"/>
  <c r="C40" i="13"/>
  <c r="E39" i="13"/>
  <c r="D39" i="13"/>
  <c r="C39" i="13"/>
  <c r="E38" i="13"/>
  <c r="D38" i="13"/>
  <c r="C38" i="13"/>
  <c r="E37" i="13"/>
  <c r="D37" i="13"/>
  <c r="C37" i="13"/>
  <c r="E36" i="13"/>
  <c r="D36" i="13"/>
  <c r="C36" i="13"/>
  <c r="E35" i="13"/>
  <c r="D35" i="13"/>
  <c r="C35" i="13"/>
  <c r="E34" i="13"/>
  <c r="D34" i="13"/>
  <c r="C34" i="13"/>
  <c r="E33" i="13"/>
  <c r="D33" i="13"/>
  <c r="C33" i="13"/>
  <c r="E32" i="13"/>
  <c r="D32" i="13"/>
  <c r="C32" i="13"/>
  <c r="E31" i="13"/>
  <c r="D31" i="13"/>
  <c r="C31" i="13"/>
  <c r="E30" i="13"/>
  <c r="D30" i="13"/>
  <c r="C30" i="13"/>
  <c r="E29" i="13"/>
  <c r="D29" i="13"/>
  <c r="C29" i="13"/>
  <c r="E28" i="13"/>
  <c r="D28" i="13"/>
  <c r="C28" i="13"/>
  <c r="E27" i="13"/>
  <c r="D27" i="13"/>
  <c r="C27" i="13"/>
  <c r="E26" i="13"/>
  <c r="D26" i="13"/>
  <c r="C26" i="13"/>
  <c r="E25" i="13"/>
  <c r="D25" i="13"/>
  <c r="C25" i="13"/>
  <c r="E24" i="13"/>
  <c r="D24" i="13"/>
  <c r="C24" i="13"/>
  <c r="E23" i="13"/>
  <c r="D23" i="13"/>
  <c r="C23" i="13"/>
  <c r="E22" i="13"/>
  <c r="D22" i="13"/>
  <c r="C22" i="13"/>
  <c r="E21" i="13"/>
  <c r="D21" i="13"/>
  <c r="C21" i="13"/>
  <c r="E20" i="13"/>
  <c r="D20" i="13"/>
  <c r="C20" i="13"/>
  <c r="E19" i="13"/>
  <c r="D19" i="13"/>
  <c r="C19" i="13"/>
  <c r="E18" i="13"/>
  <c r="D18" i="13"/>
  <c r="C18" i="13"/>
  <c r="E17" i="13"/>
  <c r="D17" i="13"/>
  <c r="C17" i="13"/>
  <c r="E16" i="13"/>
  <c r="D16" i="13"/>
  <c r="C16" i="13"/>
  <c r="E15" i="13"/>
  <c r="D15" i="13"/>
  <c r="C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E8" i="13"/>
  <c r="D8" i="13"/>
  <c r="C8" i="13"/>
  <c r="E7" i="13"/>
  <c r="D7" i="13"/>
  <c r="C7" i="13"/>
  <c r="E6" i="13"/>
  <c r="D6" i="13"/>
  <c r="C6" i="13"/>
  <c r="D5" i="13"/>
  <c r="C5" i="13"/>
  <c r="E5" i="13" s="1"/>
  <c r="D4" i="13"/>
  <c r="H5" i="7" s="1"/>
  <c r="I5" i="7" s="1"/>
  <c r="C4" i="13"/>
  <c r="G2" i="11" s="1"/>
  <c r="H2" i="11" s="1"/>
  <c r="D3" i="13"/>
  <c r="H3" i="7" s="1"/>
  <c r="I3" i="7" s="1"/>
  <c r="K41" i="4" s="1"/>
  <c r="C3" i="13"/>
  <c r="G3" i="7" s="1"/>
  <c r="J3" i="7" s="1"/>
  <c r="D2" i="13"/>
  <c r="C2" i="13"/>
  <c r="J201" i="12"/>
  <c r="I201" i="12"/>
  <c r="H201" i="12"/>
  <c r="F201" i="12"/>
  <c r="J200" i="12"/>
  <c r="I200" i="12"/>
  <c r="H200" i="12"/>
  <c r="F200" i="12"/>
  <c r="J199" i="12"/>
  <c r="I199" i="12"/>
  <c r="H199" i="12"/>
  <c r="F199" i="12"/>
  <c r="J198" i="12"/>
  <c r="I198" i="12"/>
  <c r="H198" i="12"/>
  <c r="F198" i="12"/>
  <c r="J197" i="12"/>
  <c r="I197" i="12"/>
  <c r="H197" i="12"/>
  <c r="F197" i="12"/>
  <c r="J196" i="12"/>
  <c r="I196" i="12"/>
  <c r="H196" i="12"/>
  <c r="F196" i="12"/>
  <c r="J195" i="12"/>
  <c r="I195" i="12"/>
  <c r="H195" i="12"/>
  <c r="F195" i="12"/>
  <c r="J194" i="12"/>
  <c r="I194" i="12"/>
  <c r="H194" i="12"/>
  <c r="F194" i="12"/>
  <c r="J193" i="12"/>
  <c r="I193" i="12"/>
  <c r="H193" i="12"/>
  <c r="F193" i="12"/>
  <c r="J192" i="12"/>
  <c r="I192" i="12"/>
  <c r="H192" i="12"/>
  <c r="F192" i="12"/>
  <c r="J191" i="12"/>
  <c r="I191" i="12"/>
  <c r="H191" i="12"/>
  <c r="F191" i="12"/>
  <c r="J190" i="12"/>
  <c r="I190" i="12"/>
  <c r="H190" i="12"/>
  <c r="F190" i="12"/>
  <c r="J189" i="12"/>
  <c r="I189" i="12"/>
  <c r="H189" i="12"/>
  <c r="F189" i="12"/>
  <c r="J188" i="12"/>
  <c r="I188" i="12"/>
  <c r="H188" i="12"/>
  <c r="F188" i="12"/>
  <c r="J187" i="12"/>
  <c r="I187" i="12"/>
  <c r="H187" i="12"/>
  <c r="F187" i="12"/>
  <c r="J186" i="12"/>
  <c r="I186" i="12"/>
  <c r="H186" i="12"/>
  <c r="F186" i="12"/>
  <c r="J185" i="12"/>
  <c r="I185" i="12"/>
  <c r="H185" i="12"/>
  <c r="F185" i="12"/>
  <c r="J184" i="12"/>
  <c r="I184" i="12"/>
  <c r="H184" i="12"/>
  <c r="F184" i="12"/>
  <c r="J183" i="12"/>
  <c r="I183" i="12"/>
  <c r="H183" i="12"/>
  <c r="F183" i="12"/>
  <c r="J182" i="12"/>
  <c r="I182" i="12"/>
  <c r="H182" i="12"/>
  <c r="F182" i="12"/>
  <c r="J181" i="12"/>
  <c r="I181" i="12"/>
  <c r="H181" i="12"/>
  <c r="F181" i="12"/>
  <c r="J180" i="12"/>
  <c r="I180" i="12"/>
  <c r="H180" i="12"/>
  <c r="F180" i="12"/>
  <c r="J179" i="12"/>
  <c r="I179" i="12"/>
  <c r="H179" i="12"/>
  <c r="F179" i="12"/>
  <c r="J178" i="12"/>
  <c r="I178" i="12"/>
  <c r="H178" i="12"/>
  <c r="F178" i="12"/>
  <c r="J177" i="12"/>
  <c r="I177" i="12"/>
  <c r="H177" i="12"/>
  <c r="F177" i="12"/>
  <c r="J176" i="12"/>
  <c r="I176" i="12"/>
  <c r="H176" i="12"/>
  <c r="F176" i="12"/>
  <c r="J175" i="12"/>
  <c r="I175" i="12"/>
  <c r="H175" i="12"/>
  <c r="F175" i="12"/>
  <c r="J174" i="12"/>
  <c r="I174" i="12"/>
  <c r="H174" i="12"/>
  <c r="F174" i="12"/>
  <c r="J173" i="12"/>
  <c r="I173" i="12"/>
  <c r="H173" i="12"/>
  <c r="F173" i="12"/>
  <c r="J172" i="12"/>
  <c r="I172" i="12"/>
  <c r="H172" i="12"/>
  <c r="F172" i="12"/>
  <c r="J171" i="12"/>
  <c r="I171" i="12"/>
  <c r="H171" i="12"/>
  <c r="F171" i="12"/>
  <c r="J170" i="12"/>
  <c r="I170" i="12"/>
  <c r="H170" i="12"/>
  <c r="F170" i="12"/>
  <c r="J169" i="12"/>
  <c r="I169" i="12"/>
  <c r="H169" i="12"/>
  <c r="F169" i="12"/>
  <c r="J168" i="12"/>
  <c r="I168" i="12"/>
  <c r="H168" i="12"/>
  <c r="F168" i="12"/>
  <c r="J167" i="12"/>
  <c r="I167" i="12"/>
  <c r="H167" i="12"/>
  <c r="F167" i="12"/>
  <c r="J166" i="12"/>
  <c r="I166" i="12"/>
  <c r="H166" i="12"/>
  <c r="F166" i="12"/>
  <c r="J165" i="12"/>
  <c r="I165" i="12"/>
  <c r="H165" i="12"/>
  <c r="F165" i="12"/>
  <c r="J164" i="12"/>
  <c r="I164" i="12"/>
  <c r="H164" i="12"/>
  <c r="F164" i="12"/>
  <c r="J163" i="12"/>
  <c r="I163" i="12"/>
  <c r="H163" i="12"/>
  <c r="F163" i="12"/>
  <c r="J162" i="12"/>
  <c r="I162" i="12"/>
  <c r="H162" i="12"/>
  <c r="F162" i="12"/>
  <c r="J161" i="12"/>
  <c r="I161" i="12"/>
  <c r="H161" i="12"/>
  <c r="F161" i="12"/>
  <c r="J160" i="12"/>
  <c r="I160" i="12"/>
  <c r="H160" i="12"/>
  <c r="F160" i="12"/>
  <c r="J159" i="12"/>
  <c r="I159" i="12"/>
  <c r="H159" i="12"/>
  <c r="F159" i="12"/>
  <c r="J158" i="12"/>
  <c r="I158" i="12"/>
  <c r="H158" i="12"/>
  <c r="F158" i="12"/>
  <c r="J157" i="12"/>
  <c r="I157" i="12"/>
  <c r="H157" i="12"/>
  <c r="F157" i="12"/>
  <c r="J156" i="12"/>
  <c r="I156" i="12"/>
  <c r="H156" i="12"/>
  <c r="F156" i="12"/>
  <c r="J155" i="12"/>
  <c r="I155" i="12"/>
  <c r="H155" i="12"/>
  <c r="F155" i="12"/>
  <c r="J154" i="12"/>
  <c r="I154" i="12"/>
  <c r="H154" i="12"/>
  <c r="F154" i="12"/>
  <c r="J153" i="12"/>
  <c r="I153" i="12"/>
  <c r="H153" i="12"/>
  <c r="F153" i="12"/>
  <c r="J152" i="12"/>
  <c r="I152" i="12"/>
  <c r="H152" i="12"/>
  <c r="F152" i="12"/>
  <c r="J151" i="12"/>
  <c r="I151" i="12"/>
  <c r="H151" i="12"/>
  <c r="F151" i="12"/>
  <c r="J150" i="12"/>
  <c r="I150" i="12"/>
  <c r="H150" i="12"/>
  <c r="F150" i="12"/>
  <c r="J149" i="12"/>
  <c r="I149" i="12"/>
  <c r="H149" i="12"/>
  <c r="F149" i="12"/>
  <c r="J148" i="12"/>
  <c r="I148" i="12"/>
  <c r="H148" i="12"/>
  <c r="F148" i="12"/>
  <c r="J147" i="12"/>
  <c r="I147" i="12"/>
  <c r="H147" i="12"/>
  <c r="F147" i="12"/>
  <c r="J146" i="12"/>
  <c r="I146" i="12"/>
  <c r="H146" i="12"/>
  <c r="F146" i="12"/>
  <c r="J145" i="12"/>
  <c r="I145" i="12"/>
  <c r="H145" i="12"/>
  <c r="F145" i="12"/>
  <c r="J144" i="12"/>
  <c r="I144" i="12"/>
  <c r="H144" i="12"/>
  <c r="F144" i="12"/>
  <c r="J143" i="12"/>
  <c r="I143" i="12"/>
  <c r="H143" i="12"/>
  <c r="F143" i="12"/>
  <c r="J142" i="12"/>
  <c r="I142" i="12"/>
  <c r="H142" i="12"/>
  <c r="F142" i="12"/>
  <c r="J141" i="12"/>
  <c r="I141" i="12"/>
  <c r="H141" i="12"/>
  <c r="F141" i="12"/>
  <c r="J140" i="12"/>
  <c r="I140" i="12"/>
  <c r="H140" i="12"/>
  <c r="F140" i="12"/>
  <c r="J139" i="12"/>
  <c r="I139" i="12"/>
  <c r="H139" i="12"/>
  <c r="F139" i="12"/>
  <c r="J138" i="12"/>
  <c r="I138" i="12"/>
  <c r="H138" i="12"/>
  <c r="F138" i="12"/>
  <c r="J137" i="12"/>
  <c r="I137" i="12"/>
  <c r="H137" i="12"/>
  <c r="F137" i="12"/>
  <c r="J136" i="12"/>
  <c r="I136" i="12"/>
  <c r="H136" i="12"/>
  <c r="F136" i="12"/>
  <c r="J135" i="12"/>
  <c r="I135" i="12"/>
  <c r="H135" i="12"/>
  <c r="F135" i="12"/>
  <c r="J134" i="12"/>
  <c r="I134" i="12"/>
  <c r="H134" i="12"/>
  <c r="F134" i="12"/>
  <c r="J133" i="12"/>
  <c r="I133" i="12"/>
  <c r="H133" i="12"/>
  <c r="F133" i="12"/>
  <c r="J132" i="12"/>
  <c r="I132" i="12"/>
  <c r="H132" i="12"/>
  <c r="F132" i="12"/>
  <c r="J131" i="12"/>
  <c r="I131" i="12"/>
  <c r="H131" i="12"/>
  <c r="F131" i="12"/>
  <c r="J130" i="12"/>
  <c r="I130" i="12"/>
  <c r="H130" i="12"/>
  <c r="F130" i="12"/>
  <c r="J129" i="12"/>
  <c r="I129" i="12"/>
  <c r="H129" i="12"/>
  <c r="F129" i="12"/>
  <c r="J128" i="12"/>
  <c r="I128" i="12"/>
  <c r="H128" i="12"/>
  <c r="F128" i="12"/>
  <c r="J127" i="12"/>
  <c r="I127" i="12"/>
  <c r="H127" i="12"/>
  <c r="F127" i="12"/>
  <c r="J126" i="12"/>
  <c r="I126" i="12"/>
  <c r="H126" i="12"/>
  <c r="F126" i="12"/>
  <c r="J125" i="12"/>
  <c r="I125" i="12"/>
  <c r="H125" i="12"/>
  <c r="F125" i="12"/>
  <c r="J124" i="12"/>
  <c r="I124" i="12"/>
  <c r="H124" i="12"/>
  <c r="F124" i="12"/>
  <c r="J123" i="12"/>
  <c r="I123" i="12"/>
  <c r="H123" i="12"/>
  <c r="F123" i="12"/>
  <c r="J122" i="12"/>
  <c r="I122" i="12"/>
  <c r="H122" i="12"/>
  <c r="F122" i="12"/>
  <c r="J121" i="12"/>
  <c r="I121" i="12"/>
  <c r="H121" i="12"/>
  <c r="F121" i="12"/>
  <c r="J120" i="12"/>
  <c r="I120" i="12"/>
  <c r="H120" i="12"/>
  <c r="F120" i="12"/>
  <c r="J119" i="12"/>
  <c r="I119" i="12"/>
  <c r="H119" i="12"/>
  <c r="F119" i="12"/>
  <c r="J118" i="12"/>
  <c r="I118" i="12"/>
  <c r="H118" i="12"/>
  <c r="F118" i="12"/>
  <c r="J117" i="12"/>
  <c r="I117" i="12"/>
  <c r="H117" i="12"/>
  <c r="F117" i="12"/>
  <c r="J116" i="12"/>
  <c r="I116" i="12"/>
  <c r="H116" i="12"/>
  <c r="F116" i="12"/>
  <c r="J115" i="12"/>
  <c r="I115" i="12"/>
  <c r="H115" i="12"/>
  <c r="F115" i="12"/>
  <c r="J114" i="12"/>
  <c r="I114" i="12"/>
  <c r="H114" i="12"/>
  <c r="F114" i="12"/>
  <c r="J113" i="12"/>
  <c r="I113" i="12"/>
  <c r="H113" i="12"/>
  <c r="F113" i="12"/>
  <c r="J112" i="12"/>
  <c r="I112" i="12"/>
  <c r="H112" i="12"/>
  <c r="F112" i="12"/>
  <c r="J111" i="12"/>
  <c r="I111" i="12"/>
  <c r="H111" i="12"/>
  <c r="F111" i="12"/>
  <c r="J110" i="12"/>
  <c r="I110" i="12"/>
  <c r="H110" i="12"/>
  <c r="F110" i="12"/>
  <c r="J109" i="12"/>
  <c r="I109" i="12"/>
  <c r="H109" i="12"/>
  <c r="F109" i="12"/>
  <c r="J108" i="12"/>
  <c r="I108" i="12"/>
  <c r="H108" i="12"/>
  <c r="F108" i="12"/>
  <c r="J107" i="12"/>
  <c r="I107" i="12"/>
  <c r="H107" i="12"/>
  <c r="F107" i="12"/>
  <c r="J106" i="12"/>
  <c r="I106" i="12"/>
  <c r="H106" i="12"/>
  <c r="F106" i="12"/>
  <c r="J105" i="12"/>
  <c r="I105" i="12"/>
  <c r="H105" i="12"/>
  <c r="F105" i="12"/>
  <c r="J104" i="12"/>
  <c r="I104" i="12"/>
  <c r="H104" i="12"/>
  <c r="F104" i="12"/>
  <c r="J103" i="12"/>
  <c r="I103" i="12"/>
  <c r="H103" i="12"/>
  <c r="F103" i="12"/>
  <c r="J102" i="12"/>
  <c r="I102" i="12"/>
  <c r="H102" i="12"/>
  <c r="F102" i="12"/>
  <c r="J101" i="12"/>
  <c r="I101" i="12"/>
  <c r="H101" i="12"/>
  <c r="F101" i="12"/>
  <c r="J100" i="12"/>
  <c r="I100" i="12"/>
  <c r="H100" i="12"/>
  <c r="F100" i="12"/>
  <c r="J99" i="12"/>
  <c r="I99" i="12"/>
  <c r="H99" i="12"/>
  <c r="F99" i="12"/>
  <c r="J98" i="12"/>
  <c r="I98" i="12"/>
  <c r="H98" i="12"/>
  <c r="F98" i="12"/>
  <c r="J97" i="12"/>
  <c r="I97" i="12"/>
  <c r="H97" i="12"/>
  <c r="F97" i="12"/>
  <c r="J96" i="12"/>
  <c r="I96" i="12"/>
  <c r="H96" i="12"/>
  <c r="F96" i="12"/>
  <c r="J95" i="12"/>
  <c r="I95" i="12"/>
  <c r="H95" i="12"/>
  <c r="F95" i="12"/>
  <c r="J94" i="12"/>
  <c r="I94" i="12"/>
  <c r="H94" i="12"/>
  <c r="F94" i="12"/>
  <c r="J93" i="12"/>
  <c r="I93" i="12"/>
  <c r="H93" i="12"/>
  <c r="F93" i="12"/>
  <c r="J92" i="12"/>
  <c r="I92" i="12"/>
  <c r="H92" i="12"/>
  <c r="F92" i="12"/>
  <c r="J91" i="12"/>
  <c r="I91" i="12"/>
  <c r="H91" i="12"/>
  <c r="F91" i="12"/>
  <c r="J90" i="12"/>
  <c r="I90" i="12"/>
  <c r="H90" i="12"/>
  <c r="F90" i="12"/>
  <c r="J89" i="12"/>
  <c r="I89" i="12"/>
  <c r="H89" i="12"/>
  <c r="F89" i="12"/>
  <c r="J88" i="12"/>
  <c r="I88" i="12"/>
  <c r="H88" i="12"/>
  <c r="F88" i="12"/>
  <c r="J87" i="12"/>
  <c r="I87" i="12"/>
  <c r="H87" i="12"/>
  <c r="F87" i="12"/>
  <c r="J86" i="12"/>
  <c r="I86" i="12"/>
  <c r="H86" i="12"/>
  <c r="F86" i="12"/>
  <c r="J85" i="12"/>
  <c r="I85" i="12"/>
  <c r="H85" i="12"/>
  <c r="F85" i="12"/>
  <c r="J84" i="12"/>
  <c r="I84" i="12"/>
  <c r="H84" i="12"/>
  <c r="F84" i="12"/>
  <c r="J83" i="12"/>
  <c r="I83" i="12"/>
  <c r="H83" i="12"/>
  <c r="F83" i="12"/>
  <c r="J82" i="12"/>
  <c r="I82" i="12"/>
  <c r="H82" i="12"/>
  <c r="F82" i="12"/>
  <c r="J81" i="12"/>
  <c r="I81" i="12"/>
  <c r="H81" i="12"/>
  <c r="F81" i="12"/>
  <c r="J80" i="12"/>
  <c r="I80" i="12"/>
  <c r="H80" i="12"/>
  <c r="F80" i="12"/>
  <c r="J79" i="12"/>
  <c r="I79" i="12"/>
  <c r="H79" i="12"/>
  <c r="F79" i="12"/>
  <c r="J78" i="12"/>
  <c r="I78" i="12"/>
  <c r="H78" i="12"/>
  <c r="F78" i="12"/>
  <c r="J77" i="12"/>
  <c r="I77" i="12"/>
  <c r="H77" i="12"/>
  <c r="F77" i="12"/>
  <c r="J76" i="12"/>
  <c r="I76" i="12"/>
  <c r="H76" i="12"/>
  <c r="F76" i="12"/>
  <c r="J75" i="12"/>
  <c r="I75" i="12"/>
  <c r="H75" i="12"/>
  <c r="F75" i="12"/>
  <c r="J74" i="12"/>
  <c r="I74" i="12"/>
  <c r="H74" i="12"/>
  <c r="F74" i="12"/>
  <c r="J73" i="12"/>
  <c r="I73" i="12"/>
  <c r="H73" i="12"/>
  <c r="F73" i="12"/>
  <c r="J72" i="12"/>
  <c r="I72" i="12"/>
  <c r="H72" i="12"/>
  <c r="F72" i="12"/>
  <c r="J71" i="12"/>
  <c r="I71" i="12"/>
  <c r="H71" i="12"/>
  <c r="F71" i="12"/>
  <c r="J70" i="12"/>
  <c r="I70" i="12"/>
  <c r="H70" i="12"/>
  <c r="F70" i="12"/>
  <c r="J69" i="12"/>
  <c r="I69" i="12"/>
  <c r="H69" i="12"/>
  <c r="F69" i="12"/>
  <c r="J68" i="12"/>
  <c r="I68" i="12"/>
  <c r="H68" i="12"/>
  <c r="F68" i="12"/>
  <c r="J67" i="12"/>
  <c r="I67" i="12"/>
  <c r="H67" i="12"/>
  <c r="F67" i="12"/>
  <c r="J66" i="12"/>
  <c r="I66" i="12"/>
  <c r="H66" i="12"/>
  <c r="F66" i="12"/>
  <c r="J65" i="12"/>
  <c r="I65" i="12"/>
  <c r="H65" i="12"/>
  <c r="F65" i="12"/>
  <c r="J64" i="12"/>
  <c r="I64" i="12"/>
  <c r="H64" i="12"/>
  <c r="F64" i="12"/>
  <c r="J63" i="12"/>
  <c r="I63" i="12"/>
  <c r="H63" i="12"/>
  <c r="F63" i="12"/>
  <c r="J62" i="12"/>
  <c r="I62" i="12"/>
  <c r="H62" i="12"/>
  <c r="F62" i="12"/>
  <c r="J61" i="12"/>
  <c r="I61" i="12"/>
  <c r="H61" i="12"/>
  <c r="F61" i="12"/>
  <c r="J60" i="12"/>
  <c r="I60" i="12"/>
  <c r="H60" i="12"/>
  <c r="F60" i="12"/>
  <c r="J59" i="12"/>
  <c r="I59" i="12"/>
  <c r="H59" i="12"/>
  <c r="F59" i="12"/>
  <c r="J58" i="12"/>
  <c r="I58" i="12"/>
  <c r="H58" i="12"/>
  <c r="F58" i="12"/>
  <c r="J57" i="12"/>
  <c r="I57" i="12"/>
  <c r="H57" i="12"/>
  <c r="F57" i="12"/>
  <c r="J56" i="12"/>
  <c r="I56" i="12"/>
  <c r="H56" i="12"/>
  <c r="F56" i="12"/>
  <c r="J55" i="12"/>
  <c r="I55" i="12"/>
  <c r="H55" i="12"/>
  <c r="F55" i="12"/>
  <c r="J54" i="12"/>
  <c r="I54" i="12"/>
  <c r="H54" i="12"/>
  <c r="F54" i="12"/>
  <c r="J53" i="12"/>
  <c r="I53" i="12"/>
  <c r="H53" i="12"/>
  <c r="F53" i="12"/>
  <c r="J52" i="12"/>
  <c r="I52" i="12"/>
  <c r="H52" i="12"/>
  <c r="F52" i="12"/>
  <c r="J51" i="12"/>
  <c r="I51" i="12"/>
  <c r="H51" i="12"/>
  <c r="F51" i="12"/>
  <c r="J50" i="12"/>
  <c r="I50" i="12"/>
  <c r="H50" i="12"/>
  <c r="F50" i="12"/>
  <c r="J49" i="12"/>
  <c r="I49" i="12"/>
  <c r="H49" i="12"/>
  <c r="F49" i="12"/>
  <c r="J48" i="12"/>
  <c r="I48" i="12"/>
  <c r="H48" i="12"/>
  <c r="F48" i="12"/>
  <c r="J47" i="12"/>
  <c r="I47" i="12"/>
  <c r="H47" i="12"/>
  <c r="F47" i="12"/>
  <c r="J46" i="12"/>
  <c r="I46" i="12"/>
  <c r="H46" i="12"/>
  <c r="F46" i="12"/>
  <c r="J45" i="12"/>
  <c r="I45" i="12"/>
  <c r="H45" i="12"/>
  <c r="F45" i="12"/>
  <c r="J44" i="12"/>
  <c r="I44" i="12"/>
  <c r="H44" i="12"/>
  <c r="F44" i="12"/>
  <c r="J43" i="12"/>
  <c r="I43" i="12"/>
  <c r="H43" i="12"/>
  <c r="F43" i="12"/>
  <c r="J42" i="12"/>
  <c r="I42" i="12"/>
  <c r="H42" i="12"/>
  <c r="F42" i="12"/>
  <c r="J41" i="12"/>
  <c r="I41" i="12"/>
  <c r="H41" i="12"/>
  <c r="F41" i="12"/>
  <c r="J40" i="12"/>
  <c r="I40" i="12"/>
  <c r="H40" i="12"/>
  <c r="F40" i="12"/>
  <c r="J39" i="12"/>
  <c r="I39" i="12"/>
  <c r="H39" i="12"/>
  <c r="F39" i="12"/>
  <c r="J38" i="12"/>
  <c r="I38" i="12"/>
  <c r="H38" i="12"/>
  <c r="F38" i="12"/>
  <c r="J37" i="12"/>
  <c r="I37" i="12"/>
  <c r="H37" i="12"/>
  <c r="F37" i="12"/>
  <c r="J36" i="12"/>
  <c r="I36" i="12"/>
  <c r="H36" i="12"/>
  <c r="F36" i="12"/>
  <c r="J35" i="12"/>
  <c r="I35" i="12"/>
  <c r="H35" i="12"/>
  <c r="F35" i="12"/>
  <c r="J34" i="12"/>
  <c r="I34" i="12"/>
  <c r="H34" i="12"/>
  <c r="F34" i="12"/>
  <c r="J33" i="12"/>
  <c r="I33" i="12"/>
  <c r="H33" i="12"/>
  <c r="F33" i="12"/>
  <c r="J32" i="12"/>
  <c r="I32" i="12"/>
  <c r="H32" i="12"/>
  <c r="F32" i="12"/>
  <c r="J31" i="12"/>
  <c r="I31" i="12"/>
  <c r="H31" i="12"/>
  <c r="F31" i="12"/>
  <c r="J30" i="12"/>
  <c r="I30" i="12"/>
  <c r="H30" i="12"/>
  <c r="F30" i="12"/>
  <c r="J29" i="12"/>
  <c r="I29" i="12"/>
  <c r="H29" i="12"/>
  <c r="F29" i="12"/>
  <c r="J28" i="12"/>
  <c r="I28" i="12"/>
  <c r="H28" i="12"/>
  <c r="F28" i="12"/>
  <c r="J27" i="12"/>
  <c r="I27" i="12"/>
  <c r="H27" i="12"/>
  <c r="F27" i="12"/>
  <c r="J26" i="12"/>
  <c r="I26" i="12"/>
  <c r="H26" i="12"/>
  <c r="F26" i="12"/>
  <c r="J25" i="12"/>
  <c r="I25" i="12"/>
  <c r="H25" i="12"/>
  <c r="F25" i="12"/>
  <c r="J24" i="12"/>
  <c r="I24" i="12"/>
  <c r="H24" i="12"/>
  <c r="F24" i="12"/>
  <c r="J23" i="12"/>
  <c r="I23" i="12"/>
  <c r="H23" i="12"/>
  <c r="F23" i="12"/>
  <c r="J22" i="12"/>
  <c r="I22" i="12"/>
  <c r="H22" i="12"/>
  <c r="F22" i="12"/>
  <c r="J21" i="12"/>
  <c r="I21" i="12"/>
  <c r="H21" i="12"/>
  <c r="F21" i="12"/>
  <c r="J20" i="12"/>
  <c r="I20" i="12"/>
  <c r="H20" i="12"/>
  <c r="F20" i="12"/>
  <c r="J19" i="12"/>
  <c r="I19" i="12"/>
  <c r="H19" i="12"/>
  <c r="F19" i="12"/>
  <c r="J18" i="12"/>
  <c r="I18" i="12"/>
  <c r="H18" i="12"/>
  <c r="F18" i="12"/>
  <c r="J17" i="12"/>
  <c r="I17" i="12"/>
  <c r="H17" i="12"/>
  <c r="F17" i="12"/>
  <c r="J16" i="12"/>
  <c r="I16" i="12"/>
  <c r="H16" i="12"/>
  <c r="F16" i="12"/>
  <c r="J15" i="12"/>
  <c r="I15" i="12"/>
  <c r="H15" i="12"/>
  <c r="F15" i="12"/>
  <c r="J14" i="12"/>
  <c r="I14" i="12"/>
  <c r="H14" i="12"/>
  <c r="F14" i="12"/>
  <c r="J13" i="12"/>
  <c r="I13" i="12"/>
  <c r="H13" i="12"/>
  <c r="F13" i="12"/>
  <c r="J12" i="12"/>
  <c r="I12" i="12"/>
  <c r="H12" i="12"/>
  <c r="F12" i="12"/>
  <c r="J11" i="12"/>
  <c r="I11" i="12"/>
  <c r="H11" i="12"/>
  <c r="F11" i="12"/>
  <c r="J10" i="12"/>
  <c r="I10" i="12"/>
  <c r="H10" i="12"/>
  <c r="F10" i="12"/>
  <c r="J9" i="12"/>
  <c r="I9" i="12"/>
  <c r="H9" i="12"/>
  <c r="F9" i="12"/>
  <c r="J8" i="12"/>
  <c r="I8" i="12"/>
  <c r="H8" i="12"/>
  <c r="F8" i="12"/>
  <c r="J7" i="12"/>
  <c r="I7" i="12"/>
  <c r="H7" i="12"/>
  <c r="F7" i="12"/>
  <c r="J6" i="12"/>
  <c r="I6" i="12"/>
  <c r="H6" i="12"/>
  <c r="F6" i="12"/>
  <c r="J5" i="12"/>
  <c r="I5" i="12"/>
  <c r="H5" i="12"/>
  <c r="F5" i="12"/>
  <c r="J4" i="12"/>
  <c r="I4" i="12"/>
  <c r="H4" i="12"/>
  <c r="F4" i="12"/>
  <c r="I3" i="12"/>
  <c r="F3" i="12"/>
  <c r="J3" i="12" s="1"/>
  <c r="I2" i="12"/>
  <c r="F2" i="12"/>
  <c r="H201" i="11"/>
  <c r="G201" i="11"/>
  <c r="C201" i="11"/>
  <c r="H200" i="11"/>
  <c r="G200" i="11"/>
  <c r="C200" i="11"/>
  <c r="H199" i="11"/>
  <c r="G199" i="11"/>
  <c r="C199" i="11"/>
  <c r="H198" i="11"/>
  <c r="G198" i="11"/>
  <c r="C198" i="11"/>
  <c r="H197" i="11"/>
  <c r="G197" i="11"/>
  <c r="C197" i="11"/>
  <c r="H196" i="11"/>
  <c r="G196" i="11"/>
  <c r="C196" i="11"/>
  <c r="H195" i="11"/>
  <c r="G195" i="11"/>
  <c r="C195" i="11"/>
  <c r="H194" i="11"/>
  <c r="G194" i="11"/>
  <c r="C194" i="11"/>
  <c r="H193" i="11"/>
  <c r="G193" i="11"/>
  <c r="C193" i="11"/>
  <c r="H192" i="11"/>
  <c r="G192" i="11"/>
  <c r="C192" i="11"/>
  <c r="H191" i="11"/>
  <c r="G191" i="11"/>
  <c r="C191" i="11"/>
  <c r="H190" i="11"/>
  <c r="G190" i="11"/>
  <c r="C190" i="11"/>
  <c r="H189" i="11"/>
  <c r="G189" i="11"/>
  <c r="C189" i="11"/>
  <c r="H188" i="11"/>
  <c r="G188" i="11"/>
  <c r="C188" i="11"/>
  <c r="H187" i="11"/>
  <c r="G187" i="11"/>
  <c r="C187" i="11"/>
  <c r="H186" i="11"/>
  <c r="G186" i="11"/>
  <c r="C186" i="11"/>
  <c r="H185" i="11"/>
  <c r="G185" i="11"/>
  <c r="C185" i="11"/>
  <c r="H184" i="11"/>
  <c r="G184" i="11"/>
  <c r="C184" i="11"/>
  <c r="H183" i="11"/>
  <c r="G183" i="11"/>
  <c r="C183" i="11"/>
  <c r="H182" i="11"/>
  <c r="G182" i="11"/>
  <c r="C182" i="11"/>
  <c r="H181" i="11"/>
  <c r="G181" i="11"/>
  <c r="C181" i="11"/>
  <c r="H180" i="11"/>
  <c r="G180" i="11"/>
  <c r="C180" i="11"/>
  <c r="H179" i="11"/>
  <c r="G179" i="11"/>
  <c r="C179" i="11"/>
  <c r="H178" i="11"/>
  <c r="G178" i="11"/>
  <c r="C178" i="11"/>
  <c r="H177" i="11"/>
  <c r="G177" i="11"/>
  <c r="C177" i="11"/>
  <c r="H176" i="11"/>
  <c r="G176" i="11"/>
  <c r="C176" i="11"/>
  <c r="H175" i="11"/>
  <c r="G175" i="11"/>
  <c r="C175" i="11"/>
  <c r="H174" i="11"/>
  <c r="G174" i="11"/>
  <c r="C174" i="11"/>
  <c r="H173" i="11"/>
  <c r="G173" i="11"/>
  <c r="C173" i="11"/>
  <c r="H172" i="11"/>
  <c r="G172" i="11"/>
  <c r="C172" i="11"/>
  <c r="H171" i="11"/>
  <c r="G171" i="11"/>
  <c r="C171" i="11"/>
  <c r="H170" i="11"/>
  <c r="G170" i="11"/>
  <c r="C170" i="11"/>
  <c r="H169" i="11"/>
  <c r="G169" i="11"/>
  <c r="C169" i="11"/>
  <c r="H168" i="11"/>
  <c r="G168" i="11"/>
  <c r="C168" i="11"/>
  <c r="H167" i="11"/>
  <c r="G167" i="11"/>
  <c r="C167" i="11"/>
  <c r="H166" i="11"/>
  <c r="G166" i="11"/>
  <c r="C166" i="11"/>
  <c r="H165" i="11"/>
  <c r="G165" i="11"/>
  <c r="C165" i="11"/>
  <c r="H164" i="11"/>
  <c r="G164" i="11"/>
  <c r="C164" i="11"/>
  <c r="H163" i="11"/>
  <c r="G163" i="11"/>
  <c r="C163" i="11"/>
  <c r="H162" i="11"/>
  <c r="G162" i="11"/>
  <c r="C162" i="11"/>
  <c r="H161" i="11"/>
  <c r="G161" i="11"/>
  <c r="C161" i="11"/>
  <c r="H160" i="11"/>
  <c r="G160" i="11"/>
  <c r="C160" i="11"/>
  <c r="H159" i="11"/>
  <c r="G159" i="11"/>
  <c r="C159" i="11"/>
  <c r="H158" i="11"/>
  <c r="G158" i="11"/>
  <c r="C158" i="11"/>
  <c r="H157" i="11"/>
  <c r="G157" i="11"/>
  <c r="C157" i="11"/>
  <c r="H156" i="11"/>
  <c r="G156" i="11"/>
  <c r="C156" i="11"/>
  <c r="H155" i="11"/>
  <c r="G155" i="11"/>
  <c r="C155" i="11"/>
  <c r="H154" i="11"/>
  <c r="G154" i="11"/>
  <c r="C154" i="11"/>
  <c r="H153" i="11"/>
  <c r="G153" i="11"/>
  <c r="C153" i="11"/>
  <c r="H152" i="11"/>
  <c r="G152" i="11"/>
  <c r="C152" i="11"/>
  <c r="H151" i="11"/>
  <c r="G151" i="11"/>
  <c r="C151" i="11"/>
  <c r="H150" i="11"/>
  <c r="G150" i="11"/>
  <c r="C150" i="11"/>
  <c r="H149" i="11"/>
  <c r="G149" i="11"/>
  <c r="C149" i="11"/>
  <c r="H148" i="11"/>
  <c r="G148" i="11"/>
  <c r="C148" i="11"/>
  <c r="H147" i="11"/>
  <c r="G147" i="11"/>
  <c r="C147" i="11"/>
  <c r="H146" i="11"/>
  <c r="G146" i="11"/>
  <c r="C146" i="11"/>
  <c r="H145" i="11"/>
  <c r="G145" i="11"/>
  <c r="C145" i="11"/>
  <c r="H144" i="11"/>
  <c r="G144" i="11"/>
  <c r="C144" i="11"/>
  <c r="H143" i="11"/>
  <c r="G143" i="11"/>
  <c r="C143" i="11"/>
  <c r="H142" i="11"/>
  <c r="G142" i="11"/>
  <c r="C142" i="11"/>
  <c r="H141" i="11"/>
  <c r="G141" i="11"/>
  <c r="C141" i="11"/>
  <c r="H140" i="11"/>
  <c r="G140" i="11"/>
  <c r="C140" i="11"/>
  <c r="H139" i="11"/>
  <c r="G139" i="11"/>
  <c r="C139" i="11"/>
  <c r="H138" i="11"/>
  <c r="G138" i="11"/>
  <c r="C138" i="11"/>
  <c r="H137" i="11"/>
  <c r="G137" i="11"/>
  <c r="C137" i="11"/>
  <c r="H136" i="11"/>
  <c r="G136" i="11"/>
  <c r="C136" i="11"/>
  <c r="H135" i="11"/>
  <c r="G135" i="11"/>
  <c r="C135" i="11"/>
  <c r="H134" i="11"/>
  <c r="G134" i="11"/>
  <c r="C134" i="11"/>
  <c r="H133" i="11"/>
  <c r="G133" i="11"/>
  <c r="C133" i="11"/>
  <c r="H132" i="11"/>
  <c r="G132" i="11"/>
  <c r="C132" i="11"/>
  <c r="H131" i="11"/>
  <c r="G131" i="11"/>
  <c r="C131" i="11"/>
  <c r="H130" i="11"/>
  <c r="G130" i="11"/>
  <c r="C130" i="11"/>
  <c r="H129" i="11"/>
  <c r="G129" i="11"/>
  <c r="C129" i="11"/>
  <c r="H128" i="11"/>
  <c r="G128" i="11"/>
  <c r="C128" i="11"/>
  <c r="H127" i="11"/>
  <c r="G127" i="11"/>
  <c r="C127" i="11"/>
  <c r="H126" i="11"/>
  <c r="G126" i="11"/>
  <c r="C126" i="11"/>
  <c r="H125" i="11"/>
  <c r="G125" i="11"/>
  <c r="C125" i="11"/>
  <c r="H124" i="11"/>
  <c r="G124" i="11"/>
  <c r="C124" i="11"/>
  <c r="H123" i="11"/>
  <c r="G123" i="11"/>
  <c r="C123" i="11"/>
  <c r="H122" i="11"/>
  <c r="G122" i="11"/>
  <c r="C122" i="11"/>
  <c r="H121" i="11"/>
  <c r="G121" i="11"/>
  <c r="C121" i="11"/>
  <c r="H120" i="11"/>
  <c r="G120" i="11"/>
  <c r="C120" i="11"/>
  <c r="H119" i="11"/>
  <c r="G119" i="11"/>
  <c r="C119" i="11"/>
  <c r="H118" i="11"/>
  <c r="G118" i="11"/>
  <c r="C118" i="11"/>
  <c r="H117" i="11"/>
  <c r="G117" i="11"/>
  <c r="C117" i="11"/>
  <c r="H116" i="11"/>
  <c r="G116" i="11"/>
  <c r="C116" i="11"/>
  <c r="H115" i="11"/>
  <c r="G115" i="11"/>
  <c r="C115" i="11"/>
  <c r="H114" i="11"/>
  <c r="G114" i="11"/>
  <c r="C114" i="11"/>
  <c r="H113" i="11"/>
  <c r="G113" i="11"/>
  <c r="C113" i="11"/>
  <c r="H112" i="11"/>
  <c r="G112" i="11"/>
  <c r="C112" i="11"/>
  <c r="H111" i="11"/>
  <c r="G111" i="11"/>
  <c r="C111" i="11"/>
  <c r="H110" i="11"/>
  <c r="G110" i="11"/>
  <c r="C110" i="11"/>
  <c r="H109" i="11"/>
  <c r="G109" i="11"/>
  <c r="C109" i="11"/>
  <c r="H108" i="11"/>
  <c r="G108" i="11"/>
  <c r="C108" i="11"/>
  <c r="H107" i="11"/>
  <c r="G107" i="11"/>
  <c r="C107" i="11"/>
  <c r="H106" i="11"/>
  <c r="G106" i="11"/>
  <c r="C106" i="11"/>
  <c r="H105" i="11"/>
  <c r="G105" i="11"/>
  <c r="C105" i="11"/>
  <c r="H104" i="11"/>
  <c r="G104" i="11"/>
  <c r="C104" i="11"/>
  <c r="H103" i="11"/>
  <c r="G103" i="11"/>
  <c r="C103" i="11"/>
  <c r="H102" i="11"/>
  <c r="G102" i="11"/>
  <c r="C102" i="11"/>
  <c r="H101" i="11"/>
  <c r="G101" i="11"/>
  <c r="C101" i="11"/>
  <c r="H100" i="11"/>
  <c r="G100" i="11"/>
  <c r="C100" i="11"/>
  <c r="H99" i="11"/>
  <c r="G99" i="11"/>
  <c r="C99" i="11"/>
  <c r="H98" i="11"/>
  <c r="G98" i="11"/>
  <c r="C98" i="11"/>
  <c r="H97" i="11"/>
  <c r="G97" i="11"/>
  <c r="C97" i="11"/>
  <c r="H96" i="11"/>
  <c r="G96" i="11"/>
  <c r="C96" i="11"/>
  <c r="H95" i="11"/>
  <c r="G95" i="11"/>
  <c r="C95" i="11"/>
  <c r="H94" i="11"/>
  <c r="G94" i="11"/>
  <c r="C94" i="11"/>
  <c r="H93" i="11"/>
  <c r="G93" i="11"/>
  <c r="C93" i="11"/>
  <c r="H92" i="11"/>
  <c r="G92" i="11"/>
  <c r="C92" i="11"/>
  <c r="H91" i="11"/>
  <c r="G91" i="11"/>
  <c r="C91" i="11"/>
  <c r="H90" i="11"/>
  <c r="G90" i="11"/>
  <c r="C90" i="11"/>
  <c r="H89" i="11"/>
  <c r="G89" i="11"/>
  <c r="C89" i="11"/>
  <c r="H88" i="11"/>
  <c r="G88" i="11"/>
  <c r="C88" i="11"/>
  <c r="H87" i="11"/>
  <c r="G87" i="11"/>
  <c r="C87" i="11"/>
  <c r="H86" i="11"/>
  <c r="G86" i="11"/>
  <c r="C86" i="11"/>
  <c r="H85" i="11"/>
  <c r="G85" i="11"/>
  <c r="C85" i="11"/>
  <c r="H84" i="11"/>
  <c r="G84" i="11"/>
  <c r="C84" i="11"/>
  <c r="H83" i="11"/>
  <c r="G83" i="11"/>
  <c r="C83" i="11"/>
  <c r="H82" i="11"/>
  <c r="G82" i="11"/>
  <c r="C82" i="11"/>
  <c r="H81" i="11"/>
  <c r="G81" i="11"/>
  <c r="C81" i="11"/>
  <c r="H80" i="11"/>
  <c r="G80" i="11"/>
  <c r="C80" i="11"/>
  <c r="H79" i="11"/>
  <c r="G79" i="11"/>
  <c r="C79" i="11"/>
  <c r="H78" i="11"/>
  <c r="G78" i="11"/>
  <c r="C78" i="11"/>
  <c r="H77" i="11"/>
  <c r="G77" i="11"/>
  <c r="C77" i="11"/>
  <c r="H76" i="11"/>
  <c r="G76" i="11"/>
  <c r="C76" i="11"/>
  <c r="H75" i="11"/>
  <c r="G75" i="11"/>
  <c r="C75" i="11"/>
  <c r="H74" i="11"/>
  <c r="G74" i="11"/>
  <c r="C74" i="11"/>
  <c r="H73" i="11"/>
  <c r="G73" i="11"/>
  <c r="C73" i="11"/>
  <c r="H72" i="11"/>
  <c r="G72" i="11"/>
  <c r="C72" i="11"/>
  <c r="H71" i="11"/>
  <c r="G71" i="11"/>
  <c r="C71" i="11"/>
  <c r="H70" i="11"/>
  <c r="G70" i="11"/>
  <c r="C70" i="11"/>
  <c r="H69" i="11"/>
  <c r="G69" i="11"/>
  <c r="C69" i="11"/>
  <c r="H68" i="11"/>
  <c r="G68" i="11"/>
  <c r="C68" i="11"/>
  <c r="H67" i="11"/>
  <c r="G67" i="11"/>
  <c r="C67" i="11"/>
  <c r="H66" i="11"/>
  <c r="G66" i="11"/>
  <c r="C66" i="11"/>
  <c r="H65" i="11"/>
  <c r="G65" i="11"/>
  <c r="C65" i="11"/>
  <c r="H64" i="11"/>
  <c r="G64" i="11"/>
  <c r="C64" i="11"/>
  <c r="H63" i="11"/>
  <c r="G63" i="11"/>
  <c r="C63" i="11"/>
  <c r="H62" i="11"/>
  <c r="G62" i="11"/>
  <c r="C62" i="11"/>
  <c r="H61" i="11"/>
  <c r="G61" i="11"/>
  <c r="C61" i="11"/>
  <c r="H60" i="11"/>
  <c r="G60" i="11"/>
  <c r="C60" i="11"/>
  <c r="H59" i="11"/>
  <c r="G59" i="11"/>
  <c r="C59" i="11"/>
  <c r="H58" i="11"/>
  <c r="G58" i="11"/>
  <c r="C58" i="11"/>
  <c r="H57" i="11"/>
  <c r="G57" i="11"/>
  <c r="C57" i="11"/>
  <c r="H56" i="11"/>
  <c r="G56" i="11"/>
  <c r="C56" i="11"/>
  <c r="H55" i="11"/>
  <c r="G55" i="11"/>
  <c r="C55" i="11"/>
  <c r="H54" i="11"/>
  <c r="G54" i="11"/>
  <c r="C54" i="11"/>
  <c r="H53" i="11"/>
  <c r="G53" i="11"/>
  <c r="C53" i="11"/>
  <c r="H52" i="11"/>
  <c r="G52" i="11"/>
  <c r="C52" i="11"/>
  <c r="H51" i="11"/>
  <c r="G51" i="11"/>
  <c r="C51" i="11"/>
  <c r="H50" i="11"/>
  <c r="G50" i="11"/>
  <c r="C50" i="11"/>
  <c r="H49" i="11"/>
  <c r="G49" i="11"/>
  <c r="C49" i="11"/>
  <c r="H48" i="11"/>
  <c r="G48" i="11"/>
  <c r="C48" i="11"/>
  <c r="H47" i="11"/>
  <c r="G47" i="11"/>
  <c r="C47" i="11"/>
  <c r="H46" i="11"/>
  <c r="G46" i="11"/>
  <c r="C46" i="11"/>
  <c r="H45" i="11"/>
  <c r="G45" i="11"/>
  <c r="C45" i="11"/>
  <c r="H44" i="11"/>
  <c r="G44" i="11"/>
  <c r="C44" i="11"/>
  <c r="H43" i="11"/>
  <c r="G43" i="11"/>
  <c r="C43" i="11"/>
  <c r="H42" i="11"/>
  <c r="G42" i="11"/>
  <c r="C42" i="11"/>
  <c r="H41" i="11"/>
  <c r="G41" i="11"/>
  <c r="C41" i="11"/>
  <c r="H40" i="11"/>
  <c r="G40" i="11"/>
  <c r="C40" i="11"/>
  <c r="H39" i="11"/>
  <c r="G39" i="11"/>
  <c r="C39" i="11"/>
  <c r="H38" i="11"/>
  <c r="G38" i="11"/>
  <c r="C38" i="11"/>
  <c r="H37" i="11"/>
  <c r="G37" i="11"/>
  <c r="C37" i="11"/>
  <c r="H36" i="11"/>
  <c r="G36" i="11"/>
  <c r="C36" i="11"/>
  <c r="H35" i="11"/>
  <c r="G35" i="11"/>
  <c r="C35" i="11"/>
  <c r="H34" i="11"/>
  <c r="G34" i="11"/>
  <c r="C34" i="11"/>
  <c r="H33" i="11"/>
  <c r="G33" i="11"/>
  <c r="C33" i="11"/>
  <c r="H32" i="11"/>
  <c r="G32" i="11"/>
  <c r="C32" i="11"/>
  <c r="H31" i="11"/>
  <c r="G31" i="11"/>
  <c r="C31" i="11"/>
  <c r="H30" i="11"/>
  <c r="G30" i="11"/>
  <c r="C30" i="11"/>
  <c r="H29" i="11"/>
  <c r="G29" i="11"/>
  <c r="C29" i="11"/>
  <c r="H28" i="11"/>
  <c r="G28" i="11"/>
  <c r="C28" i="11"/>
  <c r="H27" i="11"/>
  <c r="G27" i="11"/>
  <c r="C27" i="11"/>
  <c r="H26" i="11"/>
  <c r="G26" i="11"/>
  <c r="C26" i="11"/>
  <c r="H25" i="11"/>
  <c r="G25" i="11"/>
  <c r="C25" i="11"/>
  <c r="H24" i="11"/>
  <c r="G24" i="11"/>
  <c r="C24" i="11"/>
  <c r="H23" i="11"/>
  <c r="G23" i="11"/>
  <c r="C23" i="11"/>
  <c r="H22" i="11"/>
  <c r="G22" i="11"/>
  <c r="C22" i="11"/>
  <c r="H21" i="11"/>
  <c r="G21" i="11"/>
  <c r="C21" i="11"/>
  <c r="H20" i="11"/>
  <c r="G20" i="11"/>
  <c r="C20" i="11"/>
  <c r="H19" i="11"/>
  <c r="G19" i="11"/>
  <c r="C19" i="11"/>
  <c r="H18" i="11"/>
  <c r="G18" i="11"/>
  <c r="C18" i="11"/>
  <c r="H17" i="11"/>
  <c r="G17" i="11"/>
  <c r="C17" i="11"/>
  <c r="H16" i="11"/>
  <c r="G16" i="11"/>
  <c r="C16" i="11"/>
  <c r="H15" i="11"/>
  <c r="G15" i="11"/>
  <c r="C15" i="11"/>
  <c r="H14" i="11"/>
  <c r="G14" i="11"/>
  <c r="C14" i="11"/>
  <c r="H13" i="11"/>
  <c r="G13" i="11"/>
  <c r="C13" i="11"/>
  <c r="H12" i="11"/>
  <c r="G12" i="11"/>
  <c r="C12" i="11"/>
  <c r="H11" i="11"/>
  <c r="G11" i="11"/>
  <c r="C11" i="11"/>
  <c r="H10" i="11"/>
  <c r="G10" i="11"/>
  <c r="C10" i="11"/>
  <c r="H9" i="11"/>
  <c r="G9" i="11"/>
  <c r="C9" i="11"/>
  <c r="H8" i="11"/>
  <c r="G8" i="11"/>
  <c r="C8" i="11"/>
  <c r="H7" i="11"/>
  <c r="G7" i="11"/>
  <c r="C7" i="11"/>
  <c r="H6" i="11"/>
  <c r="G6" i="11"/>
  <c r="C6" i="11"/>
  <c r="H5" i="11"/>
  <c r="G5" i="11"/>
  <c r="C5" i="11"/>
  <c r="H4" i="11"/>
  <c r="G4" i="11"/>
  <c r="C4" i="11"/>
  <c r="C3" i="11"/>
  <c r="C2" i="11"/>
  <c r="S201" i="10"/>
  <c r="R201" i="10"/>
  <c r="Q201" i="10"/>
  <c r="K201" i="10"/>
  <c r="J201" i="10"/>
  <c r="C201" i="10"/>
  <c r="S200" i="10"/>
  <c r="R200" i="10"/>
  <c r="Q200" i="10"/>
  <c r="K200" i="10"/>
  <c r="J200" i="10"/>
  <c r="C200" i="10"/>
  <c r="S199" i="10"/>
  <c r="R199" i="10"/>
  <c r="Q199" i="10"/>
  <c r="K199" i="10"/>
  <c r="J199" i="10"/>
  <c r="C199" i="10"/>
  <c r="S198" i="10"/>
  <c r="R198" i="10"/>
  <c r="Q198" i="10"/>
  <c r="K198" i="10"/>
  <c r="J198" i="10"/>
  <c r="C198" i="10"/>
  <c r="S197" i="10"/>
  <c r="R197" i="10"/>
  <c r="Q197" i="10"/>
  <c r="K197" i="10"/>
  <c r="J197" i="10"/>
  <c r="C197" i="10"/>
  <c r="S196" i="10"/>
  <c r="R196" i="10"/>
  <c r="Q196" i="10"/>
  <c r="K196" i="10"/>
  <c r="J196" i="10"/>
  <c r="C196" i="10"/>
  <c r="S195" i="10"/>
  <c r="R195" i="10"/>
  <c r="Q195" i="10"/>
  <c r="K195" i="10"/>
  <c r="J195" i="10"/>
  <c r="C195" i="10"/>
  <c r="S194" i="10"/>
  <c r="R194" i="10"/>
  <c r="Q194" i="10"/>
  <c r="K194" i="10"/>
  <c r="J194" i="10"/>
  <c r="C194" i="10"/>
  <c r="S193" i="10"/>
  <c r="R193" i="10"/>
  <c r="Q193" i="10"/>
  <c r="K193" i="10"/>
  <c r="J193" i="10"/>
  <c r="C193" i="10"/>
  <c r="S192" i="10"/>
  <c r="R192" i="10"/>
  <c r="Q192" i="10"/>
  <c r="K192" i="10"/>
  <c r="J192" i="10"/>
  <c r="C192" i="10"/>
  <c r="S191" i="10"/>
  <c r="R191" i="10"/>
  <c r="Q191" i="10"/>
  <c r="K191" i="10"/>
  <c r="J191" i="10"/>
  <c r="C191" i="10"/>
  <c r="S190" i="10"/>
  <c r="R190" i="10"/>
  <c r="Q190" i="10"/>
  <c r="K190" i="10"/>
  <c r="J190" i="10"/>
  <c r="C190" i="10"/>
  <c r="S189" i="10"/>
  <c r="R189" i="10"/>
  <c r="Q189" i="10"/>
  <c r="K189" i="10"/>
  <c r="J189" i="10"/>
  <c r="C189" i="10"/>
  <c r="S188" i="10"/>
  <c r="R188" i="10"/>
  <c r="Q188" i="10"/>
  <c r="K188" i="10"/>
  <c r="J188" i="10"/>
  <c r="C188" i="10"/>
  <c r="S187" i="10"/>
  <c r="R187" i="10"/>
  <c r="Q187" i="10"/>
  <c r="K187" i="10"/>
  <c r="J187" i="10"/>
  <c r="C187" i="10"/>
  <c r="S186" i="10"/>
  <c r="R186" i="10"/>
  <c r="Q186" i="10"/>
  <c r="K186" i="10"/>
  <c r="J186" i="10"/>
  <c r="C186" i="10"/>
  <c r="S185" i="10"/>
  <c r="R185" i="10"/>
  <c r="Q185" i="10"/>
  <c r="K185" i="10"/>
  <c r="J185" i="10"/>
  <c r="C185" i="10"/>
  <c r="S184" i="10"/>
  <c r="R184" i="10"/>
  <c r="Q184" i="10"/>
  <c r="K184" i="10"/>
  <c r="J184" i="10"/>
  <c r="C184" i="10"/>
  <c r="S183" i="10"/>
  <c r="R183" i="10"/>
  <c r="Q183" i="10"/>
  <c r="K183" i="10"/>
  <c r="J183" i="10"/>
  <c r="C183" i="10"/>
  <c r="S182" i="10"/>
  <c r="R182" i="10"/>
  <c r="Q182" i="10"/>
  <c r="K182" i="10"/>
  <c r="J182" i="10"/>
  <c r="C182" i="10"/>
  <c r="S181" i="10"/>
  <c r="R181" i="10"/>
  <c r="Q181" i="10"/>
  <c r="K181" i="10"/>
  <c r="J181" i="10"/>
  <c r="C181" i="10"/>
  <c r="S180" i="10"/>
  <c r="R180" i="10"/>
  <c r="Q180" i="10"/>
  <c r="K180" i="10"/>
  <c r="J180" i="10"/>
  <c r="C180" i="10"/>
  <c r="S179" i="10"/>
  <c r="R179" i="10"/>
  <c r="Q179" i="10"/>
  <c r="K179" i="10"/>
  <c r="J179" i="10"/>
  <c r="C179" i="10"/>
  <c r="S178" i="10"/>
  <c r="R178" i="10"/>
  <c r="Q178" i="10"/>
  <c r="K178" i="10"/>
  <c r="J178" i="10"/>
  <c r="C178" i="10"/>
  <c r="S177" i="10"/>
  <c r="R177" i="10"/>
  <c r="Q177" i="10"/>
  <c r="K177" i="10"/>
  <c r="J177" i="10"/>
  <c r="C177" i="10"/>
  <c r="S176" i="10"/>
  <c r="R176" i="10"/>
  <c r="Q176" i="10"/>
  <c r="K176" i="10"/>
  <c r="J176" i="10"/>
  <c r="C176" i="10"/>
  <c r="S175" i="10"/>
  <c r="R175" i="10"/>
  <c r="Q175" i="10"/>
  <c r="K175" i="10"/>
  <c r="J175" i="10"/>
  <c r="C175" i="10"/>
  <c r="S174" i="10"/>
  <c r="R174" i="10"/>
  <c r="Q174" i="10"/>
  <c r="K174" i="10"/>
  <c r="J174" i="10"/>
  <c r="C174" i="10"/>
  <c r="S173" i="10"/>
  <c r="R173" i="10"/>
  <c r="Q173" i="10"/>
  <c r="K173" i="10"/>
  <c r="J173" i="10"/>
  <c r="C173" i="10"/>
  <c r="S172" i="10"/>
  <c r="R172" i="10"/>
  <c r="Q172" i="10"/>
  <c r="K172" i="10"/>
  <c r="J172" i="10"/>
  <c r="C172" i="10"/>
  <c r="S171" i="10"/>
  <c r="R171" i="10"/>
  <c r="Q171" i="10"/>
  <c r="K171" i="10"/>
  <c r="J171" i="10"/>
  <c r="C171" i="10"/>
  <c r="S170" i="10"/>
  <c r="R170" i="10"/>
  <c r="Q170" i="10"/>
  <c r="K170" i="10"/>
  <c r="J170" i="10"/>
  <c r="C170" i="10"/>
  <c r="S169" i="10"/>
  <c r="R169" i="10"/>
  <c r="Q169" i="10"/>
  <c r="K169" i="10"/>
  <c r="J169" i="10"/>
  <c r="C169" i="10"/>
  <c r="S168" i="10"/>
  <c r="R168" i="10"/>
  <c r="Q168" i="10"/>
  <c r="K168" i="10"/>
  <c r="J168" i="10"/>
  <c r="C168" i="10"/>
  <c r="S167" i="10"/>
  <c r="R167" i="10"/>
  <c r="Q167" i="10"/>
  <c r="K167" i="10"/>
  <c r="J167" i="10"/>
  <c r="C167" i="10"/>
  <c r="S166" i="10"/>
  <c r="R166" i="10"/>
  <c r="Q166" i="10"/>
  <c r="K166" i="10"/>
  <c r="J166" i="10"/>
  <c r="C166" i="10"/>
  <c r="S165" i="10"/>
  <c r="R165" i="10"/>
  <c r="Q165" i="10"/>
  <c r="K165" i="10"/>
  <c r="J165" i="10"/>
  <c r="C165" i="10"/>
  <c r="S164" i="10"/>
  <c r="R164" i="10"/>
  <c r="Q164" i="10"/>
  <c r="K164" i="10"/>
  <c r="J164" i="10"/>
  <c r="C164" i="10"/>
  <c r="S163" i="10"/>
  <c r="R163" i="10"/>
  <c r="Q163" i="10"/>
  <c r="K163" i="10"/>
  <c r="J163" i="10"/>
  <c r="C163" i="10"/>
  <c r="S162" i="10"/>
  <c r="R162" i="10"/>
  <c r="Q162" i="10"/>
  <c r="K162" i="10"/>
  <c r="J162" i="10"/>
  <c r="C162" i="10"/>
  <c r="S161" i="10"/>
  <c r="R161" i="10"/>
  <c r="Q161" i="10"/>
  <c r="K161" i="10"/>
  <c r="J161" i="10"/>
  <c r="C161" i="10"/>
  <c r="S160" i="10"/>
  <c r="R160" i="10"/>
  <c r="Q160" i="10"/>
  <c r="K160" i="10"/>
  <c r="J160" i="10"/>
  <c r="C160" i="10"/>
  <c r="S159" i="10"/>
  <c r="R159" i="10"/>
  <c r="Q159" i="10"/>
  <c r="K159" i="10"/>
  <c r="J159" i="10"/>
  <c r="C159" i="10"/>
  <c r="S158" i="10"/>
  <c r="R158" i="10"/>
  <c r="Q158" i="10"/>
  <c r="K158" i="10"/>
  <c r="J158" i="10"/>
  <c r="C158" i="10"/>
  <c r="S157" i="10"/>
  <c r="R157" i="10"/>
  <c r="Q157" i="10"/>
  <c r="K157" i="10"/>
  <c r="J157" i="10"/>
  <c r="C157" i="10"/>
  <c r="S156" i="10"/>
  <c r="R156" i="10"/>
  <c r="Q156" i="10"/>
  <c r="K156" i="10"/>
  <c r="J156" i="10"/>
  <c r="C156" i="10"/>
  <c r="S155" i="10"/>
  <c r="R155" i="10"/>
  <c r="Q155" i="10"/>
  <c r="K155" i="10"/>
  <c r="J155" i="10"/>
  <c r="C155" i="10"/>
  <c r="S154" i="10"/>
  <c r="R154" i="10"/>
  <c r="Q154" i="10"/>
  <c r="K154" i="10"/>
  <c r="J154" i="10"/>
  <c r="C154" i="10"/>
  <c r="S153" i="10"/>
  <c r="R153" i="10"/>
  <c r="Q153" i="10"/>
  <c r="K153" i="10"/>
  <c r="J153" i="10"/>
  <c r="C153" i="10"/>
  <c r="S152" i="10"/>
  <c r="R152" i="10"/>
  <c r="Q152" i="10"/>
  <c r="K152" i="10"/>
  <c r="J152" i="10"/>
  <c r="C152" i="10"/>
  <c r="S151" i="10"/>
  <c r="R151" i="10"/>
  <c r="Q151" i="10"/>
  <c r="K151" i="10"/>
  <c r="J151" i="10"/>
  <c r="C151" i="10"/>
  <c r="S150" i="10"/>
  <c r="R150" i="10"/>
  <c r="Q150" i="10"/>
  <c r="K150" i="10"/>
  <c r="J150" i="10"/>
  <c r="C150" i="10"/>
  <c r="S149" i="10"/>
  <c r="R149" i="10"/>
  <c r="Q149" i="10"/>
  <c r="K149" i="10"/>
  <c r="J149" i="10"/>
  <c r="C149" i="10"/>
  <c r="S148" i="10"/>
  <c r="R148" i="10"/>
  <c r="Q148" i="10"/>
  <c r="K148" i="10"/>
  <c r="J148" i="10"/>
  <c r="C148" i="10"/>
  <c r="S147" i="10"/>
  <c r="R147" i="10"/>
  <c r="Q147" i="10"/>
  <c r="K147" i="10"/>
  <c r="J147" i="10"/>
  <c r="C147" i="10"/>
  <c r="S146" i="10"/>
  <c r="R146" i="10"/>
  <c r="Q146" i="10"/>
  <c r="K146" i="10"/>
  <c r="J146" i="10"/>
  <c r="C146" i="10"/>
  <c r="S145" i="10"/>
  <c r="R145" i="10"/>
  <c r="Q145" i="10"/>
  <c r="K145" i="10"/>
  <c r="J145" i="10"/>
  <c r="C145" i="10"/>
  <c r="S144" i="10"/>
  <c r="R144" i="10"/>
  <c r="Q144" i="10"/>
  <c r="K144" i="10"/>
  <c r="J144" i="10"/>
  <c r="C144" i="10"/>
  <c r="S143" i="10"/>
  <c r="R143" i="10"/>
  <c r="Q143" i="10"/>
  <c r="K143" i="10"/>
  <c r="J143" i="10"/>
  <c r="C143" i="10"/>
  <c r="S142" i="10"/>
  <c r="R142" i="10"/>
  <c r="Q142" i="10"/>
  <c r="K142" i="10"/>
  <c r="J142" i="10"/>
  <c r="C142" i="10"/>
  <c r="S141" i="10"/>
  <c r="R141" i="10"/>
  <c r="Q141" i="10"/>
  <c r="K141" i="10"/>
  <c r="J141" i="10"/>
  <c r="C141" i="10"/>
  <c r="S140" i="10"/>
  <c r="R140" i="10"/>
  <c r="Q140" i="10"/>
  <c r="K140" i="10"/>
  <c r="J140" i="10"/>
  <c r="C140" i="10"/>
  <c r="S139" i="10"/>
  <c r="R139" i="10"/>
  <c r="Q139" i="10"/>
  <c r="K139" i="10"/>
  <c r="J139" i="10"/>
  <c r="C139" i="10"/>
  <c r="S138" i="10"/>
  <c r="R138" i="10"/>
  <c r="Q138" i="10"/>
  <c r="K138" i="10"/>
  <c r="J138" i="10"/>
  <c r="C138" i="10"/>
  <c r="S137" i="10"/>
  <c r="R137" i="10"/>
  <c r="Q137" i="10"/>
  <c r="K137" i="10"/>
  <c r="J137" i="10"/>
  <c r="C137" i="10"/>
  <c r="S136" i="10"/>
  <c r="R136" i="10"/>
  <c r="Q136" i="10"/>
  <c r="K136" i="10"/>
  <c r="J136" i="10"/>
  <c r="C136" i="10"/>
  <c r="S135" i="10"/>
  <c r="R135" i="10"/>
  <c r="Q135" i="10"/>
  <c r="K135" i="10"/>
  <c r="J135" i="10"/>
  <c r="C135" i="10"/>
  <c r="S134" i="10"/>
  <c r="R134" i="10"/>
  <c r="Q134" i="10"/>
  <c r="K134" i="10"/>
  <c r="J134" i="10"/>
  <c r="C134" i="10"/>
  <c r="S133" i="10"/>
  <c r="R133" i="10"/>
  <c r="Q133" i="10"/>
  <c r="K133" i="10"/>
  <c r="J133" i="10"/>
  <c r="C133" i="10"/>
  <c r="S132" i="10"/>
  <c r="R132" i="10"/>
  <c r="Q132" i="10"/>
  <c r="K132" i="10"/>
  <c r="J132" i="10"/>
  <c r="C132" i="10"/>
  <c r="S131" i="10"/>
  <c r="R131" i="10"/>
  <c r="Q131" i="10"/>
  <c r="K131" i="10"/>
  <c r="J131" i="10"/>
  <c r="C131" i="10"/>
  <c r="S130" i="10"/>
  <c r="R130" i="10"/>
  <c r="Q130" i="10"/>
  <c r="K130" i="10"/>
  <c r="J130" i="10"/>
  <c r="C130" i="10"/>
  <c r="S129" i="10"/>
  <c r="R129" i="10"/>
  <c r="Q129" i="10"/>
  <c r="K129" i="10"/>
  <c r="J129" i="10"/>
  <c r="C129" i="10"/>
  <c r="S128" i="10"/>
  <c r="R128" i="10"/>
  <c r="Q128" i="10"/>
  <c r="K128" i="10"/>
  <c r="J128" i="10"/>
  <c r="C128" i="10"/>
  <c r="S127" i="10"/>
  <c r="R127" i="10"/>
  <c r="Q127" i="10"/>
  <c r="K127" i="10"/>
  <c r="J127" i="10"/>
  <c r="C127" i="10"/>
  <c r="S126" i="10"/>
  <c r="R126" i="10"/>
  <c r="Q126" i="10"/>
  <c r="K126" i="10"/>
  <c r="J126" i="10"/>
  <c r="C126" i="10"/>
  <c r="S125" i="10"/>
  <c r="R125" i="10"/>
  <c r="Q125" i="10"/>
  <c r="K125" i="10"/>
  <c r="J125" i="10"/>
  <c r="C125" i="10"/>
  <c r="S124" i="10"/>
  <c r="R124" i="10"/>
  <c r="Q124" i="10"/>
  <c r="K124" i="10"/>
  <c r="J124" i="10"/>
  <c r="C124" i="10"/>
  <c r="S123" i="10"/>
  <c r="R123" i="10"/>
  <c r="Q123" i="10"/>
  <c r="K123" i="10"/>
  <c r="J123" i="10"/>
  <c r="C123" i="10"/>
  <c r="S122" i="10"/>
  <c r="R122" i="10"/>
  <c r="Q122" i="10"/>
  <c r="K122" i="10"/>
  <c r="J122" i="10"/>
  <c r="C122" i="10"/>
  <c r="S121" i="10"/>
  <c r="R121" i="10"/>
  <c r="Q121" i="10"/>
  <c r="K121" i="10"/>
  <c r="J121" i="10"/>
  <c r="C121" i="10"/>
  <c r="S120" i="10"/>
  <c r="R120" i="10"/>
  <c r="Q120" i="10"/>
  <c r="K120" i="10"/>
  <c r="J120" i="10"/>
  <c r="C120" i="10"/>
  <c r="S119" i="10"/>
  <c r="R119" i="10"/>
  <c r="Q119" i="10"/>
  <c r="K119" i="10"/>
  <c r="J119" i="10"/>
  <c r="C119" i="10"/>
  <c r="S118" i="10"/>
  <c r="R118" i="10"/>
  <c r="Q118" i="10"/>
  <c r="K118" i="10"/>
  <c r="J118" i="10"/>
  <c r="C118" i="10"/>
  <c r="S117" i="10"/>
  <c r="R117" i="10"/>
  <c r="Q117" i="10"/>
  <c r="K117" i="10"/>
  <c r="J117" i="10"/>
  <c r="C117" i="10"/>
  <c r="S116" i="10"/>
  <c r="R116" i="10"/>
  <c r="Q116" i="10"/>
  <c r="K116" i="10"/>
  <c r="J116" i="10"/>
  <c r="C116" i="10"/>
  <c r="S115" i="10"/>
  <c r="R115" i="10"/>
  <c r="Q115" i="10"/>
  <c r="K115" i="10"/>
  <c r="J115" i="10"/>
  <c r="C115" i="10"/>
  <c r="S114" i="10"/>
  <c r="R114" i="10"/>
  <c r="Q114" i="10"/>
  <c r="K114" i="10"/>
  <c r="J114" i="10"/>
  <c r="C114" i="10"/>
  <c r="S113" i="10"/>
  <c r="R113" i="10"/>
  <c r="Q113" i="10"/>
  <c r="K113" i="10"/>
  <c r="J113" i="10"/>
  <c r="C113" i="10"/>
  <c r="S112" i="10"/>
  <c r="R112" i="10"/>
  <c r="Q112" i="10"/>
  <c r="K112" i="10"/>
  <c r="J112" i="10"/>
  <c r="C112" i="10"/>
  <c r="S111" i="10"/>
  <c r="R111" i="10"/>
  <c r="Q111" i="10"/>
  <c r="K111" i="10"/>
  <c r="J111" i="10"/>
  <c r="C111" i="10"/>
  <c r="S110" i="10"/>
  <c r="R110" i="10"/>
  <c r="Q110" i="10"/>
  <c r="K110" i="10"/>
  <c r="J110" i="10"/>
  <c r="C110" i="10"/>
  <c r="S109" i="10"/>
  <c r="R109" i="10"/>
  <c r="Q109" i="10"/>
  <c r="K109" i="10"/>
  <c r="J109" i="10"/>
  <c r="C109" i="10"/>
  <c r="S108" i="10"/>
  <c r="R108" i="10"/>
  <c r="Q108" i="10"/>
  <c r="K108" i="10"/>
  <c r="J108" i="10"/>
  <c r="C108" i="10"/>
  <c r="S107" i="10"/>
  <c r="R107" i="10"/>
  <c r="Q107" i="10"/>
  <c r="K107" i="10"/>
  <c r="J107" i="10"/>
  <c r="C107" i="10"/>
  <c r="S106" i="10"/>
  <c r="R106" i="10"/>
  <c r="Q106" i="10"/>
  <c r="K106" i="10"/>
  <c r="J106" i="10"/>
  <c r="C106" i="10"/>
  <c r="S105" i="10"/>
  <c r="R105" i="10"/>
  <c r="Q105" i="10"/>
  <c r="K105" i="10"/>
  <c r="J105" i="10"/>
  <c r="C105" i="10"/>
  <c r="S104" i="10"/>
  <c r="R104" i="10"/>
  <c r="Q104" i="10"/>
  <c r="K104" i="10"/>
  <c r="J104" i="10"/>
  <c r="C104" i="10"/>
  <c r="S103" i="10"/>
  <c r="R103" i="10"/>
  <c r="Q103" i="10"/>
  <c r="K103" i="10"/>
  <c r="J103" i="10"/>
  <c r="C103" i="10"/>
  <c r="S102" i="10"/>
  <c r="R102" i="10"/>
  <c r="Q102" i="10"/>
  <c r="K102" i="10"/>
  <c r="J102" i="10"/>
  <c r="C102" i="10"/>
  <c r="S101" i="10"/>
  <c r="R101" i="10"/>
  <c r="Q101" i="10"/>
  <c r="K101" i="10"/>
  <c r="J101" i="10"/>
  <c r="C101" i="10"/>
  <c r="S100" i="10"/>
  <c r="R100" i="10"/>
  <c r="Q100" i="10"/>
  <c r="K100" i="10"/>
  <c r="J100" i="10"/>
  <c r="C100" i="10"/>
  <c r="S99" i="10"/>
  <c r="R99" i="10"/>
  <c r="Q99" i="10"/>
  <c r="K99" i="10"/>
  <c r="J99" i="10"/>
  <c r="C99" i="10"/>
  <c r="S98" i="10"/>
  <c r="R98" i="10"/>
  <c r="Q98" i="10"/>
  <c r="K98" i="10"/>
  <c r="J98" i="10"/>
  <c r="C98" i="10"/>
  <c r="S97" i="10"/>
  <c r="R97" i="10"/>
  <c r="Q97" i="10"/>
  <c r="K97" i="10"/>
  <c r="J97" i="10"/>
  <c r="C97" i="10"/>
  <c r="S96" i="10"/>
  <c r="R96" i="10"/>
  <c r="Q96" i="10"/>
  <c r="K96" i="10"/>
  <c r="J96" i="10"/>
  <c r="C96" i="10"/>
  <c r="S95" i="10"/>
  <c r="R95" i="10"/>
  <c r="Q95" i="10"/>
  <c r="K95" i="10"/>
  <c r="J95" i="10"/>
  <c r="C95" i="10"/>
  <c r="S94" i="10"/>
  <c r="R94" i="10"/>
  <c r="Q94" i="10"/>
  <c r="K94" i="10"/>
  <c r="J94" i="10"/>
  <c r="C94" i="10"/>
  <c r="S93" i="10"/>
  <c r="R93" i="10"/>
  <c r="Q93" i="10"/>
  <c r="K93" i="10"/>
  <c r="J93" i="10"/>
  <c r="C93" i="10"/>
  <c r="S92" i="10"/>
  <c r="R92" i="10"/>
  <c r="Q92" i="10"/>
  <c r="K92" i="10"/>
  <c r="J92" i="10"/>
  <c r="C92" i="10"/>
  <c r="S91" i="10"/>
  <c r="R91" i="10"/>
  <c r="Q91" i="10"/>
  <c r="K91" i="10"/>
  <c r="J91" i="10"/>
  <c r="C91" i="10"/>
  <c r="S90" i="10"/>
  <c r="R90" i="10"/>
  <c r="Q90" i="10"/>
  <c r="K90" i="10"/>
  <c r="J90" i="10"/>
  <c r="C90" i="10"/>
  <c r="S89" i="10"/>
  <c r="R89" i="10"/>
  <c r="Q89" i="10"/>
  <c r="K89" i="10"/>
  <c r="J89" i="10"/>
  <c r="C89" i="10"/>
  <c r="S88" i="10"/>
  <c r="R88" i="10"/>
  <c r="Q88" i="10"/>
  <c r="K88" i="10"/>
  <c r="J88" i="10"/>
  <c r="C88" i="10"/>
  <c r="S87" i="10"/>
  <c r="R87" i="10"/>
  <c r="Q87" i="10"/>
  <c r="K87" i="10"/>
  <c r="J87" i="10"/>
  <c r="C87" i="10"/>
  <c r="S86" i="10"/>
  <c r="R86" i="10"/>
  <c r="Q86" i="10"/>
  <c r="K86" i="10"/>
  <c r="J86" i="10"/>
  <c r="C86" i="10"/>
  <c r="S85" i="10"/>
  <c r="R85" i="10"/>
  <c r="Q85" i="10"/>
  <c r="K85" i="10"/>
  <c r="J85" i="10"/>
  <c r="C85" i="10"/>
  <c r="S84" i="10"/>
  <c r="R84" i="10"/>
  <c r="Q84" i="10"/>
  <c r="K84" i="10"/>
  <c r="J84" i="10"/>
  <c r="C84" i="10"/>
  <c r="S83" i="10"/>
  <c r="R83" i="10"/>
  <c r="Q83" i="10"/>
  <c r="K83" i="10"/>
  <c r="J83" i="10"/>
  <c r="C83" i="10"/>
  <c r="S82" i="10"/>
  <c r="R82" i="10"/>
  <c r="Q82" i="10"/>
  <c r="K82" i="10"/>
  <c r="J82" i="10"/>
  <c r="C82" i="10"/>
  <c r="S81" i="10"/>
  <c r="R81" i="10"/>
  <c r="Q81" i="10"/>
  <c r="K81" i="10"/>
  <c r="J81" i="10"/>
  <c r="C81" i="10"/>
  <c r="S80" i="10"/>
  <c r="R80" i="10"/>
  <c r="Q80" i="10"/>
  <c r="K80" i="10"/>
  <c r="J80" i="10"/>
  <c r="C80" i="10"/>
  <c r="S79" i="10"/>
  <c r="R79" i="10"/>
  <c r="Q79" i="10"/>
  <c r="K79" i="10"/>
  <c r="J79" i="10"/>
  <c r="C79" i="10"/>
  <c r="S78" i="10"/>
  <c r="R78" i="10"/>
  <c r="Q78" i="10"/>
  <c r="K78" i="10"/>
  <c r="J78" i="10"/>
  <c r="C78" i="10"/>
  <c r="S77" i="10"/>
  <c r="R77" i="10"/>
  <c r="Q77" i="10"/>
  <c r="K77" i="10"/>
  <c r="J77" i="10"/>
  <c r="C77" i="10"/>
  <c r="S76" i="10"/>
  <c r="R76" i="10"/>
  <c r="Q76" i="10"/>
  <c r="K76" i="10"/>
  <c r="J76" i="10"/>
  <c r="C76" i="10"/>
  <c r="S75" i="10"/>
  <c r="R75" i="10"/>
  <c r="Q75" i="10"/>
  <c r="K75" i="10"/>
  <c r="J75" i="10"/>
  <c r="C75" i="10"/>
  <c r="S74" i="10"/>
  <c r="R74" i="10"/>
  <c r="Q74" i="10"/>
  <c r="K74" i="10"/>
  <c r="J74" i="10"/>
  <c r="C74" i="10"/>
  <c r="S73" i="10"/>
  <c r="R73" i="10"/>
  <c r="Q73" i="10"/>
  <c r="K73" i="10"/>
  <c r="J73" i="10"/>
  <c r="C73" i="10"/>
  <c r="S72" i="10"/>
  <c r="R72" i="10"/>
  <c r="Q72" i="10"/>
  <c r="K72" i="10"/>
  <c r="J72" i="10"/>
  <c r="C72" i="10"/>
  <c r="S71" i="10"/>
  <c r="R71" i="10"/>
  <c r="Q71" i="10"/>
  <c r="K71" i="10"/>
  <c r="J71" i="10"/>
  <c r="C71" i="10"/>
  <c r="S70" i="10"/>
  <c r="R70" i="10"/>
  <c r="Q70" i="10"/>
  <c r="K70" i="10"/>
  <c r="J70" i="10"/>
  <c r="C70" i="10"/>
  <c r="S69" i="10"/>
  <c r="R69" i="10"/>
  <c r="Q69" i="10"/>
  <c r="K69" i="10"/>
  <c r="J69" i="10"/>
  <c r="C69" i="10"/>
  <c r="S68" i="10"/>
  <c r="R68" i="10"/>
  <c r="Q68" i="10"/>
  <c r="K68" i="10"/>
  <c r="J68" i="10"/>
  <c r="C68" i="10"/>
  <c r="S67" i="10"/>
  <c r="R67" i="10"/>
  <c r="Q67" i="10"/>
  <c r="K67" i="10"/>
  <c r="J67" i="10"/>
  <c r="C67" i="10"/>
  <c r="S66" i="10"/>
  <c r="R66" i="10"/>
  <c r="Q66" i="10"/>
  <c r="K66" i="10"/>
  <c r="J66" i="10"/>
  <c r="C66" i="10"/>
  <c r="S65" i="10"/>
  <c r="R65" i="10"/>
  <c r="Q65" i="10"/>
  <c r="K65" i="10"/>
  <c r="J65" i="10"/>
  <c r="C65" i="10"/>
  <c r="S64" i="10"/>
  <c r="R64" i="10"/>
  <c r="Q64" i="10"/>
  <c r="K64" i="10"/>
  <c r="J64" i="10"/>
  <c r="C64" i="10"/>
  <c r="S63" i="10"/>
  <c r="R63" i="10"/>
  <c r="Q63" i="10"/>
  <c r="K63" i="10"/>
  <c r="J63" i="10"/>
  <c r="C63" i="10"/>
  <c r="S62" i="10"/>
  <c r="R62" i="10"/>
  <c r="Q62" i="10"/>
  <c r="K62" i="10"/>
  <c r="J62" i="10"/>
  <c r="C62" i="10"/>
  <c r="S61" i="10"/>
  <c r="R61" i="10"/>
  <c r="Q61" i="10"/>
  <c r="K61" i="10"/>
  <c r="J61" i="10"/>
  <c r="C61" i="10"/>
  <c r="S60" i="10"/>
  <c r="R60" i="10"/>
  <c r="Q60" i="10"/>
  <c r="K60" i="10"/>
  <c r="J60" i="10"/>
  <c r="C60" i="10"/>
  <c r="S59" i="10"/>
  <c r="R59" i="10"/>
  <c r="Q59" i="10"/>
  <c r="K59" i="10"/>
  <c r="J59" i="10"/>
  <c r="C59" i="10"/>
  <c r="S58" i="10"/>
  <c r="R58" i="10"/>
  <c r="Q58" i="10"/>
  <c r="K58" i="10"/>
  <c r="J58" i="10"/>
  <c r="C58" i="10"/>
  <c r="S57" i="10"/>
  <c r="R57" i="10"/>
  <c r="Q57" i="10"/>
  <c r="K57" i="10"/>
  <c r="J57" i="10"/>
  <c r="C57" i="10"/>
  <c r="S56" i="10"/>
  <c r="R56" i="10"/>
  <c r="Q56" i="10"/>
  <c r="K56" i="10"/>
  <c r="J56" i="10"/>
  <c r="C56" i="10"/>
  <c r="S55" i="10"/>
  <c r="R55" i="10"/>
  <c r="Q55" i="10"/>
  <c r="K55" i="10"/>
  <c r="J55" i="10"/>
  <c r="C55" i="10"/>
  <c r="S54" i="10"/>
  <c r="R54" i="10"/>
  <c r="Q54" i="10"/>
  <c r="K54" i="10"/>
  <c r="J54" i="10"/>
  <c r="C54" i="10"/>
  <c r="S53" i="10"/>
  <c r="R53" i="10"/>
  <c r="Q53" i="10"/>
  <c r="K53" i="10"/>
  <c r="J53" i="10"/>
  <c r="C53" i="10"/>
  <c r="S52" i="10"/>
  <c r="R52" i="10"/>
  <c r="Q52" i="10"/>
  <c r="K52" i="10"/>
  <c r="J52" i="10"/>
  <c r="C52" i="10"/>
  <c r="S51" i="10"/>
  <c r="R51" i="10"/>
  <c r="Q51" i="10"/>
  <c r="K51" i="10"/>
  <c r="J51" i="10"/>
  <c r="C51" i="10"/>
  <c r="S50" i="10"/>
  <c r="R50" i="10"/>
  <c r="Q50" i="10"/>
  <c r="K50" i="10"/>
  <c r="J50" i="10"/>
  <c r="C50" i="10"/>
  <c r="S49" i="10"/>
  <c r="R49" i="10"/>
  <c r="Q49" i="10"/>
  <c r="K49" i="10"/>
  <c r="J49" i="10"/>
  <c r="C49" i="10"/>
  <c r="S48" i="10"/>
  <c r="R48" i="10"/>
  <c r="Q48" i="10"/>
  <c r="K48" i="10"/>
  <c r="J48" i="10"/>
  <c r="C48" i="10"/>
  <c r="S47" i="10"/>
  <c r="R47" i="10"/>
  <c r="Q47" i="10"/>
  <c r="K47" i="10"/>
  <c r="J47" i="10"/>
  <c r="C47" i="10"/>
  <c r="S46" i="10"/>
  <c r="R46" i="10"/>
  <c r="Q46" i="10"/>
  <c r="K46" i="10"/>
  <c r="J46" i="10"/>
  <c r="C46" i="10"/>
  <c r="S45" i="10"/>
  <c r="R45" i="10"/>
  <c r="Q45" i="10"/>
  <c r="K45" i="10"/>
  <c r="J45" i="10"/>
  <c r="C45" i="10"/>
  <c r="S44" i="10"/>
  <c r="R44" i="10"/>
  <c r="Q44" i="10"/>
  <c r="K44" i="10"/>
  <c r="J44" i="10"/>
  <c r="C44" i="10"/>
  <c r="S43" i="10"/>
  <c r="R43" i="10"/>
  <c r="Q43" i="10"/>
  <c r="K43" i="10"/>
  <c r="J43" i="10"/>
  <c r="C43" i="10"/>
  <c r="S42" i="10"/>
  <c r="R42" i="10"/>
  <c r="Q42" i="10"/>
  <c r="K42" i="10"/>
  <c r="J42" i="10"/>
  <c r="C42" i="10"/>
  <c r="S41" i="10"/>
  <c r="R41" i="10"/>
  <c r="Q41" i="10"/>
  <c r="K41" i="10"/>
  <c r="J41" i="10"/>
  <c r="C41" i="10"/>
  <c r="S40" i="10"/>
  <c r="R40" i="10"/>
  <c r="Q40" i="10"/>
  <c r="K40" i="10"/>
  <c r="J40" i="10"/>
  <c r="C40" i="10"/>
  <c r="S39" i="10"/>
  <c r="R39" i="10"/>
  <c r="Q39" i="10"/>
  <c r="K39" i="10"/>
  <c r="J39" i="10"/>
  <c r="C39" i="10"/>
  <c r="S38" i="10"/>
  <c r="R38" i="10"/>
  <c r="Q38" i="10"/>
  <c r="K38" i="10"/>
  <c r="J38" i="10"/>
  <c r="C38" i="10"/>
  <c r="S37" i="10"/>
  <c r="R37" i="10"/>
  <c r="Q37" i="10"/>
  <c r="K37" i="10"/>
  <c r="J37" i="10"/>
  <c r="C37" i="10"/>
  <c r="S36" i="10"/>
  <c r="R36" i="10"/>
  <c r="Q36" i="10"/>
  <c r="K36" i="10"/>
  <c r="J36" i="10"/>
  <c r="C36" i="10"/>
  <c r="S35" i="10"/>
  <c r="R35" i="10"/>
  <c r="Q35" i="10"/>
  <c r="K35" i="10"/>
  <c r="J35" i="10"/>
  <c r="C35" i="10"/>
  <c r="S34" i="10"/>
  <c r="R34" i="10"/>
  <c r="Q34" i="10"/>
  <c r="K34" i="10"/>
  <c r="J34" i="10"/>
  <c r="C34" i="10"/>
  <c r="S33" i="10"/>
  <c r="R33" i="10"/>
  <c r="Q33" i="10"/>
  <c r="K33" i="10"/>
  <c r="J33" i="10"/>
  <c r="C33" i="10"/>
  <c r="S32" i="10"/>
  <c r="R32" i="10"/>
  <c r="Q32" i="10"/>
  <c r="K32" i="10"/>
  <c r="J32" i="10"/>
  <c r="C32" i="10"/>
  <c r="S31" i="10"/>
  <c r="R31" i="10"/>
  <c r="Q31" i="10"/>
  <c r="K31" i="10"/>
  <c r="J31" i="10"/>
  <c r="C31" i="10"/>
  <c r="S30" i="10"/>
  <c r="R30" i="10"/>
  <c r="Q30" i="10"/>
  <c r="K30" i="10"/>
  <c r="J30" i="10"/>
  <c r="C30" i="10"/>
  <c r="S29" i="10"/>
  <c r="R29" i="10"/>
  <c r="Q29" i="10"/>
  <c r="K29" i="10"/>
  <c r="J29" i="10"/>
  <c r="C29" i="10"/>
  <c r="S28" i="10"/>
  <c r="R28" i="10"/>
  <c r="Q28" i="10"/>
  <c r="K28" i="10"/>
  <c r="J28" i="10"/>
  <c r="C28" i="10"/>
  <c r="S27" i="10"/>
  <c r="R27" i="10"/>
  <c r="Q27" i="10"/>
  <c r="K27" i="10"/>
  <c r="J27" i="10"/>
  <c r="C27" i="10"/>
  <c r="S26" i="10"/>
  <c r="R26" i="10"/>
  <c r="Q26" i="10"/>
  <c r="K26" i="10"/>
  <c r="J26" i="10"/>
  <c r="C26" i="10"/>
  <c r="S25" i="10"/>
  <c r="R25" i="10"/>
  <c r="Q25" i="10"/>
  <c r="K25" i="10"/>
  <c r="J25" i="10"/>
  <c r="C25" i="10"/>
  <c r="S24" i="10"/>
  <c r="R24" i="10"/>
  <c r="Q24" i="10"/>
  <c r="K24" i="10"/>
  <c r="J24" i="10"/>
  <c r="C24" i="10"/>
  <c r="S23" i="10"/>
  <c r="R23" i="10"/>
  <c r="Q23" i="10"/>
  <c r="K23" i="10"/>
  <c r="J23" i="10"/>
  <c r="C23" i="10"/>
  <c r="S22" i="10"/>
  <c r="R22" i="10"/>
  <c r="Q22" i="10"/>
  <c r="K22" i="10"/>
  <c r="J22" i="10"/>
  <c r="C22" i="10"/>
  <c r="S21" i="10"/>
  <c r="R21" i="10"/>
  <c r="Q21" i="10"/>
  <c r="K21" i="10"/>
  <c r="J21" i="10"/>
  <c r="C21" i="10"/>
  <c r="S20" i="10"/>
  <c r="R20" i="10"/>
  <c r="Q20" i="10"/>
  <c r="K20" i="10"/>
  <c r="J20" i="10"/>
  <c r="C20" i="10"/>
  <c r="S19" i="10"/>
  <c r="R19" i="10"/>
  <c r="Q19" i="10"/>
  <c r="K19" i="10"/>
  <c r="J19" i="10"/>
  <c r="C19" i="10"/>
  <c r="S18" i="10"/>
  <c r="R18" i="10"/>
  <c r="Q18" i="10"/>
  <c r="K18" i="10"/>
  <c r="J18" i="10"/>
  <c r="C18" i="10"/>
  <c r="S17" i="10"/>
  <c r="R17" i="10"/>
  <c r="Q17" i="10"/>
  <c r="K17" i="10"/>
  <c r="J17" i="10"/>
  <c r="C17" i="10"/>
  <c r="S16" i="10"/>
  <c r="R16" i="10"/>
  <c r="Q16" i="10"/>
  <c r="K16" i="10"/>
  <c r="J16" i="10"/>
  <c r="C16" i="10"/>
  <c r="S15" i="10"/>
  <c r="R15" i="10"/>
  <c r="Q15" i="10"/>
  <c r="K15" i="10"/>
  <c r="J15" i="10"/>
  <c r="C15" i="10"/>
  <c r="S14" i="10"/>
  <c r="R14" i="10"/>
  <c r="Q14" i="10"/>
  <c r="K14" i="10"/>
  <c r="J14" i="10"/>
  <c r="C14" i="10"/>
  <c r="S13" i="10"/>
  <c r="R13" i="10"/>
  <c r="Q13" i="10"/>
  <c r="K13" i="10"/>
  <c r="J13" i="10"/>
  <c r="C13" i="10"/>
  <c r="S12" i="10"/>
  <c r="R12" i="10"/>
  <c r="Q12" i="10"/>
  <c r="K12" i="10"/>
  <c r="J12" i="10"/>
  <c r="C12" i="10"/>
  <c r="S11" i="10"/>
  <c r="R11" i="10"/>
  <c r="Q11" i="10"/>
  <c r="K11" i="10"/>
  <c r="J11" i="10"/>
  <c r="C11" i="10"/>
  <c r="S10" i="10"/>
  <c r="R10" i="10"/>
  <c r="Q10" i="10"/>
  <c r="K10" i="10"/>
  <c r="J10" i="10"/>
  <c r="C10" i="10"/>
  <c r="S9" i="10"/>
  <c r="R9" i="10"/>
  <c r="Q9" i="10"/>
  <c r="K9" i="10"/>
  <c r="J9" i="10"/>
  <c r="C9" i="10"/>
  <c r="S8" i="10"/>
  <c r="R8" i="10"/>
  <c r="Q8" i="10"/>
  <c r="K8" i="10"/>
  <c r="J8" i="10"/>
  <c r="C8" i="10"/>
  <c r="S7" i="10"/>
  <c r="R7" i="10"/>
  <c r="Q7" i="10"/>
  <c r="K7" i="10"/>
  <c r="J7" i="10"/>
  <c r="C7" i="10"/>
  <c r="S6" i="10"/>
  <c r="R6" i="10"/>
  <c r="Q6" i="10"/>
  <c r="K6" i="10"/>
  <c r="J6" i="10"/>
  <c r="C6" i="10"/>
  <c r="S5" i="10"/>
  <c r="R5" i="10"/>
  <c r="Q5" i="10"/>
  <c r="K5" i="10"/>
  <c r="J5" i="10"/>
  <c r="C5" i="10"/>
  <c r="S4" i="10"/>
  <c r="R4" i="10"/>
  <c r="Q4" i="10"/>
  <c r="K4" i="10"/>
  <c r="J4" i="10"/>
  <c r="C4" i="10"/>
  <c r="S3" i="10"/>
  <c r="R3" i="10"/>
  <c r="Q3" i="10"/>
  <c r="K3" i="10"/>
  <c r="J3" i="10"/>
  <c r="C3" i="10"/>
  <c r="S2" i="10"/>
  <c r="R2" i="10"/>
  <c r="Q2" i="10"/>
  <c r="K2" i="10"/>
  <c r="J2" i="10"/>
  <c r="C2" i="10"/>
  <c r="F25" i="2" s="1"/>
  <c r="Q201" i="9"/>
  <c r="K201" i="9"/>
  <c r="J201" i="9"/>
  <c r="H201" i="9"/>
  <c r="Q200" i="9"/>
  <c r="K200" i="9"/>
  <c r="J200" i="9"/>
  <c r="H200" i="9"/>
  <c r="Q199" i="9"/>
  <c r="K199" i="9"/>
  <c r="J199" i="9"/>
  <c r="H199" i="9"/>
  <c r="Q198" i="9"/>
  <c r="K198" i="9"/>
  <c r="J198" i="9"/>
  <c r="H198" i="9"/>
  <c r="Q197" i="9"/>
  <c r="K197" i="9"/>
  <c r="J197" i="9"/>
  <c r="H197" i="9"/>
  <c r="Q196" i="9"/>
  <c r="K196" i="9"/>
  <c r="J196" i="9"/>
  <c r="H196" i="9"/>
  <c r="Q195" i="9"/>
  <c r="K195" i="9"/>
  <c r="J195" i="9"/>
  <c r="H195" i="9"/>
  <c r="Q194" i="9"/>
  <c r="K194" i="9"/>
  <c r="J194" i="9"/>
  <c r="H194" i="9"/>
  <c r="Q193" i="9"/>
  <c r="K193" i="9"/>
  <c r="J193" i="9"/>
  <c r="H193" i="9"/>
  <c r="Q192" i="9"/>
  <c r="K192" i="9"/>
  <c r="J192" i="9"/>
  <c r="H192" i="9"/>
  <c r="Q191" i="9"/>
  <c r="K191" i="9"/>
  <c r="J191" i="9"/>
  <c r="H191" i="9"/>
  <c r="Q190" i="9"/>
  <c r="K190" i="9"/>
  <c r="J190" i="9"/>
  <c r="H190" i="9"/>
  <c r="Q189" i="9"/>
  <c r="K189" i="9"/>
  <c r="J189" i="9"/>
  <c r="H189" i="9"/>
  <c r="Q188" i="9"/>
  <c r="K188" i="9"/>
  <c r="J188" i="9"/>
  <c r="H188" i="9"/>
  <c r="Q187" i="9"/>
  <c r="K187" i="9"/>
  <c r="J187" i="9"/>
  <c r="H187" i="9"/>
  <c r="Q186" i="9"/>
  <c r="K186" i="9"/>
  <c r="J186" i="9"/>
  <c r="H186" i="9"/>
  <c r="Q185" i="9"/>
  <c r="K185" i="9"/>
  <c r="J185" i="9"/>
  <c r="H185" i="9"/>
  <c r="Q184" i="9"/>
  <c r="K184" i="9"/>
  <c r="J184" i="9"/>
  <c r="H184" i="9"/>
  <c r="Q183" i="9"/>
  <c r="K183" i="9"/>
  <c r="J183" i="9"/>
  <c r="H183" i="9"/>
  <c r="Q182" i="9"/>
  <c r="K182" i="9"/>
  <c r="J182" i="9"/>
  <c r="H182" i="9"/>
  <c r="Q181" i="9"/>
  <c r="K181" i="9"/>
  <c r="J181" i="9"/>
  <c r="H181" i="9"/>
  <c r="Q180" i="9"/>
  <c r="K180" i="9"/>
  <c r="J180" i="9"/>
  <c r="H180" i="9"/>
  <c r="Q179" i="9"/>
  <c r="K179" i="9"/>
  <c r="J179" i="9"/>
  <c r="H179" i="9"/>
  <c r="Q178" i="9"/>
  <c r="K178" i="9"/>
  <c r="J178" i="9"/>
  <c r="H178" i="9"/>
  <c r="Q177" i="9"/>
  <c r="K177" i="9"/>
  <c r="J177" i="9"/>
  <c r="H177" i="9"/>
  <c r="Q176" i="9"/>
  <c r="K176" i="9"/>
  <c r="J176" i="9"/>
  <c r="H176" i="9"/>
  <c r="Q175" i="9"/>
  <c r="K175" i="9"/>
  <c r="J175" i="9"/>
  <c r="H175" i="9"/>
  <c r="Q174" i="9"/>
  <c r="K174" i="9"/>
  <c r="J174" i="9"/>
  <c r="H174" i="9"/>
  <c r="Q173" i="9"/>
  <c r="K173" i="9"/>
  <c r="J173" i="9"/>
  <c r="H173" i="9"/>
  <c r="Q172" i="9"/>
  <c r="K172" i="9"/>
  <c r="J172" i="9"/>
  <c r="H172" i="9"/>
  <c r="Q171" i="9"/>
  <c r="K171" i="9"/>
  <c r="J171" i="9"/>
  <c r="H171" i="9"/>
  <c r="Q170" i="9"/>
  <c r="K170" i="9"/>
  <c r="J170" i="9"/>
  <c r="H170" i="9"/>
  <c r="Q169" i="9"/>
  <c r="K169" i="9"/>
  <c r="J169" i="9"/>
  <c r="H169" i="9"/>
  <c r="Q168" i="9"/>
  <c r="K168" i="9"/>
  <c r="J168" i="9"/>
  <c r="H168" i="9"/>
  <c r="Q167" i="9"/>
  <c r="K167" i="9"/>
  <c r="J167" i="9"/>
  <c r="H167" i="9"/>
  <c r="Q166" i="9"/>
  <c r="K166" i="9"/>
  <c r="J166" i="9"/>
  <c r="H166" i="9"/>
  <c r="Q165" i="9"/>
  <c r="K165" i="9"/>
  <c r="J165" i="9"/>
  <c r="H165" i="9"/>
  <c r="Q164" i="9"/>
  <c r="K164" i="9"/>
  <c r="J164" i="9"/>
  <c r="H164" i="9"/>
  <c r="Q163" i="9"/>
  <c r="K163" i="9"/>
  <c r="J163" i="9"/>
  <c r="H163" i="9"/>
  <c r="Q162" i="9"/>
  <c r="K162" i="9"/>
  <c r="J162" i="9"/>
  <c r="H162" i="9"/>
  <c r="Q161" i="9"/>
  <c r="K161" i="9"/>
  <c r="J161" i="9"/>
  <c r="H161" i="9"/>
  <c r="Q160" i="9"/>
  <c r="K160" i="9"/>
  <c r="J160" i="9"/>
  <c r="H160" i="9"/>
  <c r="Q159" i="9"/>
  <c r="K159" i="9"/>
  <c r="J159" i="9"/>
  <c r="H159" i="9"/>
  <c r="Q158" i="9"/>
  <c r="K158" i="9"/>
  <c r="J158" i="9"/>
  <c r="H158" i="9"/>
  <c r="Q157" i="9"/>
  <c r="K157" i="9"/>
  <c r="J157" i="9"/>
  <c r="H157" i="9"/>
  <c r="Q156" i="9"/>
  <c r="K156" i="9"/>
  <c r="J156" i="9"/>
  <c r="H156" i="9"/>
  <c r="Q155" i="9"/>
  <c r="K155" i="9"/>
  <c r="J155" i="9"/>
  <c r="H155" i="9"/>
  <c r="Q154" i="9"/>
  <c r="K154" i="9"/>
  <c r="J154" i="9"/>
  <c r="H154" i="9"/>
  <c r="Q153" i="9"/>
  <c r="K153" i="9"/>
  <c r="J153" i="9"/>
  <c r="H153" i="9"/>
  <c r="Q152" i="9"/>
  <c r="K152" i="9"/>
  <c r="J152" i="9"/>
  <c r="H152" i="9"/>
  <c r="Q151" i="9"/>
  <c r="K151" i="9"/>
  <c r="J151" i="9"/>
  <c r="H151" i="9"/>
  <c r="Q150" i="9"/>
  <c r="K150" i="9"/>
  <c r="J150" i="9"/>
  <c r="H150" i="9"/>
  <c r="Q149" i="9"/>
  <c r="K149" i="9"/>
  <c r="J149" i="9"/>
  <c r="H149" i="9"/>
  <c r="Q148" i="9"/>
  <c r="K148" i="9"/>
  <c r="J148" i="9"/>
  <c r="H148" i="9"/>
  <c r="Q147" i="9"/>
  <c r="K147" i="9"/>
  <c r="J147" i="9"/>
  <c r="H147" i="9"/>
  <c r="Q146" i="9"/>
  <c r="K146" i="9"/>
  <c r="J146" i="9"/>
  <c r="H146" i="9"/>
  <c r="Q145" i="9"/>
  <c r="K145" i="9"/>
  <c r="J145" i="9"/>
  <c r="H145" i="9"/>
  <c r="Q144" i="9"/>
  <c r="K144" i="9"/>
  <c r="J144" i="9"/>
  <c r="H144" i="9"/>
  <c r="Q143" i="9"/>
  <c r="K143" i="9"/>
  <c r="J143" i="9"/>
  <c r="H143" i="9"/>
  <c r="Q142" i="9"/>
  <c r="K142" i="9"/>
  <c r="J142" i="9"/>
  <c r="H142" i="9"/>
  <c r="Q141" i="9"/>
  <c r="K141" i="9"/>
  <c r="J141" i="9"/>
  <c r="H141" i="9"/>
  <c r="Q140" i="9"/>
  <c r="K140" i="9"/>
  <c r="J140" i="9"/>
  <c r="H140" i="9"/>
  <c r="Q139" i="9"/>
  <c r="K139" i="9"/>
  <c r="J139" i="9"/>
  <c r="H139" i="9"/>
  <c r="Q138" i="9"/>
  <c r="K138" i="9"/>
  <c r="J138" i="9"/>
  <c r="H138" i="9"/>
  <c r="Q137" i="9"/>
  <c r="K137" i="9"/>
  <c r="J137" i="9"/>
  <c r="H137" i="9"/>
  <c r="Q136" i="9"/>
  <c r="K136" i="9"/>
  <c r="J136" i="9"/>
  <c r="H136" i="9"/>
  <c r="Q135" i="9"/>
  <c r="K135" i="9"/>
  <c r="J135" i="9"/>
  <c r="H135" i="9"/>
  <c r="Q134" i="9"/>
  <c r="K134" i="9"/>
  <c r="J134" i="9"/>
  <c r="H134" i="9"/>
  <c r="Q133" i="9"/>
  <c r="K133" i="9"/>
  <c r="J133" i="9"/>
  <c r="H133" i="9"/>
  <c r="Q132" i="9"/>
  <c r="K132" i="9"/>
  <c r="J132" i="9"/>
  <c r="H132" i="9"/>
  <c r="Q131" i="9"/>
  <c r="K131" i="9"/>
  <c r="J131" i="9"/>
  <c r="H131" i="9"/>
  <c r="Q130" i="9"/>
  <c r="K130" i="9"/>
  <c r="J130" i="9"/>
  <c r="H130" i="9"/>
  <c r="Q129" i="9"/>
  <c r="K129" i="9"/>
  <c r="J129" i="9"/>
  <c r="H129" i="9"/>
  <c r="Q128" i="9"/>
  <c r="K128" i="9"/>
  <c r="J128" i="9"/>
  <c r="H128" i="9"/>
  <c r="Q127" i="9"/>
  <c r="K127" i="9"/>
  <c r="J127" i="9"/>
  <c r="H127" i="9"/>
  <c r="Q126" i="9"/>
  <c r="K126" i="9"/>
  <c r="J126" i="9"/>
  <c r="H126" i="9"/>
  <c r="Q125" i="9"/>
  <c r="K125" i="9"/>
  <c r="J125" i="9"/>
  <c r="H125" i="9"/>
  <c r="Q124" i="9"/>
  <c r="K124" i="9"/>
  <c r="J124" i="9"/>
  <c r="H124" i="9"/>
  <c r="Q123" i="9"/>
  <c r="K123" i="9"/>
  <c r="J123" i="9"/>
  <c r="H123" i="9"/>
  <c r="Q122" i="9"/>
  <c r="K122" i="9"/>
  <c r="J122" i="9"/>
  <c r="H122" i="9"/>
  <c r="Q121" i="9"/>
  <c r="K121" i="9"/>
  <c r="J121" i="9"/>
  <c r="H121" i="9"/>
  <c r="Q120" i="9"/>
  <c r="K120" i="9"/>
  <c r="J120" i="9"/>
  <c r="H120" i="9"/>
  <c r="Q119" i="9"/>
  <c r="K119" i="9"/>
  <c r="J119" i="9"/>
  <c r="H119" i="9"/>
  <c r="Q118" i="9"/>
  <c r="K118" i="9"/>
  <c r="J118" i="9"/>
  <c r="H118" i="9"/>
  <c r="Q117" i="9"/>
  <c r="K117" i="9"/>
  <c r="J117" i="9"/>
  <c r="H117" i="9"/>
  <c r="Q116" i="9"/>
  <c r="K116" i="9"/>
  <c r="J116" i="9"/>
  <c r="H116" i="9"/>
  <c r="Q115" i="9"/>
  <c r="K115" i="9"/>
  <c r="J115" i="9"/>
  <c r="H115" i="9"/>
  <c r="Q114" i="9"/>
  <c r="K114" i="9"/>
  <c r="J114" i="9"/>
  <c r="H114" i="9"/>
  <c r="Q113" i="9"/>
  <c r="K113" i="9"/>
  <c r="J113" i="9"/>
  <c r="H113" i="9"/>
  <c r="Q112" i="9"/>
  <c r="K112" i="9"/>
  <c r="J112" i="9"/>
  <c r="H112" i="9"/>
  <c r="Q111" i="9"/>
  <c r="K111" i="9"/>
  <c r="J111" i="9"/>
  <c r="H111" i="9"/>
  <c r="Q110" i="9"/>
  <c r="K110" i="9"/>
  <c r="J110" i="9"/>
  <c r="H110" i="9"/>
  <c r="Q109" i="9"/>
  <c r="K109" i="9"/>
  <c r="J109" i="9"/>
  <c r="H109" i="9"/>
  <c r="Q108" i="9"/>
  <c r="K108" i="9"/>
  <c r="J108" i="9"/>
  <c r="H108" i="9"/>
  <c r="Q107" i="9"/>
  <c r="K107" i="9"/>
  <c r="J107" i="9"/>
  <c r="H107" i="9"/>
  <c r="Q106" i="9"/>
  <c r="K106" i="9"/>
  <c r="J106" i="9"/>
  <c r="H106" i="9"/>
  <c r="Q105" i="9"/>
  <c r="K105" i="9"/>
  <c r="J105" i="9"/>
  <c r="H105" i="9"/>
  <c r="Q104" i="9"/>
  <c r="K104" i="9"/>
  <c r="J104" i="9"/>
  <c r="H104" i="9"/>
  <c r="Q103" i="9"/>
  <c r="K103" i="9"/>
  <c r="J103" i="9"/>
  <c r="H103" i="9"/>
  <c r="Q102" i="9"/>
  <c r="K102" i="9"/>
  <c r="J102" i="9"/>
  <c r="H102" i="9"/>
  <c r="Q101" i="9"/>
  <c r="K101" i="9"/>
  <c r="J101" i="9"/>
  <c r="H101" i="9"/>
  <c r="Q100" i="9"/>
  <c r="K100" i="9"/>
  <c r="J100" i="9"/>
  <c r="H100" i="9"/>
  <c r="Q99" i="9"/>
  <c r="K99" i="9"/>
  <c r="J99" i="9"/>
  <c r="H99" i="9"/>
  <c r="Q98" i="9"/>
  <c r="K98" i="9"/>
  <c r="J98" i="9"/>
  <c r="H98" i="9"/>
  <c r="Q97" i="9"/>
  <c r="K97" i="9"/>
  <c r="J97" i="9"/>
  <c r="H97" i="9"/>
  <c r="Q96" i="9"/>
  <c r="K96" i="9"/>
  <c r="J96" i="9"/>
  <c r="H96" i="9"/>
  <c r="Q95" i="9"/>
  <c r="K95" i="9"/>
  <c r="J95" i="9"/>
  <c r="H95" i="9"/>
  <c r="Q94" i="9"/>
  <c r="K94" i="9"/>
  <c r="J94" i="9"/>
  <c r="H94" i="9"/>
  <c r="Q93" i="9"/>
  <c r="K93" i="9"/>
  <c r="J93" i="9"/>
  <c r="H93" i="9"/>
  <c r="Q92" i="9"/>
  <c r="K92" i="9"/>
  <c r="J92" i="9"/>
  <c r="H92" i="9"/>
  <c r="Q91" i="9"/>
  <c r="K91" i="9"/>
  <c r="J91" i="9"/>
  <c r="H91" i="9"/>
  <c r="Q90" i="9"/>
  <c r="K90" i="9"/>
  <c r="J90" i="9"/>
  <c r="H90" i="9"/>
  <c r="Q89" i="9"/>
  <c r="K89" i="9"/>
  <c r="J89" i="9"/>
  <c r="H89" i="9"/>
  <c r="Q88" i="9"/>
  <c r="K88" i="9"/>
  <c r="J88" i="9"/>
  <c r="H88" i="9"/>
  <c r="Q87" i="9"/>
  <c r="K87" i="9"/>
  <c r="J87" i="9"/>
  <c r="H87" i="9"/>
  <c r="Q86" i="9"/>
  <c r="K86" i="9"/>
  <c r="J86" i="9"/>
  <c r="H86" i="9"/>
  <c r="Q85" i="9"/>
  <c r="K85" i="9"/>
  <c r="J85" i="9"/>
  <c r="H85" i="9"/>
  <c r="Q84" i="9"/>
  <c r="K84" i="9"/>
  <c r="J84" i="9"/>
  <c r="H84" i="9"/>
  <c r="Q83" i="9"/>
  <c r="K83" i="9"/>
  <c r="J83" i="9"/>
  <c r="H83" i="9"/>
  <c r="Q82" i="9"/>
  <c r="K82" i="9"/>
  <c r="J82" i="9"/>
  <c r="H82" i="9"/>
  <c r="Q81" i="9"/>
  <c r="K81" i="9"/>
  <c r="J81" i="9"/>
  <c r="H81" i="9"/>
  <c r="Q80" i="9"/>
  <c r="K80" i="9"/>
  <c r="J80" i="9"/>
  <c r="H80" i="9"/>
  <c r="Q79" i="9"/>
  <c r="K79" i="9"/>
  <c r="J79" i="9"/>
  <c r="H79" i="9"/>
  <c r="Q78" i="9"/>
  <c r="K78" i="9"/>
  <c r="J78" i="9"/>
  <c r="H78" i="9"/>
  <c r="Q77" i="9"/>
  <c r="K77" i="9"/>
  <c r="J77" i="9"/>
  <c r="H77" i="9"/>
  <c r="Q76" i="9"/>
  <c r="K76" i="9"/>
  <c r="J76" i="9"/>
  <c r="H76" i="9"/>
  <c r="Q75" i="9"/>
  <c r="K75" i="9"/>
  <c r="J75" i="9"/>
  <c r="H75" i="9"/>
  <c r="Q74" i="9"/>
  <c r="K74" i="9"/>
  <c r="J74" i="9"/>
  <c r="H74" i="9"/>
  <c r="Q73" i="9"/>
  <c r="K73" i="9"/>
  <c r="J73" i="9"/>
  <c r="H73" i="9"/>
  <c r="Q72" i="9"/>
  <c r="K72" i="9"/>
  <c r="J72" i="9"/>
  <c r="H72" i="9"/>
  <c r="Q71" i="9"/>
  <c r="K71" i="9"/>
  <c r="J71" i="9"/>
  <c r="H71" i="9"/>
  <c r="Q70" i="9"/>
  <c r="K70" i="9"/>
  <c r="J70" i="9"/>
  <c r="H70" i="9"/>
  <c r="Q69" i="9"/>
  <c r="K69" i="9"/>
  <c r="J69" i="9"/>
  <c r="H69" i="9"/>
  <c r="Q68" i="9"/>
  <c r="K68" i="9"/>
  <c r="J68" i="9"/>
  <c r="H68" i="9"/>
  <c r="Q67" i="9"/>
  <c r="K67" i="9"/>
  <c r="J67" i="9"/>
  <c r="H67" i="9"/>
  <c r="Q66" i="9"/>
  <c r="K66" i="9"/>
  <c r="J66" i="9"/>
  <c r="H66" i="9"/>
  <c r="Q65" i="9"/>
  <c r="K65" i="9"/>
  <c r="J65" i="9"/>
  <c r="H65" i="9"/>
  <c r="Q64" i="9"/>
  <c r="K64" i="9"/>
  <c r="J64" i="9"/>
  <c r="H64" i="9"/>
  <c r="Q63" i="9"/>
  <c r="K63" i="9"/>
  <c r="J63" i="9"/>
  <c r="H63" i="9"/>
  <c r="Q62" i="9"/>
  <c r="K62" i="9"/>
  <c r="J62" i="9"/>
  <c r="H62" i="9"/>
  <c r="Q61" i="9"/>
  <c r="K61" i="9"/>
  <c r="J61" i="9"/>
  <c r="H61" i="9"/>
  <c r="Q60" i="9"/>
  <c r="K60" i="9"/>
  <c r="J60" i="9"/>
  <c r="H60" i="9"/>
  <c r="Q59" i="9"/>
  <c r="K59" i="9"/>
  <c r="J59" i="9"/>
  <c r="H59" i="9"/>
  <c r="Q58" i="9"/>
  <c r="K58" i="9"/>
  <c r="J58" i="9"/>
  <c r="H58" i="9"/>
  <c r="Q57" i="9"/>
  <c r="K57" i="9"/>
  <c r="J57" i="9"/>
  <c r="H57" i="9"/>
  <c r="Q56" i="9"/>
  <c r="K56" i="9"/>
  <c r="J56" i="9"/>
  <c r="H56" i="9"/>
  <c r="Q55" i="9"/>
  <c r="K55" i="9"/>
  <c r="J55" i="9"/>
  <c r="H55" i="9"/>
  <c r="Q54" i="9"/>
  <c r="K54" i="9"/>
  <c r="J54" i="9"/>
  <c r="H54" i="9"/>
  <c r="Q53" i="9"/>
  <c r="K53" i="9"/>
  <c r="J53" i="9"/>
  <c r="H53" i="9"/>
  <c r="Q52" i="9"/>
  <c r="K52" i="9"/>
  <c r="J52" i="9"/>
  <c r="H52" i="9"/>
  <c r="Q51" i="9"/>
  <c r="K51" i="9"/>
  <c r="J51" i="9"/>
  <c r="H51" i="9"/>
  <c r="Q50" i="9"/>
  <c r="K50" i="9"/>
  <c r="J50" i="9"/>
  <c r="H50" i="9"/>
  <c r="Q49" i="9"/>
  <c r="K49" i="9"/>
  <c r="J49" i="9"/>
  <c r="H49" i="9"/>
  <c r="Q48" i="9"/>
  <c r="K48" i="9"/>
  <c r="J48" i="9"/>
  <c r="H48" i="9"/>
  <c r="Q47" i="9"/>
  <c r="K47" i="9"/>
  <c r="J47" i="9"/>
  <c r="H47" i="9"/>
  <c r="Q46" i="9"/>
  <c r="K46" i="9"/>
  <c r="J46" i="9"/>
  <c r="H46" i="9"/>
  <c r="Q45" i="9"/>
  <c r="K45" i="9"/>
  <c r="J45" i="9"/>
  <c r="H45" i="9"/>
  <c r="Q44" i="9"/>
  <c r="K44" i="9"/>
  <c r="J44" i="9"/>
  <c r="H44" i="9"/>
  <c r="Q43" i="9"/>
  <c r="K43" i="9"/>
  <c r="J43" i="9"/>
  <c r="H43" i="9"/>
  <c r="Q42" i="9"/>
  <c r="K42" i="9"/>
  <c r="J42" i="9"/>
  <c r="H42" i="9"/>
  <c r="Q41" i="9"/>
  <c r="K41" i="9"/>
  <c r="J41" i="9"/>
  <c r="H41" i="9"/>
  <c r="Q40" i="9"/>
  <c r="K40" i="9"/>
  <c r="J40" i="9"/>
  <c r="H40" i="9"/>
  <c r="Q39" i="9"/>
  <c r="K39" i="9"/>
  <c r="J39" i="9"/>
  <c r="H39" i="9"/>
  <c r="Q38" i="9"/>
  <c r="K38" i="9"/>
  <c r="J38" i="9"/>
  <c r="H38" i="9"/>
  <c r="Q37" i="9"/>
  <c r="K37" i="9"/>
  <c r="J37" i="9"/>
  <c r="H37" i="9"/>
  <c r="Q36" i="9"/>
  <c r="K36" i="9"/>
  <c r="J36" i="9"/>
  <c r="H36" i="9"/>
  <c r="Q35" i="9"/>
  <c r="K35" i="9"/>
  <c r="J35" i="9"/>
  <c r="H35" i="9"/>
  <c r="Q34" i="9"/>
  <c r="K34" i="9"/>
  <c r="J34" i="9"/>
  <c r="H34" i="9"/>
  <c r="Q33" i="9"/>
  <c r="K33" i="9"/>
  <c r="J33" i="9"/>
  <c r="H33" i="9"/>
  <c r="Q32" i="9"/>
  <c r="K32" i="9"/>
  <c r="J32" i="9"/>
  <c r="H32" i="9"/>
  <c r="Q31" i="9"/>
  <c r="K31" i="9"/>
  <c r="J31" i="9"/>
  <c r="H31" i="9"/>
  <c r="Q30" i="9"/>
  <c r="K30" i="9"/>
  <c r="J30" i="9"/>
  <c r="H30" i="9"/>
  <c r="Q29" i="9"/>
  <c r="K29" i="9"/>
  <c r="J29" i="9"/>
  <c r="H29" i="9"/>
  <c r="Q28" i="9"/>
  <c r="K28" i="9"/>
  <c r="J28" i="9"/>
  <c r="H28" i="9"/>
  <c r="Q27" i="9"/>
  <c r="K27" i="9"/>
  <c r="J27" i="9"/>
  <c r="H27" i="9"/>
  <c r="Q26" i="9"/>
  <c r="K26" i="9"/>
  <c r="J26" i="9"/>
  <c r="H26" i="9"/>
  <c r="Q25" i="9"/>
  <c r="K25" i="9"/>
  <c r="J25" i="9"/>
  <c r="H25" i="9"/>
  <c r="Q24" i="9"/>
  <c r="K24" i="9"/>
  <c r="J24" i="9"/>
  <c r="H24" i="9"/>
  <c r="Q23" i="9"/>
  <c r="K23" i="9"/>
  <c r="J23" i="9"/>
  <c r="H23" i="9"/>
  <c r="Q22" i="9"/>
  <c r="K22" i="9"/>
  <c r="J22" i="9"/>
  <c r="H22" i="9"/>
  <c r="Q21" i="9"/>
  <c r="K21" i="9"/>
  <c r="J21" i="9"/>
  <c r="H21" i="9"/>
  <c r="Q20" i="9"/>
  <c r="K20" i="9"/>
  <c r="J20" i="9"/>
  <c r="H20" i="9"/>
  <c r="Q19" i="9"/>
  <c r="K19" i="9"/>
  <c r="J19" i="9"/>
  <c r="H19" i="9"/>
  <c r="Q18" i="9"/>
  <c r="K18" i="9"/>
  <c r="J18" i="9"/>
  <c r="H18" i="9"/>
  <c r="Q17" i="9"/>
  <c r="K17" i="9"/>
  <c r="J17" i="9"/>
  <c r="H17" i="9"/>
  <c r="Q16" i="9"/>
  <c r="K16" i="9"/>
  <c r="J16" i="9"/>
  <c r="H16" i="9"/>
  <c r="Q15" i="9"/>
  <c r="K15" i="9"/>
  <c r="J15" i="9"/>
  <c r="H15" i="9"/>
  <c r="Q14" i="9"/>
  <c r="K14" i="9"/>
  <c r="J14" i="9"/>
  <c r="H14" i="9"/>
  <c r="Q13" i="9"/>
  <c r="K13" i="9"/>
  <c r="J13" i="9"/>
  <c r="H13" i="9"/>
  <c r="Q12" i="9"/>
  <c r="K12" i="9"/>
  <c r="J12" i="9"/>
  <c r="H12" i="9"/>
  <c r="Q11" i="9"/>
  <c r="K11" i="9"/>
  <c r="J11" i="9"/>
  <c r="H11" i="9"/>
  <c r="Q10" i="9"/>
  <c r="K10" i="9"/>
  <c r="J10" i="9"/>
  <c r="H10" i="9"/>
  <c r="Q9" i="9"/>
  <c r="K9" i="9"/>
  <c r="J9" i="9"/>
  <c r="H9" i="9"/>
  <c r="Q8" i="9"/>
  <c r="K8" i="9"/>
  <c r="J8" i="9"/>
  <c r="H8" i="9"/>
  <c r="Q7" i="9"/>
  <c r="K7" i="9"/>
  <c r="J7" i="9"/>
  <c r="H7" i="9"/>
  <c r="Q6" i="9"/>
  <c r="K6" i="9"/>
  <c r="J6" i="9"/>
  <c r="H6" i="9"/>
  <c r="Q5" i="9"/>
  <c r="K5" i="9"/>
  <c r="J5" i="9"/>
  <c r="H5" i="9"/>
  <c r="Q4" i="9"/>
  <c r="K4" i="9"/>
  <c r="J4" i="9"/>
  <c r="H4" i="9"/>
  <c r="Q3" i="9"/>
  <c r="J3" i="9"/>
  <c r="K3" i="9" s="1"/>
  <c r="H3" i="9"/>
  <c r="Q2" i="9"/>
  <c r="K2" i="9"/>
  <c r="J2" i="9"/>
  <c r="H2" i="9"/>
  <c r="V201" i="8"/>
  <c r="U201" i="8"/>
  <c r="T201" i="8"/>
  <c r="S201" i="8"/>
  <c r="R201" i="8"/>
  <c r="Q201" i="8"/>
  <c r="N201" i="8"/>
  <c r="V200" i="8"/>
  <c r="U200" i="8"/>
  <c r="T200" i="8"/>
  <c r="S200" i="8"/>
  <c r="R200" i="8"/>
  <c r="Q200" i="8"/>
  <c r="N200" i="8"/>
  <c r="V199" i="8"/>
  <c r="U199" i="8"/>
  <c r="T199" i="8"/>
  <c r="S199" i="8"/>
  <c r="R199" i="8"/>
  <c r="Q199" i="8"/>
  <c r="N199" i="8"/>
  <c r="V198" i="8"/>
  <c r="U198" i="8"/>
  <c r="T198" i="8"/>
  <c r="S198" i="8"/>
  <c r="R198" i="8"/>
  <c r="Q198" i="8"/>
  <c r="N198" i="8"/>
  <c r="V197" i="8"/>
  <c r="U197" i="8"/>
  <c r="T197" i="8"/>
  <c r="S197" i="8"/>
  <c r="R197" i="8"/>
  <c r="Q197" i="8"/>
  <c r="N197" i="8"/>
  <c r="V196" i="8"/>
  <c r="U196" i="8"/>
  <c r="T196" i="8"/>
  <c r="S196" i="8"/>
  <c r="R196" i="8"/>
  <c r="Q196" i="8"/>
  <c r="N196" i="8"/>
  <c r="V195" i="8"/>
  <c r="U195" i="8"/>
  <c r="T195" i="8"/>
  <c r="S195" i="8"/>
  <c r="R195" i="8"/>
  <c r="Q195" i="8"/>
  <c r="N195" i="8"/>
  <c r="V194" i="8"/>
  <c r="U194" i="8"/>
  <c r="T194" i="8"/>
  <c r="S194" i="8"/>
  <c r="R194" i="8"/>
  <c r="Q194" i="8"/>
  <c r="N194" i="8"/>
  <c r="V193" i="8"/>
  <c r="U193" i="8"/>
  <c r="T193" i="8"/>
  <c r="S193" i="8"/>
  <c r="R193" i="8"/>
  <c r="Q193" i="8"/>
  <c r="N193" i="8"/>
  <c r="V192" i="8"/>
  <c r="U192" i="8"/>
  <c r="T192" i="8"/>
  <c r="S192" i="8"/>
  <c r="R192" i="8"/>
  <c r="Q192" i="8"/>
  <c r="N192" i="8"/>
  <c r="V191" i="8"/>
  <c r="U191" i="8"/>
  <c r="T191" i="8"/>
  <c r="S191" i="8"/>
  <c r="R191" i="8"/>
  <c r="Q191" i="8"/>
  <c r="N191" i="8"/>
  <c r="V190" i="8"/>
  <c r="U190" i="8"/>
  <c r="T190" i="8"/>
  <c r="S190" i="8"/>
  <c r="R190" i="8"/>
  <c r="Q190" i="8"/>
  <c r="N190" i="8"/>
  <c r="V189" i="8"/>
  <c r="U189" i="8"/>
  <c r="T189" i="8"/>
  <c r="S189" i="8"/>
  <c r="R189" i="8"/>
  <c r="Q189" i="8"/>
  <c r="N189" i="8"/>
  <c r="V188" i="8"/>
  <c r="U188" i="8"/>
  <c r="T188" i="8"/>
  <c r="S188" i="8"/>
  <c r="R188" i="8"/>
  <c r="Q188" i="8"/>
  <c r="N188" i="8"/>
  <c r="V187" i="8"/>
  <c r="U187" i="8"/>
  <c r="T187" i="8"/>
  <c r="S187" i="8"/>
  <c r="R187" i="8"/>
  <c r="Q187" i="8"/>
  <c r="N187" i="8"/>
  <c r="V186" i="8"/>
  <c r="U186" i="8"/>
  <c r="T186" i="8"/>
  <c r="S186" i="8"/>
  <c r="R186" i="8"/>
  <c r="Q186" i="8"/>
  <c r="N186" i="8"/>
  <c r="V185" i="8"/>
  <c r="U185" i="8"/>
  <c r="T185" i="8"/>
  <c r="S185" i="8"/>
  <c r="R185" i="8"/>
  <c r="Q185" i="8"/>
  <c r="N185" i="8"/>
  <c r="V184" i="8"/>
  <c r="U184" i="8"/>
  <c r="T184" i="8"/>
  <c r="S184" i="8"/>
  <c r="R184" i="8"/>
  <c r="Q184" i="8"/>
  <c r="N184" i="8"/>
  <c r="V183" i="8"/>
  <c r="U183" i="8"/>
  <c r="T183" i="8"/>
  <c r="S183" i="8"/>
  <c r="R183" i="8"/>
  <c r="Q183" i="8"/>
  <c r="N183" i="8"/>
  <c r="V182" i="8"/>
  <c r="U182" i="8"/>
  <c r="T182" i="8"/>
  <c r="S182" i="8"/>
  <c r="R182" i="8"/>
  <c r="Q182" i="8"/>
  <c r="N182" i="8"/>
  <c r="V181" i="8"/>
  <c r="U181" i="8"/>
  <c r="T181" i="8"/>
  <c r="S181" i="8"/>
  <c r="R181" i="8"/>
  <c r="Q181" i="8"/>
  <c r="N181" i="8"/>
  <c r="V180" i="8"/>
  <c r="U180" i="8"/>
  <c r="T180" i="8"/>
  <c r="S180" i="8"/>
  <c r="R180" i="8"/>
  <c r="Q180" i="8"/>
  <c r="N180" i="8"/>
  <c r="V179" i="8"/>
  <c r="U179" i="8"/>
  <c r="T179" i="8"/>
  <c r="S179" i="8"/>
  <c r="R179" i="8"/>
  <c r="Q179" i="8"/>
  <c r="N179" i="8"/>
  <c r="V178" i="8"/>
  <c r="U178" i="8"/>
  <c r="T178" i="8"/>
  <c r="S178" i="8"/>
  <c r="R178" i="8"/>
  <c r="Q178" i="8"/>
  <c r="N178" i="8"/>
  <c r="V177" i="8"/>
  <c r="U177" i="8"/>
  <c r="T177" i="8"/>
  <c r="S177" i="8"/>
  <c r="R177" i="8"/>
  <c r="Q177" i="8"/>
  <c r="N177" i="8"/>
  <c r="V176" i="8"/>
  <c r="U176" i="8"/>
  <c r="T176" i="8"/>
  <c r="S176" i="8"/>
  <c r="R176" i="8"/>
  <c r="Q176" i="8"/>
  <c r="N176" i="8"/>
  <c r="V175" i="8"/>
  <c r="U175" i="8"/>
  <c r="T175" i="8"/>
  <c r="S175" i="8"/>
  <c r="R175" i="8"/>
  <c r="Q175" i="8"/>
  <c r="N175" i="8"/>
  <c r="V174" i="8"/>
  <c r="U174" i="8"/>
  <c r="T174" i="8"/>
  <c r="S174" i="8"/>
  <c r="R174" i="8"/>
  <c r="Q174" i="8"/>
  <c r="N174" i="8"/>
  <c r="V173" i="8"/>
  <c r="U173" i="8"/>
  <c r="T173" i="8"/>
  <c r="S173" i="8"/>
  <c r="R173" i="8"/>
  <c r="Q173" i="8"/>
  <c r="N173" i="8"/>
  <c r="V172" i="8"/>
  <c r="U172" i="8"/>
  <c r="T172" i="8"/>
  <c r="S172" i="8"/>
  <c r="R172" i="8"/>
  <c r="Q172" i="8"/>
  <c r="N172" i="8"/>
  <c r="V171" i="8"/>
  <c r="U171" i="8"/>
  <c r="T171" i="8"/>
  <c r="S171" i="8"/>
  <c r="R171" i="8"/>
  <c r="Q171" i="8"/>
  <c r="N171" i="8"/>
  <c r="V170" i="8"/>
  <c r="U170" i="8"/>
  <c r="T170" i="8"/>
  <c r="S170" i="8"/>
  <c r="R170" i="8"/>
  <c r="Q170" i="8"/>
  <c r="N170" i="8"/>
  <c r="V169" i="8"/>
  <c r="U169" i="8"/>
  <c r="T169" i="8"/>
  <c r="S169" i="8"/>
  <c r="R169" i="8"/>
  <c r="Q169" i="8"/>
  <c r="N169" i="8"/>
  <c r="V168" i="8"/>
  <c r="U168" i="8"/>
  <c r="T168" i="8"/>
  <c r="S168" i="8"/>
  <c r="R168" i="8"/>
  <c r="Q168" i="8"/>
  <c r="N168" i="8"/>
  <c r="V167" i="8"/>
  <c r="U167" i="8"/>
  <c r="T167" i="8"/>
  <c r="S167" i="8"/>
  <c r="R167" i="8"/>
  <c r="Q167" i="8"/>
  <c r="N167" i="8"/>
  <c r="V166" i="8"/>
  <c r="U166" i="8"/>
  <c r="T166" i="8"/>
  <c r="S166" i="8"/>
  <c r="R166" i="8"/>
  <c r="Q166" i="8"/>
  <c r="N166" i="8"/>
  <c r="V165" i="8"/>
  <c r="U165" i="8"/>
  <c r="T165" i="8"/>
  <c r="S165" i="8"/>
  <c r="R165" i="8"/>
  <c r="Q165" i="8"/>
  <c r="N165" i="8"/>
  <c r="V164" i="8"/>
  <c r="U164" i="8"/>
  <c r="T164" i="8"/>
  <c r="S164" i="8"/>
  <c r="R164" i="8"/>
  <c r="Q164" i="8"/>
  <c r="N164" i="8"/>
  <c r="V163" i="8"/>
  <c r="U163" i="8"/>
  <c r="T163" i="8"/>
  <c r="S163" i="8"/>
  <c r="R163" i="8"/>
  <c r="Q163" i="8"/>
  <c r="N163" i="8"/>
  <c r="V162" i="8"/>
  <c r="U162" i="8"/>
  <c r="T162" i="8"/>
  <c r="S162" i="8"/>
  <c r="R162" i="8"/>
  <c r="Q162" i="8"/>
  <c r="N162" i="8"/>
  <c r="V161" i="8"/>
  <c r="U161" i="8"/>
  <c r="T161" i="8"/>
  <c r="S161" i="8"/>
  <c r="R161" i="8"/>
  <c r="Q161" i="8"/>
  <c r="N161" i="8"/>
  <c r="V160" i="8"/>
  <c r="U160" i="8"/>
  <c r="T160" i="8"/>
  <c r="S160" i="8"/>
  <c r="R160" i="8"/>
  <c r="Q160" i="8"/>
  <c r="N160" i="8"/>
  <c r="V159" i="8"/>
  <c r="U159" i="8"/>
  <c r="T159" i="8"/>
  <c r="S159" i="8"/>
  <c r="R159" i="8"/>
  <c r="Q159" i="8"/>
  <c r="N159" i="8"/>
  <c r="V158" i="8"/>
  <c r="U158" i="8"/>
  <c r="T158" i="8"/>
  <c r="S158" i="8"/>
  <c r="R158" i="8"/>
  <c r="Q158" i="8"/>
  <c r="N158" i="8"/>
  <c r="V157" i="8"/>
  <c r="U157" i="8"/>
  <c r="T157" i="8"/>
  <c r="S157" i="8"/>
  <c r="R157" i="8"/>
  <c r="Q157" i="8"/>
  <c r="N157" i="8"/>
  <c r="V156" i="8"/>
  <c r="U156" i="8"/>
  <c r="T156" i="8"/>
  <c r="S156" i="8"/>
  <c r="R156" i="8"/>
  <c r="Q156" i="8"/>
  <c r="N156" i="8"/>
  <c r="V155" i="8"/>
  <c r="U155" i="8"/>
  <c r="T155" i="8"/>
  <c r="S155" i="8"/>
  <c r="R155" i="8"/>
  <c r="Q155" i="8"/>
  <c r="N155" i="8"/>
  <c r="V154" i="8"/>
  <c r="U154" i="8"/>
  <c r="T154" i="8"/>
  <c r="S154" i="8"/>
  <c r="R154" i="8"/>
  <c r="Q154" i="8"/>
  <c r="N154" i="8"/>
  <c r="V153" i="8"/>
  <c r="U153" i="8"/>
  <c r="T153" i="8"/>
  <c r="S153" i="8"/>
  <c r="R153" i="8"/>
  <c r="Q153" i="8"/>
  <c r="N153" i="8"/>
  <c r="V152" i="8"/>
  <c r="U152" i="8"/>
  <c r="T152" i="8"/>
  <c r="S152" i="8"/>
  <c r="R152" i="8"/>
  <c r="Q152" i="8"/>
  <c r="N152" i="8"/>
  <c r="V151" i="8"/>
  <c r="U151" i="8"/>
  <c r="T151" i="8"/>
  <c r="S151" i="8"/>
  <c r="R151" i="8"/>
  <c r="Q151" i="8"/>
  <c r="N151" i="8"/>
  <c r="V150" i="8"/>
  <c r="U150" i="8"/>
  <c r="T150" i="8"/>
  <c r="S150" i="8"/>
  <c r="R150" i="8"/>
  <c r="Q150" i="8"/>
  <c r="N150" i="8"/>
  <c r="V149" i="8"/>
  <c r="U149" i="8"/>
  <c r="T149" i="8"/>
  <c r="S149" i="8"/>
  <c r="R149" i="8"/>
  <c r="Q149" i="8"/>
  <c r="N149" i="8"/>
  <c r="V148" i="8"/>
  <c r="U148" i="8"/>
  <c r="T148" i="8"/>
  <c r="S148" i="8"/>
  <c r="R148" i="8"/>
  <c r="Q148" i="8"/>
  <c r="N148" i="8"/>
  <c r="V147" i="8"/>
  <c r="U147" i="8"/>
  <c r="T147" i="8"/>
  <c r="S147" i="8"/>
  <c r="R147" i="8"/>
  <c r="Q147" i="8"/>
  <c r="N147" i="8"/>
  <c r="V146" i="8"/>
  <c r="U146" i="8"/>
  <c r="T146" i="8"/>
  <c r="S146" i="8"/>
  <c r="R146" i="8"/>
  <c r="Q146" i="8"/>
  <c r="N146" i="8"/>
  <c r="V145" i="8"/>
  <c r="U145" i="8"/>
  <c r="T145" i="8"/>
  <c r="S145" i="8"/>
  <c r="R145" i="8"/>
  <c r="Q145" i="8"/>
  <c r="N145" i="8"/>
  <c r="V144" i="8"/>
  <c r="U144" i="8"/>
  <c r="T144" i="8"/>
  <c r="S144" i="8"/>
  <c r="R144" i="8"/>
  <c r="Q144" i="8"/>
  <c r="N144" i="8"/>
  <c r="V143" i="8"/>
  <c r="U143" i="8"/>
  <c r="T143" i="8"/>
  <c r="S143" i="8"/>
  <c r="R143" i="8"/>
  <c r="Q143" i="8"/>
  <c r="N143" i="8"/>
  <c r="V142" i="8"/>
  <c r="U142" i="8"/>
  <c r="T142" i="8"/>
  <c r="S142" i="8"/>
  <c r="R142" i="8"/>
  <c r="Q142" i="8"/>
  <c r="N142" i="8"/>
  <c r="V141" i="8"/>
  <c r="U141" i="8"/>
  <c r="T141" i="8"/>
  <c r="S141" i="8"/>
  <c r="R141" i="8"/>
  <c r="Q141" i="8"/>
  <c r="N141" i="8"/>
  <c r="V140" i="8"/>
  <c r="U140" i="8"/>
  <c r="T140" i="8"/>
  <c r="S140" i="8"/>
  <c r="R140" i="8"/>
  <c r="Q140" i="8"/>
  <c r="N140" i="8"/>
  <c r="V139" i="8"/>
  <c r="U139" i="8"/>
  <c r="T139" i="8"/>
  <c r="S139" i="8"/>
  <c r="R139" i="8"/>
  <c r="Q139" i="8"/>
  <c r="N139" i="8"/>
  <c r="V138" i="8"/>
  <c r="U138" i="8"/>
  <c r="T138" i="8"/>
  <c r="S138" i="8"/>
  <c r="R138" i="8"/>
  <c r="Q138" i="8"/>
  <c r="N138" i="8"/>
  <c r="V137" i="8"/>
  <c r="U137" i="8"/>
  <c r="T137" i="8"/>
  <c r="S137" i="8"/>
  <c r="R137" i="8"/>
  <c r="Q137" i="8"/>
  <c r="N137" i="8"/>
  <c r="V136" i="8"/>
  <c r="U136" i="8"/>
  <c r="T136" i="8"/>
  <c r="S136" i="8"/>
  <c r="R136" i="8"/>
  <c r="Q136" i="8"/>
  <c r="N136" i="8"/>
  <c r="V135" i="8"/>
  <c r="U135" i="8"/>
  <c r="T135" i="8"/>
  <c r="S135" i="8"/>
  <c r="R135" i="8"/>
  <c r="Q135" i="8"/>
  <c r="N135" i="8"/>
  <c r="V134" i="8"/>
  <c r="U134" i="8"/>
  <c r="T134" i="8"/>
  <c r="S134" i="8"/>
  <c r="R134" i="8"/>
  <c r="Q134" i="8"/>
  <c r="N134" i="8"/>
  <c r="V133" i="8"/>
  <c r="U133" i="8"/>
  <c r="T133" i="8"/>
  <c r="S133" i="8"/>
  <c r="R133" i="8"/>
  <c r="Q133" i="8"/>
  <c r="N133" i="8"/>
  <c r="V132" i="8"/>
  <c r="U132" i="8"/>
  <c r="T132" i="8"/>
  <c r="S132" i="8"/>
  <c r="R132" i="8"/>
  <c r="Q132" i="8"/>
  <c r="N132" i="8"/>
  <c r="V131" i="8"/>
  <c r="U131" i="8"/>
  <c r="T131" i="8"/>
  <c r="S131" i="8"/>
  <c r="R131" i="8"/>
  <c r="Q131" i="8"/>
  <c r="N131" i="8"/>
  <c r="V130" i="8"/>
  <c r="U130" i="8"/>
  <c r="T130" i="8"/>
  <c r="S130" i="8"/>
  <c r="R130" i="8"/>
  <c r="Q130" i="8"/>
  <c r="N130" i="8"/>
  <c r="V129" i="8"/>
  <c r="U129" i="8"/>
  <c r="T129" i="8"/>
  <c r="S129" i="8"/>
  <c r="R129" i="8"/>
  <c r="Q129" i="8"/>
  <c r="N129" i="8"/>
  <c r="V128" i="8"/>
  <c r="U128" i="8"/>
  <c r="T128" i="8"/>
  <c r="S128" i="8"/>
  <c r="R128" i="8"/>
  <c r="Q128" i="8"/>
  <c r="N128" i="8"/>
  <c r="V127" i="8"/>
  <c r="U127" i="8"/>
  <c r="T127" i="8"/>
  <c r="S127" i="8"/>
  <c r="R127" i="8"/>
  <c r="Q127" i="8"/>
  <c r="N127" i="8"/>
  <c r="V126" i="8"/>
  <c r="U126" i="8"/>
  <c r="T126" i="8"/>
  <c r="S126" i="8"/>
  <c r="R126" i="8"/>
  <c r="Q126" i="8"/>
  <c r="N126" i="8"/>
  <c r="V125" i="8"/>
  <c r="U125" i="8"/>
  <c r="T125" i="8"/>
  <c r="S125" i="8"/>
  <c r="R125" i="8"/>
  <c r="Q125" i="8"/>
  <c r="N125" i="8"/>
  <c r="V124" i="8"/>
  <c r="U124" i="8"/>
  <c r="T124" i="8"/>
  <c r="S124" i="8"/>
  <c r="R124" i="8"/>
  <c r="Q124" i="8"/>
  <c r="N124" i="8"/>
  <c r="V123" i="8"/>
  <c r="U123" i="8"/>
  <c r="T123" i="8"/>
  <c r="S123" i="8"/>
  <c r="R123" i="8"/>
  <c r="Q123" i="8"/>
  <c r="N123" i="8"/>
  <c r="V122" i="8"/>
  <c r="U122" i="8"/>
  <c r="T122" i="8"/>
  <c r="S122" i="8"/>
  <c r="R122" i="8"/>
  <c r="Q122" i="8"/>
  <c r="N122" i="8"/>
  <c r="V121" i="8"/>
  <c r="U121" i="8"/>
  <c r="T121" i="8"/>
  <c r="S121" i="8"/>
  <c r="R121" i="8"/>
  <c r="Q121" i="8"/>
  <c r="N121" i="8"/>
  <c r="V120" i="8"/>
  <c r="U120" i="8"/>
  <c r="T120" i="8"/>
  <c r="S120" i="8"/>
  <c r="R120" i="8"/>
  <c r="Q120" i="8"/>
  <c r="N120" i="8"/>
  <c r="V119" i="8"/>
  <c r="U119" i="8"/>
  <c r="T119" i="8"/>
  <c r="S119" i="8"/>
  <c r="R119" i="8"/>
  <c r="Q119" i="8"/>
  <c r="N119" i="8"/>
  <c r="V118" i="8"/>
  <c r="U118" i="8"/>
  <c r="T118" i="8"/>
  <c r="S118" i="8"/>
  <c r="R118" i="8"/>
  <c r="Q118" i="8"/>
  <c r="N118" i="8"/>
  <c r="V117" i="8"/>
  <c r="U117" i="8"/>
  <c r="T117" i="8"/>
  <c r="S117" i="8"/>
  <c r="R117" i="8"/>
  <c r="Q117" i="8"/>
  <c r="N117" i="8"/>
  <c r="V116" i="8"/>
  <c r="U116" i="8"/>
  <c r="T116" i="8"/>
  <c r="S116" i="8"/>
  <c r="R116" i="8"/>
  <c r="Q116" i="8"/>
  <c r="N116" i="8"/>
  <c r="V115" i="8"/>
  <c r="U115" i="8"/>
  <c r="T115" i="8"/>
  <c r="S115" i="8"/>
  <c r="R115" i="8"/>
  <c r="Q115" i="8"/>
  <c r="N115" i="8"/>
  <c r="V114" i="8"/>
  <c r="U114" i="8"/>
  <c r="T114" i="8"/>
  <c r="S114" i="8"/>
  <c r="R114" i="8"/>
  <c r="Q114" i="8"/>
  <c r="N114" i="8"/>
  <c r="V113" i="8"/>
  <c r="U113" i="8"/>
  <c r="T113" i="8"/>
  <c r="S113" i="8"/>
  <c r="R113" i="8"/>
  <c r="Q113" i="8"/>
  <c r="N113" i="8"/>
  <c r="V112" i="8"/>
  <c r="U112" i="8"/>
  <c r="T112" i="8"/>
  <c r="S112" i="8"/>
  <c r="R112" i="8"/>
  <c r="Q112" i="8"/>
  <c r="N112" i="8"/>
  <c r="V111" i="8"/>
  <c r="U111" i="8"/>
  <c r="T111" i="8"/>
  <c r="S111" i="8"/>
  <c r="R111" i="8"/>
  <c r="Q111" i="8"/>
  <c r="N111" i="8"/>
  <c r="V110" i="8"/>
  <c r="U110" i="8"/>
  <c r="T110" i="8"/>
  <c r="S110" i="8"/>
  <c r="R110" i="8"/>
  <c r="Q110" i="8"/>
  <c r="N110" i="8"/>
  <c r="V109" i="8"/>
  <c r="U109" i="8"/>
  <c r="T109" i="8"/>
  <c r="S109" i="8"/>
  <c r="R109" i="8"/>
  <c r="Q109" i="8"/>
  <c r="N109" i="8"/>
  <c r="V108" i="8"/>
  <c r="U108" i="8"/>
  <c r="T108" i="8"/>
  <c r="S108" i="8"/>
  <c r="R108" i="8"/>
  <c r="Q108" i="8"/>
  <c r="N108" i="8"/>
  <c r="V107" i="8"/>
  <c r="U107" i="8"/>
  <c r="T107" i="8"/>
  <c r="S107" i="8"/>
  <c r="R107" i="8"/>
  <c r="Q107" i="8"/>
  <c r="N107" i="8"/>
  <c r="V106" i="8"/>
  <c r="U106" i="8"/>
  <c r="T106" i="8"/>
  <c r="S106" i="8"/>
  <c r="R106" i="8"/>
  <c r="Q106" i="8"/>
  <c r="N106" i="8"/>
  <c r="V105" i="8"/>
  <c r="U105" i="8"/>
  <c r="T105" i="8"/>
  <c r="S105" i="8"/>
  <c r="R105" i="8"/>
  <c r="Q105" i="8"/>
  <c r="N105" i="8"/>
  <c r="V104" i="8"/>
  <c r="U104" i="8"/>
  <c r="T104" i="8"/>
  <c r="S104" i="8"/>
  <c r="R104" i="8"/>
  <c r="Q104" i="8"/>
  <c r="N104" i="8"/>
  <c r="V103" i="8"/>
  <c r="U103" i="8"/>
  <c r="T103" i="8"/>
  <c r="S103" i="8"/>
  <c r="R103" i="8"/>
  <c r="Q103" i="8"/>
  <c r="N103" i="8"/>
  <c r="V102" i="8"/>
  <c r="U102" i="8"/>
  <c r="T102" i="8"/>
  <c r="S102" i="8"/>
  <c r="R102" i="8"/>
  <c r="Q102" i="8"/>
  <c r="N102" i="8"/>
  <c r="V101" i="8"/>
  <c r="U101" i="8"/>
  <c r="T101" i="8"/>
  <c r="S101" i="8"/>
  <c r="R101" i="8"/>
  <c r="Q101" i="8"/>
  <c r="N101" i="8"/>
  <c r="V100" i="8"/>
  <c r="U100" i="8"/>
  <c r="T100" i="8"/>
  <c r="S100" i="8"/>
  <c r="R100" i="8"/>
  <c r="Q100" i="8"/>
  <c r="N100" i="8"/>
  <c r="V99" i="8"/>
  <c r="U99" i="8"/>
  <c r="T99" i="8"/>
  <c r="S99" i="8"/>
  <c r="R99" i="8"/>
  <c r="Q99" i="8"/>
  <c r="N99" i="8"/>
  <c r="V98" i="8"/>
  <c r="U98" i="8"/>
  <c r="T98" i="8"/>
  <c r="S98" i="8"/>
  <c r="R98" i="8"/>
  <c r="Q98" i="8"/>
  <c r="N98" i="8"/>
  <c r="V97" i="8"/>
  <c r="U97" i="8"/>
  <c r="T97" i="8"/>
  <c r="S97" i="8"/>
  <c r="R97" i="8"/>
  <c r="Q97" i="8"/>
  <c r="N97" i="8"/>
  <c r="V96" i="8"/>
  <c r="U96" i="8"/>
  <c r="T96" i="8"/>
  <c r="S96" i="8"/>
  <c r="R96" i="8"/>
  <c r="Q96" i="8"/>
  <c r="N96" i="8"/>
  <c r="V95" i="8"/>
  <c r="U95" i="8"/>
  <c r="T95" i="8"/>
  <c r="S95" i="8"/>
  <c r="R95" i="8"/>
  <c r="Q95" i="8"/>
  <c r="N95" i="8"/>
  <c r="V94" i="8"/>
  <c r="U94" i="8"/>
  <c r="T94" i="8"/>
  <c r="S94" i="8"/>
  <c r="R94" i="8"/>
  <c r="Q94" i="8"/>
  <c r="N94" i="8"/>
  <c r="V93" i="8"/>
  <c r="U93" i="8"/>
  <c r="T93" i="8"/>
  <c r="S93" i="8"/>
  <c r="R93" i="8"/>
  <c r="Q93" i="8"/>
  <c r="N93" i="8"/>
  <c r="V92" i="8"/>
  <c r="U92" i="8"/>
  <c r="T92" i="8"/>
  <c r="S92" i="8"/>
  <c r="R92" i="8"/>
  <c r="Q92" i="8"/>
  <c r="N92" i="8"/>
  <c r="V91" i="8"/>
  <c r="U91" i="8"/>
  <c r="T91" i="8"/>
  <c r="S91" i="8"/>
  <c r="R91" i="8"/>
  <c r="Q91" i="8"/>
  <c r="N91" i="8"/>
  <c r="V90" i="8"/>
  <c r="U90" i="8"/>
  <c r="T90" i="8"/>
  <c r="S90" i="8"/>
  <c r="R90" i="8"/>
  <c r="Q90" i="8"/>
  <c r="N90" i="8"/>
  <c r="V89" i="8"/>
  <c r="U89" i="8"/>
  <c r="T89" i="8"/>
  <c r="S89" i="8"/>
  <c r="R89" i="8"/>
  <c r="Q89" i="8"/>
  <c r="N89" i="8"/>
  <c r="V88" i="8"/>
  <c r="U88" i="8"/>
  <c r="T88" i="8"/>
  <c r="S88" i="8"/>
  <c r="R88" i="8"/>
  <c r="Q88" i="8"/>
  <c r="N88" i="8"/>
  <c r="V87" i="8"/>
  <c r="U87" i="8"/>
  <c r="T87" i="8"/>
  <c r="S87" i="8"/>
  <c r="R87" i="8"/>
  <c r="Q87" i="8"/>
  <c r="N87" i="8"/>
  <c r="V86" i="8"/>
  <c r="U86" i="8"/>
  <c r="T86" i="8"/>
  <c r="S86" i="8"/>
  <c r="R86" i="8"/>
  <c r="Q86" i="8"/>
  <c r="N86" i="8"/>
  <c r="V85" i="8"/>
  <c r="U85" i="8"/>
  <c r="T85" i="8"/>
  <c r="S85" i="8"/>
  <c r="R85" i="8"/>
  <c r="Q85" i="8"/>
  <c r="N85" i="8"/>
  <c r="V84" i="8"/>
  <c r="U84" i="8"/>
  <c r="T84" i="8"/>
  <c r="S84" i="8"/>
  <c r="R84" i="8"/>
  <c r="Q84" i="8"/>
  <c r="N84" i="8"/>
  <c r="V83" i="8"/>
  <c r="U83" i="8"/>
  <c r="T83" i="8"/>
  <c r="S83" i="8"/>
  <c r="R83" i="8"/>
  <c r="Q83" i="8"/>
  <c r="N83" i="8"/>
  <c r="V82" i="8"/>
  <c r="U82" i="8"/>
  <c r="T82" i="8"/>
  <c r="S82" i="8"/>
  <c r="R82" i="8"/>
  <c r="Q82" i="8"/>
  <c r="N82" i="8"/>
  <c r="V81" i="8"/>
  <c r="U81" i="8"/>
  <c r="T81" i="8"/>
  <c r="S81" i="8"/>
  <c r="R81" i="8"/>
  <c r="Q81" i="8"/>
  <c r="N81" i="8"/>
  <c r="V80" i="8"/>
  <c r="U80" i="8"/>
  <c r="T80" i="8"/>
  <c r="S80" i="8"/>
  <c r="R80" i="8"/>
  <c r="Q80" i="8"/>
  <c r="N80" i="8"/>
  <c r="V79" i="8"/>
  <c r="U79" i="8"/>
  <c r="T79" i="8"/>
  <c r="S79" i="8"/>
  <c r="R79" i="8"/>
  <c r="Q79" i="8"/>
  <c r="N79" i="8"/>
  <c r="V78" i="8"/>
  <c r="U78" i="8"/>
  <c r="T78" i="8"/>
  <c r="S78" i="8"/>
  <c r="R78" i="8"/>
  <c r="Q78" i="8"/>
  <c r="N78" i="8"/>
  <c r="V77" i="8"/>
  <c r="U77" i="8"/>
  <c r="T77" i="8"/>
  <c r="S77" i="8"/>
  <c r="R77" i="8"/>
  <c r="Q77" i="8"/>
  <c r="N77" i="8"/>
  <c r="V76" i="8"/>
  <c r="U76" i="8"/>
  <c r="T76" i="8"/>
  <c r="S76" i="8"/>
  <c r="R76" i="8"/>
  <c r="Q76" i="8"/>
  <c r="N76" i="8"/>
  <c r="V75" i="8"/>
  <c r="U75" i="8"/>
  <c r="T75" i="8"/>
  <c r="S75" i="8"/>
  <c r="R75" i="8"/>
  <c r="Q75" i="8"/>
  <c r="N75" i="8"/>
  <c r="V74" i="8"/>
  <c r="U74" i="8"/>
  <c r="T74" i="8"/>
  <c r="S74" i="8"/>
  <c r="R74" i="8"/>
  <c r="Q74" i="8"/>
  <c r="N74" i="8"/>
  <c r="V73" i="8"/>
  <c r="U73" i="8"/>
  <c r="T73" i="8"/>
  <c r="S73" i="8"/>
  <c r="R73" i="8"/>
  <c r="Q73" i="8"/>
  <c r="N73" i="8"/>
  <c r="V72" i="8"/>
  <c r="U72" i="8"/>
  <c r="T72" i="8"/>
  <c r="S72" i="8"/>
  <c r="R72" i="8"/>
  <c r="Q72" i="8"/>
  <c r="N72" i="8"/>
  <c r="V71" i="8"/>
  <c r="U71" i="8"/>
  <c r="T71" i="8"/>
  <c r="S71" i="8"/>
  <c r="R71" i="8"/>
  <c r="Q71" i="8"/>
  <c r="N71" i="8"/>
  <c r="V70" i="8"/>
  <c r="U70" i="8"/>
  <c r="T70" i="8"/>
  <c r="S70" i="8"/>
  <c r="R70" i="8"/>
  <c r="Q70" i="8"/>
  <c r="N70" i="8"/>
  <c r="V69" i="8"/>
  <c r="U69" i="8"/>
  <c r="T69" i="8"/>
  <c r="S69" i="8"/>
  <c r="R69" i="8"/>
  <c r="Q69" i="8"/>
  <c r="N69" i="8"/>
  <c r="V68" i="8"/>
  <c r="U68" i="8"/>
  <c r="T68" i="8"/>
  <c r="S68" i="8"/>
  <c r="R68" i="8"/>
  <c r="Q68" i="8"/>
  <c r="N68" i="8"/>
  <c r="V67" i="8"/>
  <c r="U67" i="8"/>
  <c r="T67" i="8"/>
  <c r="S67" i="8"/>
  <c r="R67" i="8"/>
  <c r="Q67" i="8"/>
  <c r="N67" i="8"/>
  <c r="V66" i="8"/>
  <c r="U66" i="8"/>
  <c r="T66" i="8"/>
  <c r="S66" i="8"/>
  <c r="R66" i="8"/>
  <c r="Q66" i="8"/>
  <c r="N66" i="8"/>
  <c r="V65" i="8"/>
  <c r="U65" i="8"/>
  <c r="T65" i="8"/>
  <c r="S65" i="8"/>
  <c r="R65" i="8"/>
  <c r="Q65" i="8"/>
  <c r="N65" i="8"/>
  <c r="V64" i="8"/>
  <c r="U64" i="8"/>
  <c r="T64" i="8"/>
  <c r="S64" i="8"/>
  <c r="R64" i="8"/>
  <c r="Q64" i="8"/>
  <c r="N64" i="8"/>
  <c r="V63" i="8"/>
  <c r="U63" i="8"/>
  <c r="T63" i="8"/>
  <c r="S63" i="8"/>
  <c r="R63" i="8"/>
  <c r="Q63" i="8"/>
  <c r="N63" i="8"/>
  <c r="V62" i="8"/>
  <c r="U62" i="8"/>
  <c r="T62" i="8"/>
  <c r="S62" i="8"/>
  <c r="R62" i="8"/>
  <c r="Q62" i="8"/>
  <c r="N62" i="8"/>
  <c r="V61" i="8"/>
  <c r="U61" i="8"/>
  <c r="T61" i="8"/>
  <c r="S61" i="8"/>
  <c r="R61" i="8"/>
  <c r="Q61" i="8"/>
  <c r="N61" i="8"/>
  <c r="V60" i="8"/>
  <c r="U60" i="8"/>
  <c r="T60" i="8"/>
  <c r="S60" i="8"/>
  <c r="R60" i="8"/>
  <c r="Q60" i="8"/>
  <c r="N60" i="8"/>
  <c r="V59" i="8"/>
  <c r="U59" i="8"/>
  <c r="T59" i="8"/>
  <c r="S59" i="8"/>
  <c r="R59" i="8"/>
  <c r="Q59" i="8"/>
  <c r="N59" i="8"/>
  <c r="V58" i="8"/>
  <c r="U58" i="8"/>
  <c r="T58" i="8"/>
  <c r="S58" i="8"/>
  <c r="R58" i="8"/>
  <c r="Q58" i="8"/>
  <c r="N58" i="8"/>
  <c r="V57" i="8"/>
  <c r="U57" i="8"/>
  <c r="T57" i="8"/>
  <c r="S57" i="8"/>
  <c r="R57" i="8"/>
  <c r="Q57" i="8"/>
  <c r="N57" i="8"/>
  <c r="V56" i="8"/>
  <c r="U56" i="8"/>
  <c r="T56" i="8"/>
  <c r="S56" i="8"/>
  <c r="R56" i="8"/>
  <c r="Q56" i="8"/>
  <c r="N56" i="8"/>
  <c r="V55" i="8"/>
  <c r="U55" i="8"/>
  <c r="T55" i="8"/>
  <c r="S55" i="8"/>
  <c r="R55" i="8"/>
  <c r="Q55" i="8"/>
  <c r="N55" i="8"/>
  <c r="V54" i="8"/>
  <c r="U54" i="8"/>
  <c r="T54" i="8"/>
  <c r="S54" i="8"/>
  <c r="R54" i="8"/>
  <c r="Q54" i="8"/>
  <c r="N54" i="8"/>
  <c r="V53" i="8"/>
  <c r="U53" i="8"/>
  <c r="T53" i="8"/>
  <c r="S53" i="8"/>
  <c r="R53" i="8"/>
  <c r="Q53" i="8"/>
  <c r="N53" i="8"/>
  <c r="V52" i="8"/>
  <c r="U52" i="8"/>
  <c r="T52" i="8"/>
  <c r="S52" i="8"/>
  <c r="R52" i="8"/>
  <c r="Q52" i="8"/>
  <c r="N52" i="8"/>
  <c r="V51" i="8"/>
  <c r="U51" i="8"/>
  <c r="T51" i="8"/>
  <c r="S51" i="8"/>
  <c r="R51" i="8"/>
  <c r="Q51" i="8"/>
  <c r="N51" i="8"/>
  <c r="V50" i="8"/>
  <c r="U50" i="8"/>
  <c r="T50" i="8"/>
  <c r="S50" i="8"/>
  <c r="R50" i="8"/>
  <c r="Q50" i="8"/>
  <c r="N50" i="8"/>
  <c r="V49" i="8"/>
  <c r="U49" i="8"/>
  <c r="T49" i="8"/>
  <c r="S49" i="8"/>
  <c r="R49" i="8"/>
  <c r="Q49" i="8"/>
  <c r="N49" i="8"/>
  <c r="V48" i="8"/>
  <c r="U48" i="8"/>
  <c r="T48" i="8"/>
  <c r="S48" i="8"/>
  <c r="R48" i="8"/>
  <c r="Q48" i="8"/>
  <c r="N48" i="8"/>
  <c r="V47" i="8"/>
  <c r="U47" i="8"/>
  <c r="T47" i="8"/>
  <c r="S47" i="8"/>
  <c r="R47" i="8"/>
  <c r="Q47" i="8"/>
  <c r="N47" i="8"/>
  <c r="V46" i="8"/>
  <c r="U46" i="8"/>
  <c r="T46" i="8"/>
  <c r="S46" i="8"/>
  <c r="R46" i="8"/>
  <c r="Q46" i="8"/>
  <c r="N46" i="8"/>
  <c r="V45" i="8"/>
  <c r="U45" i="8"/>
  <c r="T45" i="8"/>
  <c r="S45" i="8"/>
  <c r="R45" i="8"/>
  <c r="Q45" i="8"/>
  <c r="N45" i="8"/>
  <c r="V44" i="8"/>
  <c r="U44" i="8"/>
  <c r="T44" i="8"/>
  <c r="S44" i="8"/>
  <c r="R44" i="8"/>
  <c r="Q44" i="8"/>
  <c r="N44" i="8"/>
  <c r="V43" i="8"/>
  <c r="U43" i="8"/>
  <c r="T43" i="8"/>
  <c r="S43" i="8"/>
  <c r="R43" i="8"/>
  <c r="Q43" i="8"/>
  <c r="N43" i="8"/>
  <c r="V42" i="8"/>
  <c r="U42" i="8"/>
  <c r="T42" i="8"/>
  <c r="S42" i="8"/>
  <c r="R42" i="8"/>
  <c r="Q42" i="8"/>
  <c r="N42" i="8"/>
  <c r="V41" i="8"/>
  <c r="U41" i="8"/>
  <c r="T41" i="8"/>
  <c r="S41" i="8"/>
  <c r="R41" i="8"/>
  <c r="Q41" i="8"/>
  <c r="N41" i="8"/>
  <c r="V40" i="8"/>
  <c r="U40" i="8"/>
  <c r="T40" i="8"/>
  <c r="S40" i="8"/>
  <c r="R40" i="8"/>
  <c r="Q40" i="8"/>
  <c r="N40" i="8"/>
  <c r="V39" i="8"/>
  <c r="U39" i="8"/>
  <c r="T39" i="8"/>
  <c r="S39" i="8"/>
  <c r="R39" i="8"/>
  <c r="Q39" i="8"/>
  <c r="N39" i="8"/>
  <c r="V38" i="8"/>
  <c r="U38" i="8"/>
  <c r="T38" i="8"/>
  <c r="S38" i="8"/>
  <c r="R38" i="8"/>
  <c r="Q38" i="8"/>
  <c r="N38" i="8"/>
  <c r="V37" i="8"/>
  <c r="U37" i="8"/>
  <c r="T37" i="8"/>
  <c r="S37" i="8"/>
  <c r="R37" i="8"/>
  <c r="Q37" i="8"/>
  <c r="N37" i="8"/>
  <c r="V36" i="8"/>
  <c r="U36" i="8"/>
  <c r="T36" i="8"/>
  <c r="S36" i="8"/>
  <c r="R36" i="8"/>
  <c r="Q36" i="8"/>
  <c r="N36" i="8"/>
  <c r="V35" i="8"/>
  <c r="U35" i="8"/>
  <c r="T35" i="8"/>
  <c r="S35" i="8"/>
  <c r="R35" i="8"/>
  <c r="Q35" i="8"/>
  <c r="N35" i="8"/>
  <c r="V34" i="8"/>
  <c r="U34" i="8"/>
  <c r="T34" i="8"/>
  <c r="S34" i="8"/>
  <c r="R34" i="8"/>
  <c r="Q34" i="8"/>
  <c r="N34" i="8"/>
  <c r="V33" i="8"/>
  <c r="U33" i="8"/>
  <c r="T33" i="8"/>
  <c r="S33" i="8"/>
  <c r="R33" i="8"/>
  <c r="Q33" i="8"/>
  <c r="N33" i="8"/>
  <c r="V32" i="8"/>
  <c r="U32" i="8"/>
  <c r="T32" i="8"/>
  <c r="S32" i="8"/>
  <c r="R32" i="8"/>
  <c r="Q32" i="8"/>
  <c r="N32" i="8"/>
  <c r="V31" i="8"/>
  <c r="U31" i="8"/>
  <c r="T31" i="8"/>
  <c r="S31" i="8"/>
  <c r="R31" i="8"/>
  <c r="Q31" i="8"/>
  <c r="N31" i="8"/>
  <c r="T30" i="8"/>
  <c r="S30" i="8"/>
  <c r="R30" i="8"/>
  <c r="Q30" i="8"/>
  <c r="T29" i="8"/>
  <c r="S29" i="8"/>
  <c r="R29" i="8"/>
  <c r="Q29" i="8"/>
  <c r="T28" i="8"/>
  <c r="S28" i="8"/>
  <c r="R28" i="8"/>
  <c r="Q28" i="8"/>
  <c r="T27" i="8"/>
  <c r="S27" i="8"/>
  <c r="R27" i="8"/>
  <c r="Q27" i="8"/>
  <c r="T26" i="8"/>
  <c r="S26" i="8"/>
  <c r="R26" i="8"/>
  <c r="Q26" i="8"/>
  <c r="T25" i="8"/>
  <c r="S25" i="8"/>
  <c r="R25" i="8"/>
  <c r="Q25" i="8"/>
  <c r="T24" i="8"/>
  <c r="S24" i="8"/>
  <c r="R24" i="8"/>
  <c r="Q24" i="8"/>
  <c r="T23" i="8"/>
  <c r="S23" i="8"/>
  <c r="R23" i="8"/>
  <c r="Q23" i="8"/>
  <c r="T22" i="8"/>
  <c r="S22" i="8"/>
  <c r="R22" i="8"/>
  <c r="Q22" i="8"/>
  <c r="T21" i="8"/>
  <c r="S21" i="8"/>
  <c r="R21" i="8"/>
  <c r="Q21" i="8"/>
  <c r="T20" i="8"/>
  <c r="S20" i="8"/>
  <c r="R20" i="8"/>
  <c r="Q20" i="8"/>
  <c r="T19" i="8"/>
  <c r="S19" i="8"/>
  <c r="R19" i="8"/>
  <c r="Q19" i="8"/>
  <c r="T18" i="8"/>
  <c r="S18" i="8"/>
  <c r="R18" i="8"/>
  <c r="Q18" i="8"/>
  <c r="T17" i="8"/>
  <c r="S17" i="8"/>
  <c r="R17" i="8"/>
  <c r="Q17" i="8"/>
  <c r="T16" i="8"/>
  <c r="S16" i="8"/>
  <c r="R16" i="8"/>
  <c r="Q16" i="8"/>
  <c r="T15" i="8"/>
  <c r="S15" i="8"/>
  <c r="R15" i="8"/>
  <c r="Q15" i="8"/>
  <c r="T14" i="8"/>
  <c r="S14" i="8"/>
  <c r="R14" i="8"/>
  <c r="Q14" i="8"/>
  <c r="T13" i="8"/>
  <c r="S13" i="8"/>
  <c r="R13" i="8"/>
  <c r="Q13" i="8"/>
  <c r="T12" i="8"/>
  <c r="S12" i="8"/>
  <c r="R12" i="8"/>
  <c r="Q12" i="8"/>
  <c r="T11" i="8"/>
  <c r="S11" i="8"/>
  <c r="R11" i="8"/>
  <c r="Q11" i="8"/>
  <c r="T10" i="8"/>
  <c r="S10" i="8"/>
  <c r="R10" i="8"/>
  <c r="Q10" i="8"/>
  <c r="T9" i="8"/>
  <c r="S9" i="8"/>
  <c r="R9" i="8"/>
  <c r="Q9" i="8"/>
  <c r="T8" i="8"/>
  <c r="S8" i="8"/>
  <c r="R8" i="8"/>
  <c r="Q8" i="8"/>
  <c r="T7" i="8"/>
  <c r="S7" i="8"/>
  <c r="R7" i="8"/>
  <c r="Q7" i="8"/>
  <c r="T6" i="8"/>
  <c r="S6" i="8"/>
  <c r="R6" i="8"/>
  <c r="Q6" i="8"/>
  <c r="T5" i="8"/>
  <c r="S5" i="8"/>
  <c r="R5" i="8"/>
  <c r="Q5" i="8"/>
  <c r="T4" i="8"/>
  <c r="S4" i="8"/>
  <c r="R4" i="8"/>
  <c r="Q4" i="8"/>
  <c r="T3" i="8"/>
  <c r="S3" i="8"/>
  <c r="R3" i="8"/>
  <c r="Q3" i="8"/>
  <c r="T2" i="8"/>
  <c r="S2" i="8"/>
  <c r="R2" i="8"/>
  <c r="Q2" i="8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D201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D200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D199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D198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D197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D196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D195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D194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D193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D192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D191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D190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D189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D188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D187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D186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D185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D184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D183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D182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D181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D180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D179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D178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D177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D176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D175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D174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D173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D172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D171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D170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D169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D168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D167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D166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D165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D164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D163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D162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D161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D160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D159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D158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D157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D156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D155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D154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D153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D152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D151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D150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D149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D148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D147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D146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D145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D144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D143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D142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D141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D140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D139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D138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D137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D136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D135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D134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D133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D132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D131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D130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D129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D128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D127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D126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D125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D124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D123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D122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D121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D120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D119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D118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D117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D116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D115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D114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D113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D112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D111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D110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D109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D108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D107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D106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D105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D104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D103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D102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D101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D100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D99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D98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D97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D96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D95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D94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D93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D92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D91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D90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D89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D88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D87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D86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D85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D84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D83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D82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D81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D80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D79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D78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D77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D76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D75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D74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D73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D72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D71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D70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D69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D68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D67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D66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D65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D64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D63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D62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D61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D60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D59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D58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D57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D56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D55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D54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D53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D52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D51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D50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D49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D48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D47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D46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D45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D44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D43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D42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D41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D40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D39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D38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D37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D36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D35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D34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D33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D32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D31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D30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D29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D28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D27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D26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D25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D24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D23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D22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D21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D20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D19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D18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D17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D16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D15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D14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D13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D12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D11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D10" i="7"/>
  <c r="S9" i="7"/>
  <c r="R9" i="7"/>
  <c r="Q9" i="7"/>
  <c r="P9" i="7"/>
  <c r="O9" i="7"/>
  <c r="N9" i="7"/>
  <c r="M9" i="7"/>
  <c r="L9" i="7"/>
  <c r="K9" i="7"/>
  <c r="J9" i="7"/>
  <c r="I9" i="7"/>
  <c r="H9" i="7"/>
  <c r="G9" i="7"/>
  <c r="D9" i="7"/>
  <c r="S8" i="7"/>
  <c r="R8" i="7"/>
  <c r="Q8" i="7"/>
  <c r="P8" i="7"/>
  <c r="O8" i="7"/>
  <c r="N8" i="7"/>
  <c r="M8" i="7"/>
  <c r="L8" i="7"/>
  <c r="K8" i="7"/>
  <c r="J8" i="7"/>
  <c r="I8" i="7"/>
  <c r="H8" i="7"/>
  <c r="G8" i="7"/>
  <c r="D8" i="7"/>
  <c r="N7" i="7"/>
  <c r="H45" i="4" s="1"/>
  <c r="M7" i="7"/>
  <c r="L7" i="7"/>
  <c r="R7" i="7" s="1"/>
  <c r="J45" i="4" s="1"/>
  <c r="H7" i="7"/>
  <c r="I7" i="7" s="1"/>
  <c r="G7" i="7"/>
  <c r="J7" i="7" s="1"/>
  <c r="O4" i="6" s="1"/>
  <c r="D7" i="7"/>
  <c r="D45" i="4" s="1"/>
  <c r="N6" i="7"/>
  <c r="M6" i="7"/>
  <c r="L6" i="7"/>
  <c r="R6" i="7" s="1"/>
  <c r="J44" i="4" s="1"/>
  <c r="H6" i="7"/>
  <c r="I6" i="7" s="1"/>
  <c r="G6" i="7"/>
  <c r="J6" i="7" s="1"/>
  <c r="D6" i="7"/>
  <c r="N5" i="7"/>
  <c r="O5" i="7" s="1"/>
  <c r="I43" i="4" s="1"/>
  <c r="M5" i="7"/>
  <c r="L5" i="7"/>
  <c r="R5" i="7" s="1"/>
  <c r="J43" i="4" s="1"/>
  <c r="G5" i="7"/>
  <c r="J5" i="7" s="1"/>
  <c r="D5" i="7"/>
  <c r="D43" i="4" s="1"/>
  <c r="N4" i="7"/>
  <c r="H42" i="4" s="1"/>
  <c r="M4" i="7"/>
  <c r="L4" i="7"/>
  <c r="F42" i="4" s="1"/>
  <c r="H4" i="7"/>
  <c r="I4" i="7" s="1"/>
  <c r="G4" i="7"/>
  <c r="J4" i="7" s="1"/>
  <c r="D4" i="7"/>
  <c r="D42" i="4" s="1"/>
  <c r="N3" i="7"/>
  <c r="H41" i="4" s="1"/>
  <c r="M3" i="7"/>
  <c r="G41" i="4" s="1"/>
  <c r="L3" i="7"/>
  <c r="F41" i="4" s="1"/>
  <c r="D3" i="7"/>
  <c r="D41" i="4" s="1"/>
  <c r="M2" i="7"/>
  <c r="G40" i="4" s="1"/>
  <c r="L2" i="7"/>
  <c r="F40" i="4" s="1"/>
  <c r="H2" i="7"/>
  <c r="I2" i="7" s="1"/>
  <c r="G2" i="7"/>
  <c r="J2" i="7" s="1"/>
  <c r="O2" i="6" s="1"/>
  <c r="D2" i="7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P201" i="6"/>
  <c r="O201" i="6"/>
  <c r="N201" i="6"/>
  <c r="M201" i="6"/>
  <c r="L201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P200" i="6"/>
  <c r="O200" i="6"/>
  <c r="N200" i="6"/>
  <c r="M200" i="6"/>
  <c r="L200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P199" i="6"/>
  <c r="O199" i="6"/>
  <c r="N199" i="6"/>
  <c r="M199" i="6"/>
  <c r="L199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P198" i="6"/>
  <c r="O198" i="6"/>
  <c r="N198" i="6"/>
  <c r="M198" i="6"/>
  <c r="L198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P197" i="6"/>
  <c r="O197" i="6"/>
  <c r="N197" i="6"/>
  <c r="M197" i="6"/>
  <c r="L197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P196" i="6"/>
  <c r="O196" i="6"/>
  <c r="N196" i="6"/>
  <c r="M196" i="6"/>
  <c r="L196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P195" i="6"/>
  <c r="O195" i="6"/>
  <c r="N195" i="6"/>
  <c r="M195" i="6"/>
  <c r="L195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P194" i="6"/>
  <c r="O194" i="6"/>
  <c r="N194" i="6"/>
  <c r="M194" i="6"/>
  <c r="L194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P193" i="6"/>
  <c r="O193" i="6"/>
  <c r="N193" i="6"/>
  <c r="M193" i="6"/>
  <c r="L193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P192" i="6"/>
  <c r="O192" i="6"/>
  <c r="N192" i="6"/>
  <c r="M192" i="6"/>
  <c r="L192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P191" i="6"/>
  <c r="O191" i="6"/>
  <c r="N191" i="6"/>
  <c r="M191" i="6"/>
  <c r="L191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P190" i="6"/>
  <c r="O190" i="6"/>
  <c r="N190" i="6"/>
  <c r="M190" i="6"/>
  <c r="L190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P189" i="6"/>
  <c r="O189" i="6"/>
  <c r="N189" i="6"/>
  <c r="M189" i="6"/>
  <c r="L189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P188" i="6"/>
  <c r="O188" i="6"/>
  <c r="N188" i="6"/>
  <c r="M188" i="6"/>
  <c r="L188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P187" i="6"/>
  <c r="O187" i="6"/>
  <c r="N187" i="6"/>
  <c r="M187" i="6"/>
  <c r="L187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P186" i="6"/>
  <c r="O186" i="6"/>
  <c r="N186" i="6"/>
  <c r="M186" i="6"/>
  <c r="L186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P185" i="6"/>
  <c r="O185" i="6"/>
  <c r="N185" i="6"/>
  <c r="M185" i="6"/>
  <c r="L185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P184" i="6"/>
  <c r="O184" i="6"/>
  <c r="N184" i="6"/>
  <c r="M184" i="6"/>
  <c r="L184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P183" i="6"/>
  <c r="O183" i="6"/>
  <c r="N183" i="6"/>
  <c r="M183" i="6"/>
  <c r="L183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P182" i="6"/>
  <c r="O182" i="6"/>
  <c r="N182" i="6"/>
  <c r="M182" i="6"/>
  <c r="L182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P181" i="6"/>
  <c r="O181" i="6"/>
  <c r="N181" i="6"/>
  <c r="M181" i="6"/>
  <c r="L181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P180" i="6"/>
  <c r="O180" i="6"/>
  <c r="N180" i="6"/>
  <c r="M180" i="6"/>
  <c r="L180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P179" i="6"/>
  <c r="O179" i="6"/>
  <c r="N179" i="6"/>
  <c r="M179" i="6"/>
  <c r="L179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P178" i="6"/>
  <c r="O178" i="6"/>
  <c r="N178" i="6"/>
  <c r="M178" i="6"/>
  <c r="L178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P177" i="6"/>
  <c r="O177" i="6"/>
  <c r="N177" i="6"/>
  <c r="M177" i="6"/>
  <c r="L177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P176" i="6"/>
  <c r="O176" i="6"/>
  <c r="N176" i="6"/>
  <c r="M176" i="6"/>
  <c r="L176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P175" i="6"/>
  <c r="O175" i="6"/>
  <c r="N175" i="6"/>
  <c r="M175" i="6"/>
  <c r="L175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P174" i="6"/>
  <c r="O174" i="6"/>
  <c r="N174" i="6"/>
  <c r="M174" i="6"/>
  <c r="L174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P173" i="6"/>
  <c r="O173" i="6"/>
  <c r="N173" i="6"/>
  <c r="M173" i="6"/>
  <c r="L173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P172" i="6"/>
  <c r="O172" i="6"/>
  <c r="N172" i="6"/>
  <c r="M172" i="6"/>
  <c r="L172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P171" i="6"/>
  <c r="O171" i="6"/>
  <c r="N171" i="6"/>
  <c r="M171" i="6"/>
  <c r="L171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P170" i="6"/>
  <c r="O170" i="6"/>
  <c r="N170" i="6"/>
  <c r="M170" i="6"/>
  <c r="L170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P169" i="6"/>
  <c r="O169" i="6"/>
  <c r="N169" i="6"/>
  <c r="M169" i="6"/>
  <c r="L169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P168" i="6"/>
  <c r="O168" i="6"/>
  <c r="N168" i="6"/>
  <c r="M168" i="6"/>
  <c r="L168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P167" i="6"/>
  <c r="O167" i="6"/>
  <c r="N167" i="6"/>
  <c r="M167" i="6"/>
  <c r="L167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P166" i="6"/>
  <c r="O166" i="6"/>
  <c r="N166" i="6"/>
  <c r="M166" i="6"/>
  <c r="L166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P165" i="6"/>
  <c r="O165" i="6"/>
  <c r="N165" i="6"/>
  <c r="M165" i="6"/>
  <c r="L165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P164" i="6"/>
  <c r="O164" i="6"/>
  <c r="N164" i="6"/>
  <c r="M164" i="6"/>
  <c r="L164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P163" i="6"/>
  <c r="O163" i="6"/>
  <c r="N163" i="6"/>
  <c r="M163" i="6"/>
  <c r="L163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P162" i="6"/>
  <c r="O162" i="6"/>
  <c r="N162" i="6"/>
  <c r="M162" i="6"/>
  <c r="L162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P161" i="6"/>
  <c r="O161" i="6"/>
  <c r="N161" i="6"/>
  <c r="M161" i="6"/>
  <c r="L161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P160" i="6"/>
  <c r="O160" i="6"/>
  <c r="N160" i="6"/>
  <c r="M160" i="6"/>
  <c r="L160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P159" i="6"/>
  <c r="O159" i="6"/>
  <c r="N159" i="6"/>
  <c r="M159" i="6"/>
  <c r="L159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P158" i="6"/>
  <c r="O158" i="6"/>
  <c r="N158" i="6"/>
  <c r="M158" i="6"/>
  <c r="L158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P157" i="6"/>
  <c r="O157" i="6"/>
  <c r="N157" i="6"/>
  <c r="M157" i="6"/>
  <c r="L157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P156" i="6"/>
  <c r="O156" i="6"/>
  <c r="N156" i="6"/>
  <c r="M156" i="6"/>
  <c r="L156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P155" i="6"/>
  <c r="O155" i="6"/>
  <c r="N155" i="6"/>
  <c r="M155" i="6"/>
  <c r="L155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P154" i="6"/>
  <c r="O154" i="6"/>
  <c r="N154" i="6"/>
  <c r="M154" i="6"/>
  <c r="L154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P153" i="6"/>
  <c r="O153" i="6"/>
  <c r="N153" i="6"/>
  <c r="M153" i="6"/>
  <c r="L153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P152" i="6"/>
  <c r="O152" i="6"/>
  <c r="N152" i="6"/>
  <c r="M152" i="6"/>
  <c r="L152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P151" i="6"/>
  <c r="O151" i="6"/>
  <c r="N151" i="6"/>
  <c r="M151" i="6"/>
  <c r="L151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P150" i="6"/>
  <c r="O150" i="6"/>
  <c r="N150" i="6"/>
  <c r="M150" i="6"/>
  <c r="L150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P149" i="6"/>
  <c r="O149" i="6"/>
  <c r="N149" i="6"/>
  <c r="M149" i="6"/>
  <c r="L149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P148" i="6"/>
  <c r="O148" i="6"/>
  <c r="N148" i="6"/>
  <c r="M148" i="6"/>
  <c r="L148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P147" i="6"/>
  <c r="O147" i="6"/>
  <c r="N147" i="6"/>
  <c r="M147" i="6"/>
  <c r="L147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P146" i="6"/>
  <c r="O146" i="6"/>
  <c r="N146" i="6"/>
  <c r="M146" i="6"/>
  <c r="L146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P145" i="6"/>
  <c r="O145" i="6"/>
  <c r="N145" i="6"/>
  <c r="M145" i="6"/>
  <c r="L145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P144" i="6"/>
  <c r="O144" i="6"/>
  <c r="N144" i="6"/>
  <c r="M144" i="6"/>
  <c r="L144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P143" i="6"/>
  <c r="O143" i="6"/>
  <c r="N143" i="6"/>
  <c r="M143" i="6"/>
  <c r="L143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P142" i="6"/>
  <c r="O142" i="6"/>
  <c r="N142" i="6"/>
  <c r="M142" i="6"/>
  <c r="L142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P141" i="6"/>
  <c r="O141" i="6"/>
  <c r="N141" i="6"/>
  <c r="M141" i="6"/>
  <c r="L141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P140" i="6"/>
  <c r="O140" i="6"/>
  <c r="N140" i="6"/>
  <c r="M140" i="6"/>
  <c r="L140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P139" i="6"/>
  <c r="O139" i="6"/>
  <c r="N139" i="6"/>
  <c r="M139" i="6"/>
  <c r="L139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P138" i="6"/>
  <c r="O138" i="6"/>
  <c r="N138" i="6"/>
  <c r="M138" i="6"/>
  <c r="L138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P137" i="6"/>
  <c r="O137" i="6"/>
  <c r="N137" i="6"/>
  <c r="M137" i="6"/>
  <c r="L137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P136" i="6"/>
  <c r="O136" i="6"/>
  <c r="N136" i="6"/>
  <c r="M136" i="6"/>
  <c r="L136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P135" i="6"/>
  <c r="O135" i="6"/>
  <c r="N135" i="6"/>
  <c r="M135" i="6"/>
  <c r="L135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P134" i="6"/>
  <c r="O134" i="6"/>
  <c r="N134" i="6"/>
  <c r="M134" i="6"/>
  <c r="L134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P133" i="6"/>
  <c r="O133" i="6"/>
  <c r="N133" i="6"/>
  <c r="M133" i="6"/>
  <c r="L133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P132" i="6"/>
  <c r="O132" i="6"/>
  <c r="N132" i="6"/>
  <c r="M132" i="6"/>
  <c r="L132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P131" i="6"/>
  <c r="O131" i="6"/>
  <c r="N131" i="6"/>
  <c r="M131" i="6"/>
  <c r="L131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P130" i="6"/>
  <c r="O130" i="6"/>
  <c r="N130" i="6"/>
  <c r="M130" i="6"/>
  <c r="L130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P129" i="6"/>
  <c r="O129" i="6"/>
  <c r="N129" i="6"/>
  <c r="M129" i="6"/>
  <c r="L129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P128" i="6"/>
  <c r="O128" i="6"/>
  <c r="N128" i="6"/>
  <c r="M128" i="6"/>
  <c r="L128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P127" i="6"/>
  <c r="O127" i="6"/>
  <c r="N127" i="6"/>
  <c r="M127" i="6"/>
  <c r="L127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P126" i="6"/>
  <c r="O126" i="6"/>
  <c r="N126" i="6"/>
  <c r="M126" i="6"/>
  <c r="L126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P125" i="6"/>
  <c r="O125" i="6"/>
  <c r="N125" i="6"/>
  <c r="M125" i="6"/>
  <c r="L125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P124" i="6"/>
  <c r="O124" i="6"/>
  <c r="N124" i="6"/>
  <c r="M124" i="6"/>
  <c r="L124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P123" i="6"/>
  <c r="O123" i="6"/>
  <c r="N123" i="6"/>
  <c r="M123" i="6"/>
  <c r="L123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P122" i="6"/>
  <c r="O122" i="6"/>
  <c r="N122" i="6"/>
  <c r="M122" i="6"/>
  <c r="L122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P121" i="6"/>
  <c r="O121" i="6"/>
  <c r="N121" i="6"/>
  <c r="M121" i="6"/>
  <c r="L121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P120" i="6"/>
  <c r="O120" i="6"/>
  <c r="N120" i="6"/>
  <c r="M120" i="6"/>
  <c r="L120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P119" i="6"/>
  <c r="O119" i="6"/>
  <c r="N119" i="6"/>
  <c r="M119" i="6"/>
  <c r="L119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P118" i="6"/>
  <c r="O118" i="6"/>
  <c r="N118" i="6"/>
  <c r="M118" i="6"/>
  <c r="L118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P117" i="6"/>
  <c r="O117" i="6"/>
  <c r="N117" i="6"/>
  <c r="M117" i="6"/>
  <c r="L117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P116" i="6"/>
  <c r="O116" i="6"/>
  <c r="N116" i="6"/>
  <c r="M116" i="6"/>
  <c r="L116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P115" i="6"/>
  <c r="O115" i="6"/>
  <c r="N115" i="6"/>
  <c r="M115" i="6"/>
  <c r="L115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P114" i="6"/>
  <c r="O114" i="6"/>
  <c r="N114" i="6"/>
  <c r="M114" i="6"/>
  <c r="L114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P113" i="6"/>
  <c r="O113" i="6"/>
  <c r="N113" i="6"/>
  <c r="M113" i="6"/>
  <c r="L113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P112" i="6"/>
  <c r="O112" i="6"/>
  <c r="N112" i="6"/>
  <c r="M112" i="6"/>
  <c r="L112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P111" i="6"/>
  <c r="O111" i="6"/>
  <c r="N111" i="6"/>
  <c r="M111" i="6"/>
  <c r="L111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P110" i="6"/>
  <c r="O110" i="6"/>
  <c r="N110" i="6"/>
  <c r="M110" i="6"/>
  <c r="L110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P109" i="6"/>
  <c r="O109" i="6"/>
  <c r="N109" i="6"/>
  <c r="M109" i="6"/>
  <c r="L109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P108" i="6"/>
  <c r="O108" i="6"/>
  <c r="N108" i="6"/>
  <c r="M108" i="6"/>
  <c r="L108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P107" i="6"/>
  <c r="O107" i="6"/>
  <c r="N107" i="6"/>
  <c r="M107" i="6"/>
  <c r="L107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P106" i="6"/>
  <c r="O106" i="6"/>
  <c r="N106" i="6"/>
  <c r="M106" i="6"/>
  <c r="L106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P105" i="6"/>
  <c r="O105" i="6"/>
  <c r="N105" i="6"/>
  <c r="M105" i="6"/>
  <c r="L105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P104" i="6"/>
  <c r="O104" i="6"/>
  <c r="N104" i="6"/>
  <c r="M104" i="6"/>
  <c r="L104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P103" i="6"/>
  <c r="O103" i="6"/>
  <c r="N103" i="6"/>
  <c r="M103" i="6"/>
  <c r="L103" i="6"/>
  <c r="AN102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P102" i="6"/>
  <c r="O102" i="6"/>
  <c r="N102" i="6"/>
  <c r="M102" i="6"/>
  <c r="L102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P101" i="6"/>
  <c r="O101" i="6"/>
  <c r="N101" i="6"/>
  <c r="M101" i="6"/>
  <c r="L101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P100" i="6"/>
  <c r="O100" i="6"/>
  <c r="N100" i="6"/>
  <c r="M100" i="6"/>
  <c r="L100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P98" i="6"/>
  <c r="O98" i="6"/>
  <c r="N98" i="6"/>
  <c r="M98" i="6"/>
  <c r="L98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P97" i="6"/>
  <c r="O97" i="6"/>
  <c r="N97" i="6"/>
  <c r="M97" i="6"/>
  <c r="L97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P96" i="6"/>
  <c r="O96" i="6"/>
  <c r="N96" i="6"/>
  <c r="M96" i="6"/>
  <c r="L96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P95" i="6"/>
  <c r="O95" i="6"/>
  <c r="N95" i="6"/>
  <c r="M95" i="6"/>
  <c r="L95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P94" i="6"/>
  <c r="O94" i="6"/>
  <c r="N94" i="6"/>
  <c r="M94" i="6"/>
  <c r="L94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P93" i="6"/>
  <c r="O93" i="6"/>
  <c r="N93" i="6"/>
  <c r="M93" i="6"/>
  <c r="L93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P92" i="6"/>
  <c r="O92" i="6"/>
  <c r="N92" i="6"/>
  <c r="M92" i="6"/>
  <c r="L92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P91" i="6"/>
  <c r="O91" i="6"/>
  <c r="N91" i="6"/>
  <c r="M91" i="6"/>
  <c r="L91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P90" i="6"/>
  <c r="O90" i="6"/>
  <c r="N90" i="6"/>
  <c r="M90" i="6"/>
  <c r="L90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P89" i="6"/>
  <c r="O89" i="6"/>
  <c r="N89" i="6"/>
  <c r="M89" i="6"/>
  <c r="L89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P88" i="6"/>
  <c r="O88" i="6"/>
  <c r="N88" i="6"/>
  <c r="M88" i="6"/>
  <c r="L88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P87" i="6"/>
  <c r="O87" i="6"/>
  <c r="N87" i="6"/>
  <c r="M87" i="6"/>
  <c r="L87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P86" i="6"/>
  <c r="O86" i="6"/>
  <c r="N86" i="6"/>
  <c r="M86" i="6"/>
  <c r="L86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P85" i="6"/>
  <c r="O85" i="6"/>
  <c r="N85" i="6"/>
  <c r="M85" i="6"/>
  <c r="L85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P84" i="6"/>
  <c r="O84" i="6"/>
  <c r="N84" i="6"/>
  <c r="M84" i="6"/>
  <c r="L84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P83" i="6"/>
  <c r="O83" i="6"/>
  <c r="N83" i="6"/>
  <c r="M83" i="6"/>
  <c r="L83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P82" i="6"/>
  <c r="O82" i="6"/>
  <c r="N82" i="6"/>
  <c r="M82" i="6"/>
  <c r="L82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P81" i="6"/>
  <c r="O81" i="6"/>
  <c r="N81" i="6"/>
  <c r="M81" i="6"/>
  <c r="L81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P80" i="6"/>
  <c r="O80" i="6"/>
  <c r="N80" i="6"/>
  <c r="M80" i="6"/>
  <c r="L80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P79" i="6"/>
  <c r="O79" i="6"/>
  <c r="N79" i="6"/>
  <c r="M79" i="6"/>
  <c r="L79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P78" i="6"/>
  <c r="O78" i="6"/>
  <c r="N78" i="6"/>
  <c r="M78" i="6"/>
  <c r="L78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P77" i="6"/>
  <c r="O77" i="6"/>
  <c r="N77" i="6"/>
  <c r="M77" i="6"/>
  <c r="L77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P76" i="6"/>
  <c r="O76" i="6"/>
  <c r="N76" i="6"/>
  <c r="M76" i="6"/>
  <c r="L76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P75" i="6"/>
  <c r="O75" i="6"/>
  <c r="N75" i="6"/>
  <c r="M75" i="6"/>
  <c r="L75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P74" i="6"/>
  <c r="O74" i="6"/>
  <c r="N74" i="6"/>
  <c r="M74" i="6"/>
  <c r="L74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P73" i="6"/>
  <c r="O73" i="6"/>
  <c r="N73" i="6"/>
  <c r="M73" i="6"/>
  <c r="L73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P72" i="6"/>
  <c r="O72" i="6"/>
  <c r="N72" i="6"/>
  <c r="M72" i="6"/>
  <c r="L72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P71" i="6"/>
  <c r="O71" i="6"/>
  <c r="N71" i="6"/>
  <c r="M71" i="6"/>
  <c r="L71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P70" i="6"/>
  <c r="O70" i="6"/>
  <c r="N70" i="6"/>
  <c r="M70" i="6"/>
  <c r="L70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P69" i="6"/>
  <c r="O69" i="6"/>
  <c r="N69" i="6"/>
  <c r="M69" i="6"/>
  <c r="L69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P68" i="6"/>
  <c r="O68" i="6"/>
  <c r="N68" i="6"/>
  <c r="M68" i="6"/>
  <c r="L68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P67" i="6"/>
  <c r="O67" i="6"/>
  <c r="N67" i="6"/>
  <c r="M67" i="6"/>
  <c r="L67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P66" i="6"/>
  <c r="O66" i="6"/>
  <c r="N66" i="6"/>
  <c r="M66" i="6"/>
  <c r="L66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P65" i="6"/>
  <c r="O65" i="6"/>
  <c r="N65" i="6"/>
  <c r="M65" i="6"/>
  <c r="L65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P64" i="6"/>
  <c r="O64" i="6"/>
  <c r="N64" i="6"/>
  <c r="M64" i="6"/>
  <c r="L64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P63" i="6"/>
  <c r="O63" i="6"/>
  <c r="N63" i="6"/>
  <c r="M63" i="6"/>
  <c r="L63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P62" i="6"/>
  <c r="O62" i="6"/>
  <c r="N62" i="6"/>
  <c r="M62" i="6"/>
  <c r="L62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P61" i="6"/>
  <c r="O61" i="6"/>
  <c r="N61" i="6"/>
  <c r="M61" i="6"/>
  <c r="L61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P60" i="6"/>
  <c r="O60" i="6"/>
  <c r="N60" i="6"/>
  <c r="M60" i="6"/>
  <c r="L60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P59" i="6"/>
  <c r="O59" i="6"/>
  <c r="N59" i="6"/>
  <c r="M59" i="6"/>
  <c r="L59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P58" i="6"/>
  <c r="O58" i="6"/>
  <c r="N58" i="6"/>
  <c r="M58" i="6"/>
  <c r="L58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P57" i="6"/>
  <c r="O57" i="6"/>
  <c r="N57" i="6"/>
  <c r="M57" i="6"/>
  <c r="L57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P56" i="6"/>
  <c r="O56" i="6"/>
  <c r="N56" i="6"/>
  <c r="M56" i="6"/>
  <c r="L56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P55" i="6"/>
  <c r="O55" i="6"/>
  <c r="N55" i="6"/>
  <c r="M55" i="6"/>
  <c r="L55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P54" i="6"/>
  <c r="O54" i="6"/>
  <c r="N54" i="6"/>
  <c r="M54" i="6"/>
  <c r="L54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P53" i="6"/>
  <c r="O53" i="6"/>
  <c r="N53" i="6"/>
  <c r="M53" i="6"/>
  <c r="L53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P52" i="6"/>
  <c r="O52" i="6"/>
  <c r="N52" i="6"/>
  <c r="M52" i="6"/>
  <c r="L52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P51" i="6"/>
  <c r="O51" i="6"/>
  <c r="N51" i="6"/>
  <c r="M51" i="6"/>
  <c r="L51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P50" i="6"/>
  <c r="O50" i="6"/>
  <c r="N50" i="6"/>
  <c r="M50" i="6"/>
  <c r="L50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P49" i="6"/>
  <c r="O49" i="6"/>
  <c r="N49" i="6"/>
  <c r="M49" i="6"/>
  <c r="L49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P48" i="6"/>
  <c r="O48" i="6"/>
  <c r="N48" i="6"/>
  <c r="M48" i="6"/>
  <c r="L48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P47" i="6"/>
  <c r="O47" i="6"/>
  <c r="N47" i="6"/>
  <c r="M47" i="6"/>
  <c r="L47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P46" i="6"/>
  <c r="O46" i="6"/>
  <c r="N46" i="6"/>
  <c r="M46" i="6"/>
  <c r="L46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P45" i="6"/>
  <c r="O45" i="6"/>
  <c r="N45" i="6"/>
  <c r="M45" i="6"/>
  <c r="L45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P44" i="6"/>
  <c r="O44" i="6"/>
  <c r="N44" i="6"/>
  <c r="M44" i="6"/>
  <c r="L44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P43" i="6"/>
  <c r="O43" i="6"/>
  <c r="N43" i="6"/>
  <c r="M43" i="6"/>
  <c r="L43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P42" i="6"/>
  <c r="O42" i="6"/>
  <c r="N42" i="6"/>
  <c r="M42" i="6"/>
  <c r="L42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P41" i="6"/>
  <c r="O41" i="6"/>
  <c r="N41" i="6"/>
  <c r="M41" i="6"/>
  <c r="L41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P40" i="6"/>
  <c r="O40" i="6"/>
  <c r="N40" i="6"/>
  <c r="M40" i="6"/>
  <c r="L40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P39" i="6"/>
  <c r="O39" i="6"/>
  <c r="N39" i="6"/>
  <c r="M39" i="6"/>
  <c r="L39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P38" i="6"/>
  <c r="O38" i="6"/>
  <c r="N38" i="6"/>
  <c r="M38" i="6"/>
  <c r="L38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P37" i="6"/>
  <c r="O37" i="6"/>
  <c r="N37" i="6"/>
  <c r="M37" i="6"/>
  <c r="L37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P36" i="6"/>
  <c r="O36" i="6"/>
  <c r="N36" i="6"/>
  <c r="M36" i="6"/>
  <c r="L36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P35" i="6"/>
  <c r="O35" i="6"/>
  <c r="N35" i="6"/>
  <c r="M35" i="6"/>
  <c r="L35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P34" i="6"/>
  <c r="O34" i="6"/>
  <c r="N34" i="6"/>
  <c r="M34" i="6"/>
  <c r="L34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P33" i="6"/>
  <c r="O33" i="6"/>
  <c r="N33" i="6"/>
  <c r="M33" i="6"/>
  <c r="L33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P32" i="6"/>
  <c r="O32" i="6"/>
  <c r="N32" i="6"/>
  <c r="M32" i="6"/>
  <c r="L32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P31" i="6"/>
  <c r="O31" i="6"/>
  <c r="N31" i="6"/>
  <c r="M31" i="6"/>
  <c r="L31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P30" i="6"/>
  <c r="O30" i="6"/>
  <c r="N30" i="6"/>
  <c r="M30" i="6"/>
  <c r="L30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P29" i="6"/>
  <c r="O29" i="6"/>
  <c r="N29" i="6"/>
  <c r="M29" i="6"/>
  <c r="L29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P28" i="6"/>
  <c r="O28" i="6"/>
  <c r="N28" i="6"/>
  <c r="M28" i="6"/>
  <c r="L28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P27" i="6"/>
  <c r="O27" i="6"/>
  <c r="N27" i="6"/>
  <c r="M27" i="6"/>
  <c r="L27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P26" i="6"/>
  <c r="O26" i="6"/>
  <c r="N26" i="6"/>
  <c r="M26" i="6"/>
  <c r="L26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P25" i="6"/>
  <c r="O25" i="6"/>
  <c r="N25" i="6"/>
  <c r="M25" i="6"/>
  <c r="L25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P24" i="6"/>
  <c r="O24" i="6"/>
  <c r="N24" i="6"/>
  <c r="M24" i="6"/>
  <c r="L24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P23" i="6"/>
  <c r="O23" i="6"/>
  <c r="N23" i="6"/>
  <c r="M23" i="6"/>
  <c r="L23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P22" i="6"/>
  <c r="O22" i="6"/>
  <c r="N22" i="6"/>
  <c r="M22" i="6"/>
  <c r="L22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P21" i="6"/>
  <c r="O21" i="6"/>
  <c r="N21" i="6"/>
  <c r="M21" i="6"/>
  <c r="L21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P20" i="6"/>
  <c r="O20" i="6"/>
  <c r="N20" i="6"/>
  <c r="M20" i="6"/>
  <c r="L20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P19" i="6"/>
  <c r="O19" i="6"/>
  <c r="N19" i="6"/>
  <c r="M19" i="6"/>
  <c r="L19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P18" i="6"/>
  <c r="O18" i="6"/>
  <c r="N18" i="6"/>
  <c r="M18" i="6"/>
  <c r="L18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P17" i="6"/>
  <c r="O17" i="6"/>
  <c r="N17" i="6"/>
  <c r="M17" i="6"/>
  <c r="L17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P16" i="6"/>
  <c r="O16" i="6"/>
  <c r="N16" i="6"/>
  <c r="M16" i="6"/>
  <c r="L16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P15" i="6"/>
  <c r="O15" i="6"/>
  <c r="N15" i="6"/>
  <c r="M15" i="6"/>
  <c r="L15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P14" i="6"/>
  <c r="O14" i="6"/>
  <c r="N14" i="6"/>
  <c r="M14" i="6"/>
  <c r="L14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P13" i="6"/>
  <c r="O13" i="6"/>
  <c r="N13" i="6"/>
  <c r="M13" i="6"/>
  <c r="L13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P12" i="6"/>
  <c r="O12" i="6"/>
  <c r="N12" i="6"/>
  <c r="M12" i="6"/>
  <c r="L12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P11" i="6"/>
  <c r="O11" i="6"/>
  <c r="N11" i="6"/>
  <c r="M11" i="6"/>
  <c r="L11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P10" i="6"/>
  <c r="O10" i="6"/>
  <c r="N10" i="6"/>
  <c r="M10" i="6"/>
  <c r="L10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P9" i="6"/>
  <c r="O9" i="6"/>
  <c r="N9" i="6"/>
  <c r="M9" i="6"/>
  <c r="L9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P8" i="6"/>
  <c r="O8" i="6"/>
  <c r="N8" i="6"/>
  <c r="M8" i="6"/>
  <c r="L8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P7" i="6"/>
  <c r="O7" i="6"/>
  <c r="N7" i="6"/>
  <c r="M7" i="6"/>
  <c r="L7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P6" i="6"/>
  <c r="O6" i="6"/>
  <c r="N6" i="6"/>
  <c r="M6" i="6"/>
  <c r="L6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P5" i="6"/>
  <c r="O5" i="6"/>
  <c r="N5" i="6"/>
  <c r="M5" i="6"/>
  <c r="L5" i="6"/>
  <c r="AK4" i="6"/>
  <c r="AJ4" i="6"/>
  <c r="AL4" i="6" s="1"/>
  <c r="AI4" i="6"/>
  <c r="I8" i="4" s="1"/>
  <c r="AH4" i="6"/>
  <c r="AB4" i="6"/>
  <c r="X4" i="6"/>
  <c r="W4" i="6"/>
  <c r="F8" i="4" s="1"/>
  <c r="U4" i="6"/>
  <c r="AM4" i="6" s="1"/>
  <c r="T4" i="6"/>
  <c r="M4" i="6"/>
  <c r="L4" i="6"/>
  <c r="V4" i="6" s="1"/>
  <c r="AK3" i="6"/>
  <c r="AJ3" i="6"/>
  <c r="AL3" i="6" s="1"/>
  <c r="AH3" i="6"/>
  <c r="H7" i="4" s="1"/>
  <c r="X3" i="6"/>
  <c r="I11" i="2" s="1"/>
  <c r="W3" i="6"/>
  <c r="I8" i="2" s="1"/>
  <c r="U3" i="6"/>
  <c r="AM3" i="6" s="1"/>
  <c r="T3" i="6"/>
  <c r="AB3" i="6" s="1"/>
  <c r="E7" i="4"/>
  <c r="L3" i="6"/>
  <c r="AK2" i="6"/>
  <c r="R2" i="5" s="1"/>
  <c r="AJ2" i="6"/>
  <c r="AH2" i="6"/>
  <c r="H6" i="4" s="1"/>
  <c r="X2" i="6"/>
  <c r="J6" i="4" s="1"/>
  <c r="W2" i="6"/>
  <c r="U2" i="6"/>
  <c r="T2" i="6"/>
  <c r="AB2" i="6" s="1"/>
  <c r="M2" i="6"/>
  <c r="N2" i="8" s="1"/>
  <c r="L2" i="6"/>
  <c r="T201" i="5"/>
  <c r="S201" i="5"/>
  <c r="R201" i="5"/>
  <c r="Q201" i="5"/>
  <c r="P201" i="5"/>
  <c r="O201" i="5"/>
  <c r="N201" i="5"/>
  <c r="M201" i="5"/>
  <c r="L201" i="5"/>
  <c r="K201" i="5"/>
  <c r="J201" i="5"/>
  <c r="I201" i="5"/>
  <c r="T200" i="5"/>
  <c r="S200" i="5"/>
  <c r="R200" i="5"/>
  <c r="Q200" i="5"/>
  <c r="P200" i="5"/>
  <c r="O200" i="5"/>
  <c r="N200" i="5"/>
  <c r="M200" i="5"/>
  <c r="L200" i="5"/>
  <c r="K200" i="5"/>
  <c r="J200" i="5"/>
  <c r="I200" i="5"/>
  <c r="T199" i="5"/>
  <c r="S199" i="5"/>
  <c r="R199" i="5"/>
  <c r="Q199" i="5"/>
  <c r="P199" i="5"/>
  <c r="O199" i="5"/>
  <c r="N199" i="5"/>
  <c r="M199" i="5"/>
  <c r="L199" i="5"/>
  <c r="K199" i="5"/>
  <c r="J199" i="5"/>
  <c r="I199" i="5"/>
  <c r="T198" i="5"/>
  <c r="S198" i="5"/>
  <c r="R198" i="5"/>
  <c r="Q198" i="5"/>
  <c r="P198" i="5"/>
  <c r="O198" i="5"/>
  <c r="N198" i="5"/>
  <c r="M198" i="5"/>
  <c r="L198" i="5"/>
  <c r="K198" i="5"/>
  <c r="J198" i="5"/>
  <c r="I198" i="5"/>
  <c r="T197" i="5"/>
  <c r="S197" i="5"/>
  <c r="R197" i="5"/>
  <c r="Q197" i="5"/>
  <c r="P197" i="5"/>
  <c r="O197" i="5"/>
  <c r="N197" i="5"/>
  <c r="M197" i="5"/>
  <c r="L197" i="5"/>
  <c r="K197" i="5"/>
  <c r="J197" i="5"/>
  <c r="I197" i="5"/>
  <c r="T196" i="5"/>
  <c r="S196" i="5"/>
  <c r="R196" i="5"/>
  <c r="Q196" i="5"/>
  <c r="P196" i="5"/>
  <c r="O196" i="5"/>
  <c r="N196" i="5"/>
  <c r="M196" i="5"/>
  <c r="L196" i="5"/>
  <c r="K196" i="5"/>
  <c r="J196" i="5"/>
  <c r="I196" i="5"/>
  <c r="T195" i="5"/>
  <c r="S195" i="5"/>
  <c r="R195" i="5"/>
  <c r="Q195" i="5"/>
  <c r="P195" i="5"/>
  <c r="O195" i="5"/>
  <c r="N195" i="5"/>
  <c r="M195" i="5"/>
  <c r="L195" i="5"/>
  <c r="K195" i="5"/>
  <c r="J195" i="5"/>
  <c r="I195" i="5"/>
  <c r="T194" i="5"/>
  <c r="S194" i="5"/>
  <c r="R194" i="5"/>
  <c r="Q194" i="5"/>
  <c r="P194" i="5"/>
  <c r="O194" i="5"/>
  <c r="N194" i="5"/>
  <c r="M194" i="5"/>
  <c r="L194" i="5"/>
  <c r="K194" i="5"/>
  <c r="J194" i="5"/>
  <c r="I194" i="5"/>
  <c r="T193" i="5"/>
  <c r="S193" i="5"/>
  <c r="R193" i="5"/>
  <c r="Q193" i="5"/>
  <c r="P193" i="5"/>
  <c r="O193" i="5"/>
  <c r="N193" i="5"/>
  <c r="M193" i="5"/>
  <c r="L193" i="5"/>
  <c r="K193" i="5"/>
  <c r="J193" i="5"/>
  <c r="I193" i="5"/>
  <c r="T192" i="5"/>
  <c r="S192" i="5"/>
  <c r="R192" i="5"/>
  <c r="Q192" i="5"/>
  <c r="P192" i="5"/>
  <c r="O192" i="5"/>
  <c r="N192" i="5"/>
  <c r="M192" i="5"/>
  <c r="L192" i="5"/>
  <c r="K192" i="5"/>
  <c r="J192" i="5"/>
  <c r="I192" i="5"/>
  <c r="T191" i="5"/>
  <c r="S191" i="5"/>
  <c r="R191" i="5"/>
  <c r="Q191" i="5"/>
  <c r="P191" i="5"/>
  <c r="O191" i="5"/>
  <c r="N191" i="5"/>
  <c r="M191" i="5"/>
  <c r="L191" i="5"/>
  <c r="K191" i="5"/>
  <c r="J191" i="5"/>
  <c r="I191" i="5"/>
  <c r="T190" i="5"/>
  <c r="S190" i="5"/>
  <c r="R190" i="5"/>
  <c r="Q190" i="5"/>
  <c r="P190" i="5"/>
  <c r="O190" i="5"/>
  <c r="N190" i="5"/>
  <c r="M190" i="5"/>
  <c r="L190" i="5"/>
  <c r="K190" i="5"/>
  <c r="J190" i="5"/>
  <c r="I190" i="5"/>
  <c r="T189" i="5"/>
  <c r="S189" i="5"/>
  <c r="R189" i="5"/>
  <c r="Q189" i="5"/>
  <c r="P189" i="5"/>
  <c r="O189" i="5"/>
  <c r="N189" i="5"/>
  <c r="M189" i="5"/>
  <c r="L189" i="5"/>
  <c r="K189" i="5"/>
  <c r="J189" i="5"/>
  <c r="I189" i="5"/>
  <c r="T188" i="5"/>
  <c r="S188" i="5"/>
  <c r="R188" i="5"/>
  <c r="Q188" i="5"/>
  <c r="P188" i="5"/>
  <c r="O188" i="5"/>
  <c r="N188" i="5"/>
  <c r="M188" i="5"/>
  <c r="L188" i="5"/>
  <c r="K188" i="5"/>
  <c r="J188" i="5"/>
  <c r="I188" i="5"/>
  <c r="T187" i="5"/>
  <c r="S187" i="5"/>
  <c r="R187" i="5"/>
  <c r="Q187" i="5"/>
  <c r="P187" i="5"/>
  <c r="O187" i="5"/>
  <c r="N187" i="5"/>
  <c r="M187" i="5"/>
  <c r="L187" i="5"/>
  <c r="K187" i="5"/>
  <c r="J187" i="5"/>
  <c r="I187" i="5"/>
  <c r="T186" i="5"/>
  <c r="S186" i="5"/>
  <c r="R186" i="5"/>
  <c r="Q186" i="5"/>
  <c r="P186" i="5"/>
  <c r="O186" i="5"/>
  <c r="N186" i="5"/>
  <c r="M186" i="5"/>
  <c r="L186" i="5"/>
  <c r="K186" i="5"/>
  <c r="J186" i="5"/>
  <c r="I186" i="5"/>
  <c r="T185" i="5"/>
  <c r="S185" i="5"/>
  <c r="R185" i="5"/>
  <c r="Q185" i="5"/>
  <c r="P185" i="5"/>
  <c r="O185" i="5"/>
  <c r="N185" i="5"/>
  <c r="M185" i="5"/>
  <c r="L185" i="5"/>
  <c r="K185" i="5"/>
  <c r="J185" i="5"/>
  <c r="I185" i="5"/>
  <c r="T184" i="5"/>
  <c r="S184" i="5"/>
  <c r="R184" i="5"/>
  <c r="Q184" i="5"/>
  <c r="P184" i="5"/>
  <c r="O184" i="5"/>
  <c r="N184" i="5"/>
  <c r="M184" i="5"/>
  <c r="L184" i="5"/>
  <c r="K184" i="5"/>
  <c r="J184" i="5"/>
  <c r="I184" i="5"/>
  <c r="T183" i="5"/>
  <c r="S183" i="5"/>
  <c r="R183" i="5"/>
  <c r="Q183" i="5"/>
  <c r="P183" i="5"/>
  <c r="O183" i="5"/>
  <c r="N183" i="5"/>
  <c r="M183" i="5"/>
  <c r="L183" i="5"/>
  <c r="K183" i="5"/>
  <c r="J183" i="5"/>
  <c r="I183" i="5"/>
  <c r="T182" i="5"/>
  <c r="S182" i="5"/>
  <c r="R182" i="5"/>
  <c r="Q182" i="5"/>
  <c r="P182" i="5"/>
  <c r="O182" i="5"/>
  <c r="N182" i="5"/>
  <c r="M182" i="5"/>
  <c r="L182" i="5"/>
  <c r="K182" i="5"/>
  <c r="J182" i="5"/>
  <c r="I182" i="5"/>
  <c r="T181" i="5"/>
  <c r="S181" i="5"/>
  <c r="R181" i="5"/>
  <c r="Q181" i="5"/>
  <c r="P181" i="5"/>
  <c r="O181" i="5"/>
  <c r="N181" i="5"/>
  <c r="M181" i="5"/>
  <c r="L181" i="5"/>
  <c r="K181" i="5"/>
  <c r="J181" i="5"/>
  <c r="I181" i="5"/>
  <c r="T180" i="5"/>
  <c r="S180" i="5"/>
  <c r="R180" i="5"/>
  <c r="Q180" i="5"/>
  <c r="P180" i="5"/>
  <c r="O180" i="5"/>
  <c r="N180" i="5"/>
  <c r="M180" i="5"/>
  <c r="L180" i="5"/>
  <c r="K180" i="5"/>
  <c r="J180" i="5"/>
  <c r="I180" i="5"/>
  <c r="T179" i="5"/>
  <c r="S179" i="5"/>
  <c r="R179" i="5"/>
  <c r="Q179" i="5"/>
  <c r="P179" i="5"/>
  <c r="O179" i="5"/>
  <c r="N179" i="5"/>
  <c r="M179" i="5"/>
  <c r="L179" i="5"/>
  <c r="K179" i="5"/>
  <c r="J179" i="5"/>
  <c r="I179" i="5"/>
  <c r="T178" i="5"/>
  <c r="S178" i="5"/>
  <c r="R178" i="5"/>
  <c r="Q178" i="5"/>
  <c r="P178" i="5"/>
  <c r="O178" i="5"/>
  <c r="N178" i="5"/>
  <c r="M178" i="5"/>
  <c r="L178" i="5"/>
  <c r="K178" i="5"/>
  <c r="J178" i="5"/>
  <c r="I178" i="5"/>
  <c r="T177" i="5"/>
  <c r="S177" i="5"/>
  <c r="R177" i="5"/>
  <c r="Q177" i="5"/>
  <c r="P177" i="5"/>
  <c r="O177" i="5"/>
  <c r="N177" i="5"/>
  <c r="M177" i="5"/>
  <c r="L177" i="5"/>
  <c r="K177" i="5"/>
  <c r="J177" i="5"/>
  <c r="I177" i="5"/>
  <c r="T176" i="5"/>
  <c r="S176" i="5"/>
  <c r="R176" i="5"/>
  <c r="Q176" i="5"/>
  <c r="P176" i="5"/>
  <c r="O176" i="5"/>
  <c r="N176" i="5"/>
  <c r="M176" i="5"/>
  <c r="L176" i="5"/>
  <c r="K176" i="5"/>
  <c r="J176" i="5"/>
  <c r="I176" i="5"/>
  <c r="T175" i="5"/>
  <c r="S175" i="5"/>
  <c r="R175" i="5"/>
  <c r="Q175" i="5"/>
  <c r="P175" i="5"/>
  <c r="O175" i="5"/>
  <c r="N175" i="5"/>
  <c r="M175" i="5"/>
  <c r="L175" i="5"/>
  <c r="K175" i="5"/>
  <c r="J175" i="5"/>
  <c r="I175" i="5"/>
  <c r="T174" i="5"/>
  <c r="S174" i="5"/>
  <c r="R174" i="5"/>
  <c r="Q174" i="5"/>
  <c r="P174" i="5"/>
  <c r="O174" i="5"/>
  <c r="N174" i="5"/>
  <c r="M174" i="5"/>
  <c r="L174" i="5"/>
  <c r="K174" i="5"/>
  <c r="J174" i="5"/>
  <c r="I174" i="5"/>
  <c r="T173" i="5"/>
  <c r="S173" i="5"/>
  <c r="R173" i="5"/>
  <c r="Q173" i="5"/>
  <c r="P173" i="5"/>
  <c r="O173" i="5"/>
  <c r="N173" i="5"/>
  <c r="M173" i="5"/>
  <c r="L173" i="5"/>
  <c r="K173" i="5"/>
  <c r="J173" i="5"/>
  <c r="I173" i="5"/>
  <c r="T172" i="5"/>
  <c r="S172" i="5"/>
  <c r="R172" i="5"/>
  <c r="Q172" i="5"/>
  <c r="P172" i="5"/>
  <c r="O172" i="5"/>
  <c r="N172" i="5"/>
  <c r="M172" i="5"/>
  <c r="L172" i="5"/>
  <c r="K172" i="5"/>
  <c r="J172" i="5"/>
  <c r="I172" i="5"/>
  <c r="T171" i="5"/>
  <c r="S171" i="5"/>
  <c r="R171" i="5"/>
  <c r="Q171" i="5"/>
  <c r="P171" i="5"/>
  <c r="O171" i="5"/>
  <c r="N171" i="5"/>
  <c r="M171" i="5"/>
  <c r="L171" i="5"/>
  <c r="K171" i="5"/>
  <c r="J171" i="5"/>
  <c r="I171" i="5"/>
  <c r="T170" i="5"/>
  <c r="S170" i="5"/>
  <c r="R170" i="5"/>
  <c r="Q170" i="5"/>
  <c r="P170" i="5"/>
  <c r="O170" i="5"/>
  <c r="N170" i="5"/>
  <c r="M170" i="5"/>
  <c r="L170" i="5"/>
  <c r="K170" i="5"/>
  <c r="J170" i="5"/>
  <c r="I170" i="5"/>
  <c r="T169" i="5"/>
  <c r="S169" i="5"/>
  <c r="R169" i="5"/>
  <c r="Q169" i="5"/>
  <c r="P169" i="5"/>
  <c r="O169" i="5"/>
  <c r="N169" i="5"/>
  <c r="M169" i="5"/>
  <c r="L169" i="5"/>
  <c r="K169" i="5"/>
  <c r="J169" i="5"/>
  <c r="I169" i="5"/>
  <c r="T168" i="5"/>
  <c r="S168" i="5"/>
  <c r="R168" i="5"/>
  <c r="Q168" i="5"/>
  <c r="P168" i="5"/>
  <c r="O168" i="5"/>
  <c r="N168" i="5"/>
  <c r="M168" i="5"/>
  <c r="L168" i="5"/>
  <c r="K168" i="5"/>
  <c r="J168" i="5"/>
  <c r="I168" i="5"/>
  <c r="T167" i="5"/>
  <c r="S167" i="5"/>
  <c r="R167" i="5"/>
  <c r="Q167" i="5"/>
  <c r="P167" i="5"/>
  <c r="O167" i="5"/>
  <c r="N167" i="5"/>
  <c r="M167" i="5"/>
  <c r="L167" i="5"/>
  <c r="K167" i="5"/>
  <c r="J167" i="5"/>
  <c r="I167" i="5"/>
  <c r="T166" i="5"/>
  <c r="S166" i="5"/>
  <c r="R166" i="5"/>
  <c r="Q166" i="5"/>
  <c r="P166" i="5"/>
  <c r="O166" i="5"/>
  <c r="N166" i="5"/>
  <c r="M166" i="5"/>
  <c r="L166" i="5"/>
  <c r="K166" i="5"/>
  <c r="J166" i="5"/>
  <c r="I166" i="5"/>
  <c r="T165" i="5"/>
  <c r="S165" i="5"/>
  <c r="R165" i="5"/>
  <c r="Q165" i="5"/>
  <c r="P165" i="5"/>
  <c r="O165" i="5"/>
  <c r="N165" i="5"/>
  <c r="M165" i="5"/>
  <c r="L165" i="5"/>
  <c r="K165" i="5"/>
  <c r="J165" i="5"/>
  <c r="I165" i="5"/>
  <c r="T164" i="5"/>
  <c r="S164" i="5"/>
  <c r="R164" i="5"/>
  <c r="Q164" i="5"/>
  <c r="P164" i="5"/>
  <c r="O164" i="5"/>
  <c r="N164" i="5"/>
  <c r="M164" i="5"/>
  <c r="L164" i="5"/>
  <c r="K164" i="5"/>
  <c r="J164" i="5"/>
  <c r="I164" i="5"/>
  <c r="T163" i="5"/>
  <c r="S163" i="5"/>
  <c r="R163" i="5"/>
  <c r="Q163" i="5"/>
  <c r="P163" i="5"/>
  <c r="O163" i="5"/>
  <c r="N163" i="5"/>
  <c r="M163" i="5"/>
  <c r="L163" i="5"/>
  <c r="K163" i="5"/>
  <c r="J163" i="5"/>
  <c r="I163" i="5"/>
  <c r="T162" i="5"/>
  <c r="S162" i="5"/>
  <c r="R162" i="5"/>
  <c r="Q162" i="5"/>
  <c r="P162" i="5"/>
  <c r="O162" i="5"/>
  <c r="N162" i="5"/>
  <c r="M162" i="5"/>
  <c r="L162" i="5"/>
  <c r="K162" i="5"/>
  <c r="J162" i="5"/>
  <c r="I162" i="5"/>
  <c r="T161" i="5"/>
  <c r="S161" i="5"/>
  <c r="R161" i="5"/>
  <c r="Q161" i="5"/>
  <c r="P161" i="5"/>
  <c r="O161" i="5"/>
  <c r="N161" i="5"/>
  <c r="M161" i="5"/>
  <c r="L161" i="5"/>
  <c r="K161" i="5"/>
  <c r="J161" i="5"/>
  <c r="I161" i="5"/>
  <c r="T160" i="5"/>
  <c r="S160" i="5"/>
  <c r="R160" i="5"/>
  <c r="Q160" i="5"/>
  <c r="P160" i="5"/>
  <c r="O160" i="5"/>
  <c r="N160" i="5"/>
  <c r="M160" i="5"/>
  <c r="L160" i="5"/>
  <c r="K160" i="5"/>
  <c r="J160" i="5"/>
  <c r="I160" i="5"/>
  <c r="T159" i="5"/>
  <c r="S159" i="5"/>
  <c r="R159" i="5"/>
  <c r="Q159" i="5"/>
  <c r="P159" i="5"/>
  <c r="O159" i="5"/>
  <c r="N159" i="5"/>
  <c r="M159" i="5"/>
  <c r="L159" i="5"/>
  <c r="K159" i="5"/>
  <c r="J159" i="5"/>
  <c r="I159" i="5"/>
  <c r="T158" i="5"/>
  <c r="S158" i="5"/>
  <c r="R158" i="5"/>
  <c r="Q158" i="5"/>
  <c r="P158" i="5"/>
  <c r="O158" i="5"/>
  <c r="N158" i="5"/>
  <c r="M158" i="5"/>
  <c r="L158" i="5"/>
  <c r="K158" i="5"/>
  <c r="J158" i="5"/>
  <c r="I158" i="5"/>
  <c r="T157" i="5"/>
  <c r="S157" i="5"/>
  <c r="R157" i="5"/>
  <c r="Q157" i="5"/>
  <c r="P157" i="5"/>
  <c r="O157" i="5"/>
  <c r="N157" i="5"/>
  <c r="M157" i="5"/>
  <c r="L157" i="5"/>
  <c r="K157" i="5"/>
  <c r="J157" i="5"/>
  <c r="I157" i="5"/>
  <c r="T156" i="5"/>
  <c r="S156" i="5"/>
  <c r="R156" i="5"/>
  <c r="Q156" i="5"/>
  <c r="P156" i="5"/>
  <c r="O156" i="5"/>
  <c r="N156" i="5"/>
  <c r="M156" i="5"/>
  <c r="L156" i="5"/>
  <c r="K156" i="5"/>
  <c r="J156" i="5"/>
  <c r="I156" i="5"/>
  <c r="T155" i="5"/>
  <c r="S155" i="5"/>
  <c r="R155" i="5"/>
  <c r="Q155" i="5"/>
  <c r="P155" i="5"/>
  <c r="O155" i="5"/>
  <c r="N155" i="5"/>
  <c r="M155" i="5"/>
  <c r="L155" i="5"/>
  <c r="K155" i="5"/>
  <c r="J155" i="5"/>
  <c r="I155" i="5"/>
  <c r="T154" i="5"/>
  <c r="S154" i="5"/>
  <c r="R154" i="5"/>
  <c r="Q154" i="5"/>
  <c r="P154" i="5"/>
  <c r="O154" i="5"/>
  <c r="N154" i="5"/>
  <c r="M154" i="5"/>
  <c r="L154" i="5"/>
  <c r="K154" i="5"/>
  <c r="J154" i="5"/>
  <c r="I154" i="5"/>
  <c r="T153" i="5"/>
  <c r="S153" i="5"/>
  <c r="R153" i="5"/>
  <c r="Q153" i="5"/>
  <c r="P153" i="5"/>
  <c r="O153" i="5"/>
  <c r="N153" i="5"/>
  <c r="M153" i="5"/>
  <c r="L153" i="5"/>
  <c r="K153" i="5"/>
  <c r="J153" i="5"/>
  <c r="I153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T151" i="5"/>
  <c r="S151" i="5"/>
  <c r="R151" i="5"/>
  <c r="Q151" i="5"/>
  <c r="P151" i="5"/>
  <c r="O151" i="5"/>
  <c r="N151" i="5"/>
  <c r="M151" i="5"/>
  <c r="L151" i="5"/>
  <c r="K151" i="5"/>
  <c r="J151" i="5"/>
  <c r="I151" i="5"/>
  <c r="T150" i="5"/>
  <c r="S150" i="5"/>
  <c r="R150" i="5"/>
  <c r="Q150" i="5"/>
  <c r="P150" i="5"/>
  <c r="O150" i="5"/>
  <c r="N150" i="5"/>
  <c r="M150" i="5"/>
  <c r="L150" i="5"/>
  <c r="K150" i="5"/>
  <c r="J150" i="5"/>
  <c r="I150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T148" i="5"/>
  <c r="S148" i="5"/>
  <c r="R148" i="5"/>
  <c r="Q148" i="5"/>
  <c r="P148" i="5"/>
  <c r="O148" i="5"/>
  <c r="N148" i="5"/>
  <c r="M148" i="5"/>
  <c r="L148" i="5"/>
  <c r="K148" i="5"/>
  <c r="J148" i="5"/>
  <c r="I148" i="5"/>
  <c r="T147" i="5"/>
  <c r="S147" i="5"/>
  <c r="R147" i="5"/>
  <c r="Q147" i="5"/>
  <c r="P147" i="5"/>
  <c r="O147" i="5"/>
  <c r="N147" i="5"/>
  <c r="M147" i="5"/>
  <c r="L147" i="5"/>
  <c r="K147" i="5"/>
  <c r="J147" i="5"/>
  <c r="I147" i="5"/>
  <c r="T146" i="5"/>
  <c r="S146" i="5"/>
  <c r="R146" i="5"/>
  <c r="Q146" i="5"/>
  <c r="P146" i="5"/>
  <c r="O146" i="5"/>
  <c r="N146" i="5"/>
  <c r="M146" i="5"/>
  <c r="L146" i="5"/>
  <c r="K146" i="5"/>
  <c r="J146" i="5"/>
  <c r="I146" i="5"/>
  <c r="T145" i="5"/>
  <c r="S145" i="5"/>
  <c r="R145" i="5"/>
  <c r="Q145" i="5"/>
  <c r="P145" i="5"/>
  <c r="O145" i="5"/>
  <c r="N145" i="5"/>
  <c r="M145" i="5"/>
  <c r="L145" i="5"/>
  <c r="K145" i="5"/>
  <c r="J145" i="5"/>
  <c r="I145" i="5"/>
  <c r="T144" i="5"/>
  <c r="S144" i="5"/>
  <c r="R144" i="5"/>
  <c r="Q144" i="5"/>
  <c r="P144" i="5"/>
  <c r="O144" i="5"/>
  <c r="N144" i="5"/>
  <c r="M144" i="5"/>
  <c r="L144" i="5"/>
  <c r="K144" i="5"/>
  <c r="J144" i="5"/>
  <c r="I144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T99" i="5"/>
  <c r="S99" i="5"/>
  <c r="R99" i="5"/>
  <c r="Q99" i="5"/>
  <c r="P99" i="5"/>
  <c r="O99" i="5"/>
  <c r="N99" i="5"/>
  <c r="M99" i="5"/>
  <c r="L99" i="5"/>
  <c r="K99" i="5"/>
  <c r="J99" i="5"/>
  <c r="I99" i="5"/>
  <c r="T98" i="5"/>
  <c r="S98" i="5"/>
  <c r="R98" i="5"/>
  <c r="Q98" i="5"/>
  <c r="P98" i="5"/>
  <c r="O98" i="5"/>
  <c r="N98" i="5"/>
  <c r="M98" i="5"/>
  <c r="L98" i="5"/>
  <c r="K98" i="5"/>
  <c r="J98" i="5"/>
  <c r="I98" i="5"/>
  <c r="T97" i="5"/>
  <c r="S97" i="5"/>
  <c r="R97" i="5"/>
  <c r="Q97" i="5"/>
  <c r="P97" i="5"/>
  <c r="O97" i="5"/>
  <c r="N97" i="5"/>
  <c r="M97" i="5"/>
  <c r="L97" i="5"/>
  <c r="K97" i="5"/>
  <c r="J97" i="5"/>
  <c r="I97" i="5"/>
  <c r="T96" i="5"/>
  <c r="S96" i="5"/>
  <c r="R96" i="5"/>
  <c r="Q96" i="5"/>
  <c r="P96" i="5"/>
  <c r="O96" i="5"/>
  <c r="N96" i="5"/>
  <c r="M96" i="5"/>
  <c r="L96" i="5"/>
  <c r="K96" i="5"/>
  <c r="J96" i="5"/>
  <c r="I96" i="5"/>
  <c r="T95" i="5"/>
  <c r="S95" i="5"/>
  <c r="R95" i="5"/>
  <c r="Q95" i="5"/>
  <c r="P95" i="5"/>
  <c r="O95" i="5"/>
  <c r="N95" i="5"/>
  <c r="M95" i="5"/>
  <c r="L95" i="5"/>
  <c r="K95" i="5"/>
  <c r="J95" i="5"/>
  <c r="I95" i="5"/>
  <c r="T94" i="5"/>
  <c r="S94" i="5"/>
  <c r="R94" i="5"/>
  <c r="Q94" i="5"/>
  <c r="P94" i="5"/>
  <c r="O94" i="5"/>
  <c r="N94" i="5"/>
  <c r="M94" i="5"/>
  <c r="L94" i="5"/>
  <c r="K94" i="5"/>
  <c r="J94" i="5"/>
  <c r="I94" i="5"/>
  <c r="T93" i="5"/>
  <c r="S93" i="5"/>
  <c r="R93" i="5"/>
  <c r="Q93" i="5"/>
  <c r="P93" i="5"/>
  <c r="O93" i="5"/>
  <c r="N93" i="5"/>
  <c r="M93" i="5"/>
  <c r="L93" i="5"/>
  <c r="K93" i="5"/>
  <c r="J93" i="5"/>
  <c r="I93" i="5"/>
  <c r="T92" i="5"/>
  <c r="S92" i="5"/>
  <c r="R92" i="5"/>
  <c r="Q92" i="5"/>
  <c r="P92" i="5"/>
  <c r="O92" i="5"/>
  <c r="N92" i="5"/>
  <c r="M92" i="5"/>
  <c r="L92" i="5"/>
  <c r="K92" i="5"/>
  <c r="J92" i="5"/>
  <c r="I92" i="5"/>
  <c r="T91" i="5"/>
  <c r="S91" i="5"/>
  <c r="R91" i="5"/>
  <c r="Q91" i="5"/>
  <c r="P91" i="5"/>
  <c r="O91" i="5"/>
  <c r="N91" i="5"/>
  <c r="M91" i="5"/>
  <c r="L91" i="5"/>
  <c r="K91" i="5"/>
  <c r="J91" i="5"/>
  <c r="I91" i="5"/>
  <c r="T90" i="5"/>
  <c r="S90" i="5"/>
  <c r="R90" i="5"/>
  <c r="Q90" i="5"/>
  <c r="P90" i="5"/>
  <c r="O90" i="5"/>
  <c r="N90" i="5"/>
  <c r="M90" i="5"/>
  <c r="L90" i="5"/>
  <c r="K90" i="5"/>
  <c r="J90" i="5"/>
  <c r="I90" i="5"/>
  <c r="T89" i="5"/>
  <c r="S89" i="5"/>
  <c r="R89" i="5"/>
  <c r="Q89" i="5"/>
  <c r="P89" i="5"/>
  <c r="O89" i="5"/>
  <c r="N89" i="5"/>
  <c r="M89" i="5"/>
  <c r="L89" i="5"/>
  <c r="K89" i="5"/>
  <c r="J89" i="5"/>
  <c r="I89" i="5"/>
  <c r="T88" i="5"/>
  <c r="S88" i="5"/>
  <c r="R88" i="5"/>
  <c r="Q88" i="5"/>
  <c r="P88" i="5"/>
  <c r="O88" i="5"/>
  <c r="N88" i="5"/>
  <c r="M88" i="5"/>
  <c r="L88" i="5"/>
  <c r="K88" i="5"/>
  <c r="J88" i="5"/>
  <c r="I88" i="5"/>
  <c r="T87" i="5"/>
  <c r="S87" i="5"/>
  <c r="R87" i="5"/>
  <c r="Q87" i="5"/>
  <c r="P87" i="5"/>
  <c r="O87" i="5"/>
  <c r="N87" i="5"/>
  <c r="M87" i="5"/>
  <c r="L87" i="5"/>
  <c r="K87" i="5"/>
  <c r="J87" i="5"/>
  <c r="I87" i="5"/>
  <c r="T86" i="5"/>
  <c r="S86" i="5"/>
  <c r="R86" i="5"/>
  <c r="Q86" i="5"/>
  <c r="P86" i="5"/>
  <c r="O86" i="5"/>
  <c r="N86" i="5"/>
  <c r="M86" i="5"/>
  <c r="L86" i="5"/>
  <c r="K86" i="5"/>
  <c r="J86" i="5"/>
  <c r="I86" i="5"/>
  <c r="T85" i="5"/>
  <c r="S85" i="5"/>
  <c r="R85" i="5"/>
  <c r="Q85" i="5"/>
  <c r="P85" i="5"/>
  <c r="O85" i="5"/>
  <c r="N85" i="5"/>
  <c r="M85" i="5"/>
  <c r="L85" i="5"/>
  <c r="K85" i="5"/>
  <c r="J85" i="5"/>
  <c r="I85" i="5"/>
  <c r="T84" i="5"/>
  <c r="S84" i="5"/>
  <c r="R84" i="5"/>
  <c r="Q84" i="5"/>
  <c r="P84" i="5"/>
  <c r="O84" i="5"/>
  <c r="N84" i="5"/>
  <c r="M84" i="5"/>
  <c r="L84" i="5"/>
  <c r="K84" i="5"/>
  <c r="J84" i="5"/>
  <c r="I84" i="5"/>
  <c r="T83" i="5"/>
  <c r="S83" i="5"/>
  <c r="R83" i="5"/>
  <c r="Q83" i="5"/>
  <c r="P83" i="5"/>
  <c r="O83" i="5"/>
  <c r="N83" i="5"/>
  <c r="M83" i="5"/>
  <c r="L83" i="5"/>
  <c r="K83" i="5"/>
  <c r="J83" i="5"/>
  <c r="I83" i="5"/>
  <c r="T82" i="5"/>
  <c r="S82" i="5"/>
  <c r="R82" i="5"/>
  <c r="Q82" i="5"/>
  <c r="P82" i="5"/>
  <c r="O82" i="5"/>
  <c r="N82" i="5"/>
  <c r="M82" i="5"/>
  <c r="L82" i="5"/>
  <c r="K82" i="5"/>
  <c r="J82" i="5"/>
  <c r="I82" i="5"/>
  <c r="T81" i="5"/>
  <c r="S81" i="5"/>
  <c r="R81" i="5"/>
  <c r="Q81" i="5"/>
  <c r="P81" i="5"/>
  <c r="O81" i="5"/>
  <c r="N81" i="5"/>
  <c r="M81" i="5"/>
  <c r="L81" i="5"/>
  <c r="K81" i="5"/>
  <c r="J81" i="5"/>
  <c r="I81" i="5"/>
  <c r="T80" i="5"/>
  <c r="S80" i="5"/>
  <c r="R80" i="5"/>
  <c r="Q80" i="5"/>
  <c r="P80" i="5"/>
  <c r="O80" i="5"/>
  <c r="N80" i="5"/>
  <c r="M80" i="5"/>
  <c r="L80" i="5"/>
  <c r="K80" i="5"/>
  <c r="J80" i="5"/>
  <c r="I80" i="5"/>
  <c r="T79" i="5"/>
  <c r="S79" i="5"/>
  <c r="R79" i="5"/>
  <c r="Q79" i="5"/>
  <c r="P79" i="5"/>
  <c r="O79" i="5"/>
  <c r="N79" i="5"/>
  <c r="M79" i="5"/>
  <c r="L79" i="5"/>
  <c r="K79" i="5"/>
  <c r="J79" i="5"/>
  <c r="I79" i="5"/>
  <c r="T78" i="5"/>
  <c r="S78" i="5"/>
  <c r="R78" i="5"/>
  <c r="Q78" i="5"/>
  <c r="P78" i="5"/>
  <c r="O78" i="5"/>
  <c r="N78" i="5"/>
  <c r="M78" i="5"/>
  <c r="L78" i="5"/>
  <c r="K78" i="5"/>
  <c r="J78" i="5"/>
  <c r="I78" i="5"/>
  <c r="T77" i="5"/>
  <c r="S77" i="5"/>
  <c r="R77" i="5"/>
  <c r="Q77" i="5"/>
  <c r="P77" i="5"/>
  <c r="O77" i="5"/>
  <c r="N77" i="5"/>
  <c r="M77" i="5"/>
  <c r="L77" i="5"/>
  <c r="K77" i="5"/>
  <c r="J77" i="5"/>
  <c r="I77" i="5"/>
  <c r="T76" i="5"/>
  <c r="S76" i="5"/>
  <c r="R76" i="5"/>
  <c r="Q76" i="5"/>
  <c r="P76" i="5"/>
  <c r="O76" i="5"/>
  <c r="N76" i="5"/>
  <c r="M76" i="5"/>
  <c r="L76" i="5"/>
  <c r="K76" i="5"/>
  <c r="J76" i="5"/>
  <c r="I76" i="5"/>
  <c r="T75" i="5"/>
  <c r="S75" i="5"/>
  <c r="R75" i="5"/>
  <c r="Q75" i="5"/>
  <c r="P75" i="5"/>
  <c r="O75" i="5"/>
  <c r="N75" i="5"/>
  <c r="M75" i="5"/>
  <c r="L75" i="5"/>
  <c r="K75" i="5"/>
  <c r="J75" i="5"/>
  <c r="I75" i="5"/>
  <c r="T74" i="5"/>
  <c r="S74" i="5"/>
  <c r="R74" i="5"/>
  <c r="Q74" i="5"/>
  <c r="P74" i="5"/>
  <c r="O74" i="5"/>
  <c r="N74" i="5"/>
  <c r="M74" i="5"/>
  <c r="L74" i="5"/>
  <c r="K74" i="5"/>
  <c r="J74" i="5"/>
  <c r="I74" i="5"/>
  <c r="T73" i="5"/>
  <c r="S73" i="5"/>
  <c r="R73" i="5"/>
  <c r="Q73" i="5"/>
  <c r="P73" i="5"/>
  <c r="O73" i="5"/>
  <c r="N73" i="5"/>
  <c r="M73" i="5"/>
  <c r="L73" i="5"/>
  <c r="K73" i="5"/>
  <c r="J73" i="5"/>
  <c r="I73" i="5"/>
  <c r="T72" i="5"/>
  <c r="S72" i="5"/>
  <c r="R72" i="5"/>
  <c r="Q72" i="5"/>
  <c r="P72" i="5"/>
  <c r="O72" i="5"/>
  <c r="N72" i="5"/>
  <c r="M72" i="5"/>
  <c r="L72" i="5"/>
  <c r="K72" i="5"/>
  <c r="J72" i="5"/>
  <c r="I72" i="5"/>
  <c r="T71" i="5"/>
  <c r="S71" i="5"/>
  <c r="R71" i="5"/>
  <c r="Q71" i="5"/>
  <c r="P71" i="5"/>
  <c r="O71" i="5"/>
  <c r="N71" i="5"/>
  <c r="M71" i="5"/>
  <c r="L71" i="5"/>
  <c r="K71" i="5"/>
  <c r="J71" i="5"/>
  <c r="I71" i="5"/>
  <c r="T70" i="5"/>
  <c r="S70" i="5"/>
  <c r="R70" i="5"/>
  <c r="Q70" i="5"/>
  <c r="P70" i="5"/>
  <c r="O70" i="5"/>
  <c r="N70" i="5"/>
  <c r="M70" i="5"/>
  <c r="L70" i="5"/>
  <c r="K70" i="5"/>
  <c r="J70" i="5"/>
  <c r="I70" i="5"/>
  <c r="T69" i="5"/>
  <c r="S69" i="5"/>
  <c r="R69" i="5"/>
  <c r="Q69" i="5"/>
  <c r="P69" i="5"/>
  <c r="O69" i="5"/>
  <c r="N69" i="5"/>
  <c r="M69" i="5"/>
  <c r="L69" i="5"/>
  <c r="K69" i="5"/>
  <c r="J69" i="5"/>
  <c r="I69" i="5"/>
  <c r="T68" i="5"/>
  <c r="S68" i="5"/>
  <c r="R68" i="5"/>
  <c r="Q68" i="5"/>
  <c r="P68" i="5"/>
  <c r="O68" i="5"/>
  <c r="N68" i="5"/>
  <c r="M68" i="5"/>
  <c r="L68" i="5"/>
  <c r="K68" i="5"/>
  <c r="J68" i="5"/>
  <c r="I68" i="5"/>
  <c r="T67" i="5"/>
  <c r="S67" i="5"/>
  <c r="R67" i="5"/>
  <c r="Q67" i="5"/>
  <c r="P67" i="5"/>
  <c r="O67" i="5"/>
  <c r="N67" i="5"/>
  <c r="M67" i="5"/>
  <c r="L67" i="5"/>
  <c r="K67" i="5"/>
  <c r="J67" i="5"/>
  <c r="I67" i="5"/>
  <c r="T66" i="5"/>
  <c r="S66" i="5"/>
  <c r="R66" i="5"/>
  <c r="Q66" i="5"/>
  <c r="P66" i="5"/>
  <c r="O66" i="5"/>
  <c r="N66" i="5"/>
  <c r="M66" i="5"/>
  <c r="L66" i="5"/>
  <c r="K66" i="5"/>
  <c r="J66" i="5"/>
  <c r="I66" i="5"/>
  <c r="T65" i="5"/>
  <c r="S65" i="5"/>
  <c r="R65" i="5"/>
  <c r="Q65" i="5"/>
  <c r="P65" i="5"/>
  <c r="O65" i="5"/>
  <c r="N65" i="5"/>
  <c r="M65" i="5"/>
  <c r="L65" i="5"/>
  <c r="K65" i="5"/>
  <c r="J65" i="5"/>
  <c r="I65" i="5"/>
  <c r="T64" i="5"/>
  <c r="S64" i="5"/>
  <c r="R64" i="5"/>
  <c r="Q64" i="5"/>
  <c r="P64" i="5"/>
  <c r="O64" i="5"/>
  <c r="N64" i="5"/>
  <c r="M64" i="5"/>
  <c r="L64" i="5"/>
  <c r="K64" i="5"/>
  <c r="J64" i="5"/>
  <c r="I64" i="5"/>
  <c r="T63" i="5"/>
  <c r="S63" i="5"/>
  <c r="R63" i="5"/>
  <c r="Q63" i="5"/>
  <c r="P63" i="5"/>
  <c r="O63" i="5"/>
  <c r="N63" i="5"/>
  <c r="M63" i="5"/>
  <c r="L63" i="5"/>
  <c r="K63" i="5"/>
  <c r="J63" i="5"/>
  <c r="I63" i="5"/>
  <c r="T62" i="5"/>
  <c r="S62" i="5"/>
  <c r="R62" i="5"/>
  <c r="Q62" i="5"/>
  <c r="P62" i="5"/>
  <c r="O62" i="5"/>
  <c r="N62" i="5"/>
  <c r="M62" i="5"/>
  <c r="L62" i="5"/>
  <c r="K62" i="5"/>
  <c r="J62" i="5"/>
  <c r="I62" i="5"/>
  <c r="T61" i="5"/>
  <c r="S61" i="5"/>
  <c r="R61" i="5"/>
  <c r="Q61" i="5"/>
  <c r="P61" i="5"/>
  <c r="O61" i="5"/>
  <c r="N61" i="5"/>
  <c r="M61" i="5"/>
  <c r="L61" i="5"/>
  <c r="K61" i="5"/>
  <c r="J61" i="5"/>
  <c r="I61" i="5"/>
  <c r="T60" i="5"/>
  <c r="S60" i="5"/>
  <c r="R60" i="5"/>
  <c r="Q60" i="5"/>
  <c r="P60" i="5"/>
  <c r="O60" i="5"/>
  <c r="N60" i="5"/>
  <c r="M60" i="5"/>
  <c r="L60" i="5"/>
  <c r="K60" i="5"/>
  <c r="J60" i="5"/>
  <c r="I60" i="5"/>
  <c r="T59" i="5"/>
  <c r="S59" i="5"/>
  <c r="R59" i="5"/>
  <c r="Q59" i="5"/>
  <c r="P59" i="5"/>
  <c r="O59" i="5"/>
  <c r="N59" i="5"/>
  <c r="M59" i="5"/>
  <c r="L59" i="5"/>
  <c r="K59" i="5"/>
  <c r="J59" i="5"/>
  <c r="I59" i="5"/>
  <c r="T58" i="5"/>
  <c r="S58" i="5"/>
  <c r="R58" i="5"/>
  <c r="Q58" i="5"/>
  <c r="P58" i="5"/>
  <c r="O58" i="5"/>
  <c r="N58" i="5"/>
  <c r="M58" i="5"/>
  <c r="L58" i="5"/>
  <c r="K58" i="5"/>
  <c r="J58" i="5"/>
  <c r="I58" i="5"/>
  <c r="T57" i="5"/>
  <c r="S57" i="5"/>
  <c r="R57" i="5"/>
  <c r="Q57" i="5"/>
  <c r="P57" i="5"/>
  <c r="O57" i="5"/>
  <c r="N57" i="5"/>
  <c r="M57" i="5"/>
  <c r="L57" i="5"/>
  <c r="K57" i="5"/>
  <c r="J57" i="5"/>
  <c r="I57" i="5"/>
  <c r="T56" i="5"/>
  <c r="S56" i="5"/>
  <c r="R56" i="5"/>
  <c r="Q56" i="5"/>
  <c r="P56" i="5"/>
  <c r="O56" i="5"/>
  <c r="N56" i="5"/>
  <c r="M56" i="5"/>
  <c r="L56" i="5"/>
  <c r="K56" i="5"/>
  <c r="J56" i="5"/>
  <c r="I56" i="5"/>
  <c r="T55" i="5"/>
  <c r="S55" i="5"/>
  <c r="R55" i="5"/>
  <c r="Q55" i="5"/>
  <c r="P55" i="5"/>
  <c r="O55" i="5"/>
  <c r="N55" i="5"/>
  <c r="M55" i="5"/>
  <c r="L55" i="5"/>
  <c r="K55" i="5"/>
  <c r="J55" i="5"/>
  <c r="I55" i="5"/>
  <c r="T54" i="5"/>
  <c r="S54" i="5"/>
  <c r="R54" i="5"/>
  <c r="Q54" i="5"/>
  <c r="P54" i="5"/>
  <c r="O54" i="5"/>
  <c r="N54" i="5"/>
  <c r="M54" i="5"/>
  <c r="L54" i="5"/>
  <c r="K54" i="5"/>
  <c r="J54" i="5"/>
  <c r="I54" i="5"/>
  <c r="T53" i="5"/>
  <c r="S53" i="5"/>
  <c r="R53" i="5"/>
  <c r="Q53" i="5"/>
  <c r="P53" i="5"/>
  <c r="O53" i="5"/>
  <c r="N53" i="5"/>
  <c r="M53" i="5"/>
  <c r="L53" i="5"/>
  <c r="K53" i="5"/>
  <c r="J53" i="5"/>
  <c r="I53" i="5"/>
  <c r="T52" i="5"/>
  <c r="S52" i="5"/>
  <c r="R52" i="5"/>
  <c r="Q52" i="5"/>
  <c r="P52" i="5"/>
  <c r="O52" i="5"/>
  <c r="N52" i="5"/>
  <c r="M52" i="5"/>
  <c r="L52" i="5"/>
  <c r="K52" i="5"/>
  <c r="J52" i="5"/>
  <c r="I52" i="5"/>
  <c r="T51" i="5"/>
  <c r="S51" i="5"/>
  <c r="R51" i="5"/>
  <c r="Q51" i="5"/>
  <c r="P51" i="5"/>
  <c r="O51" i="5"/>
  <c r="N51" i="5"/>
  <c r="M51" i="5"/>
  <c r="L51" i="5"/>
  <c r="K51" i="5"/>
  <c r="J51" i="5"/>
  <c r="I51" i="5"/>
  <c r="T50" i="5"/>
  <c r="S50" i="5"/>
  <c r="R50" i="5"/>
  <c r="Q50" i="5"/>
  <c r="P50" i="5"/>
  <c r="O50" i="5"/>
  <c r="N50" i="5"/>
  <c r="M50" i="5"/>
  <c r="L50" i="5"/>
  <c r="K50" i="5"/>
  <c r="J50" i="5"/>
  <c r="I50" i="5"/>
  <c r="T49" i="5"/>
  <c r="S49" i="5"/>
  <c r="R49" i="5"/>
  <c r="Q49" i="5"/>
  <c r="P49" i="5"/>
  <c r="O49" i="5"/>
  <c r="N49" i="5"/>
  <c r="M49" i="5"/>
  <c r="L49" i="5"/>
  <c r="K49" i="5"/>
  <c r="J49" i="5"/>
  <c r="I49" i="5"/>
  <c r="T48" i="5"/>
  <c r="S48" i="5"/>
  <c r="R48" i="5"/>
  <c r="Q48" i="5"/>
  <c r="P48" i="5"/>
  <c r="O48" i="5"/>
  <c r="N48" i="5"/>
  <c r="M48" i="5"/>
  <c r="L48" i="5"/>
  <c r="K48" i="5"/>
  <c r="J48" i="5"/>
  <c r="I48" i="5"/>
  <c r="T47" i="5"/>
  <c r="S47" i="5"/>
  <c r="R47" i="5"/>
  <c r="Q47" i="5"/>
  <c r="P47" i="5"/>
  <c r="O47" i="5"/>
  <c r="N47" i="5"/>
  <c r="M47" i="5"/>
  <c r="L47" i="5"/>
  <c r="K47" i="5"/>
  <c r="J47" i="5"/>
  <c r="I47" i="5"/>
  <c r="T46" i="5"/>
  <c r="S46" i="5"/>
  <c r="R46" i="5"/>
  <c r="Q46" i="5"/>
  <c r="P46" i="5"/>
  <c r="O46" i="5"/>
  <c r="N46" i="5"/>
  <c r="M46" i="5"/>
  <c r="L46" i="5"/>
  <c r="K46" i="5"/>
  <c r="J46" i="5"/>
  <c r="I46" i="5"/>
  <c r="T45" i="5"/>
  <c r="S45" i="5"/>
  <c r="R45" i="5"/>
  <c r="Q45" i="5"/>
  <c r="P45" i="5"/>
  <c r="O45" i="5"/>
  <c r="N45" i="5"/>
  <c r="M45" i="5"/>
  <c r="L45" i="5"/>
  <c r="K45" i="5"/>
  <c r="J45" i="5"/>
  <c r="I45" i="5"/>
  <c r="T44" i="5"/>
  <c r="S44" i="5"/>
  <c r="R44" i="5"/>
  <c r="Q44" i="5"/>
  <c r="P44" i="5"/>
  <c r="O44" i="5"/>
  <c r="N44" i="5"/>
  <c r="M44" i="5"/>
  <c r="L44" i="5"/>
  <c r="K44" i="5"/>
  <c r="J44" i="5"/>
  <c r="I44" i="5"/>
  <c r="T43" i="5"/>
  <c r="S43" i="5"/>
  <c r="R43" i="5"/>
  <c r="Q43" i="5"/>
  <c r="P43" i="5"/>
  <c r="O43" i="5"/>
  <c r="N43" i="5"/>
  <c r="M43" i="5"/>
  <c r="L43" i="5"/>
  <c r="K43" i="5"/>
  <c r="J43" i="5"/>
  <c r="I43" i="5"/>
  <c r="T42" i="5"/>
  <c r="S42" i="5"/>
  <c r="R42" i="5"/>
  <c r="Q42" i="5"/>
  <c r="P42" i="5"/>
  <c r="O42" i="5"/>
  <c r="N42" i="5"/>
  <c r="M42" i="5"/>
  <c r="L42" i="5"/>
  <c r="K42" i="5"/>
  <c r="J42" i="5"/>
  <c r="I42" i="5"/>
  <c r="T41" i="5"/>
  <c r="S41" i="5"/>
  <c r="R41" i="5"/>
  <c r="Q41" i="5"/>
  <c r="P41" i="5"/>
  <c r="O41" i="5"/>
  <c r="N41" i="5"/>
  <c r="M41" i="5"/>
  <c r="L41" i="5"/>
  <c r="K41" i="5"/>
  <c r="J41" i="5"/>
  <c r="I41" i="5"/>
  <c r="T40" i="5"/>
  <c r="S40" i="5"/>
  <c r="R40" i="5"/>
  <c r="Q40" i="5"/>
  <c r="P40" i="5"/>
  <c r="O40" i="5"/>
  <c r="N40" i="5"/>
  <c r="M40" i="5"/>
  <c r="L40" i="5"/>
  <c r="K40" i="5"/>
  <c r="J40" i="5"/>
  <c r="I40" i="5"/>
  <c r="T39" i="5"/>
  <c r="S39" i="5"/>
  <c r="R39" i="5"/>
  <c r="Q39" i="5"/>
  <c r="P39" i="5"/>
  <c r="O39" i="5"/>
  <c r="N39" i="5"/>
  <c r="M39" i="5"/>
  <c r="L39" i="5"/>
  <c r="K39" i="5"/>
  <c r="J39" i="5"/>
  <c r="I39" i="5"/>
  <c r="T38" i="5"/>
  <c r="S38" i="5"/>
  <c r="R38" i="5"/>
  <c r="Q38" i="5"/>
  <c r="P38" i="5"/>
  <c r="O38" i="5"/>
  <c r="N38" i="5"/>
  <c r="M38" i="5"/>
  <c r="L38" i="5"/>
  <c r="K38" i="5"/>
  <c r="J38" i="5"/>
  <c r="I38" i="5"/>
  <c r="T37" i="5"/>
  <c r="S37" i="5"/>
  <c r="R37" i="5"/>
  <c r="Q37" i="5"/>
  <c r="P37" i="5"/>
  <c r="O37" i="5"/>
  <c r="N37" i="5"/>
  <c r="M37" i="5"/>
  <c r="L37" i="5"/>
  <c r="K37" i="5"/>
  <c r="J37" i="5"/>
  <c r="I37" i="5"/>
  <c r="T36" i="5"/>
  <c r="S36" i="5"/>
  <c r="R36" i="5"/>
  <c r="Q36" i="5"/>
  <c r="P36" i="5"/>
  <c r="O36" i="5"/>
  <c r="N36" i="5"/>
  <c r="M36" i="5"/>
  <c r="L36" i="5"/>
  <c r="K36" i="5"/>
  <c r="J36" i="5"/>
  <c r="I36" i="5"/>
  <c r="T35" i="5"/>
  <c r="S35" i="5"/>
  <c r="R35" i="5"/>
  <c r="Q35" i="5"/>
  <c r="P35" i="5"/>
  <c r="O35" i="5"/>
  <c r="N35" i="5"/>
  <c r="M35" i="5"/>
  <c r="L35" i="5"/>
  <c r="K35" i="5"/>
  <c r="J35" i="5"/>
  <c r="I35" i="5"/>
  <c r="T34" i="5"/>
  <c r="S34" i="5"/>
  <c r="R34" i="5"/>
  <c r="Q34" i="5"/>
  <c r="P34" i="5"/>
  <c r="O34" i="5"/>
  <c r="N34" i="5"/>
  <c r="M34" i="5"/>
  <c r="L34" i="5"/>
  <c r="K34" i="5"/>
  <c r="J34" i="5"/>
  <c r="I34" i="5"/>
  <c r="T33" i="5"/>
  <c r="S33" i="5"/>
  <c r="R33" i="5"/>
  <c r="Q33" i="5"/>
  <c r="P33" i="5"/>
  <c r="O33" i="5"/>
  <c r="N33" i="5"/>
  <c r="M33" i="5"/>
  <c r="L33" i="5"/>
  <c r="K33" i="5"/>
  <c r="J33" i="5"/>
  <c r="I33" i="5"/>
  <c r="T32" i="5"/>
  <c r="S32" i="5"/>
  <c r="R32" i="5"/>
  <c r="Q32" i="5"/>
  <c r="P32" i="5"/>
  <c r="O32" i="5"/>
  <c r="N32" i="5"/>
  <c r="M32" i="5"/>
  <c r="L32" i="5"/>
  <c r="K32" i="5"/>
  <c r="J32" i="5"/>
  <c r="I32" i="5"/>
  <c r="T31" i="5"/>
  <c r="S31" i="5"/>
  <c r="R31" i="5"/>
  <c r="Q31" i="5"/>
  <c r="P31" i="5"/>
  <c r="O31" i="5"/>
  <c r="N31" i="5"/>
  <c r="M31" i="5"/>
  <c r="L31" i="5"/>
  <c r="K31" i="5"/>
  <c r="J31" i="5"/>
  <c r="I31" i="5"/>
  <c r="T30" i="5"/>
  <c r="S30" i="5"/>
  <c r="R30" i="5"/>
  <c r="Q30" i="5"/>
  <c r="P30" i="5"/>
  <c r="O30" i="5"/>
  <c r="N30" i="5"/>
  <c r="M30" i="5"/>
  <c r="L30" i="5"/>
  <c r="K30" i="5"/>
  <c r="J30" i="5"/>
  <c r="I30" i="5"/>
  <c r="T29" i="5"/>
  <c r="S29" i="5"/>
  <c r="R29" i="5"/>
  <c r="Q29" i="5"/>
  <c r="P29" i="5"/>
  <c r="O29" i="5"/>
  <c r="N29" i="5"/>
  <c r="M29" i="5"/>
  <c r="L29" i="5"/>
  <c r="K29" i="5"/>
  <c r="J29" i="5"/>
  <c r="I29" i="5"/>
  <c r="T28" i="5"/>
  <c r="S28" i="5"/>
  <c r="R28" i="5"/>
  <c r="Q28" i="5"/>
  <c r="P28" i="5"/>
  <c r="O28" i="5"/>
  <c r="N28" i="5"/>
  <c r="M28" i="5"/>
  <c r="L28" i="5"/>
  <c r="K28" i="5"/>
  <c r="J28" i="5"/>
  <c r="I28" i="5"/>
  <c r="T27" i="5"/>
  <c r="S27" i="5"/>
  <c r="R27" i="5"/>
  <c r="Q27" i="5"/>
  <c r="P27" i="5"/>
  <c r="O27" i="5"/>
  <c r="N27" i="5"/>
  <c r="M27" i="5"/>
  <c r="L27" i="5"/>
  <c r="K27" i="5"/>
  <c r="J27" i="5"/>
  <c r="I27" i="5"/>
  <c r="T26" i="5"/>
  <c r="S26" i="5"/>
  <c r="R26" i="5"/>
  <c r="Q26" i="5"/>
  <c r="P26" i="5"/>
  <c r="O26" i="5"/>
  <c r="N26" i="5"/>
  <c r="M26" i="5"/>
  <c r="L26" i="5"/>
  <c r="K26" i="5"/>
  <c r="J26" i="5"/>
  <c r="I26" i="5"/>
  <c r="T25" i="5"/>
  <c r="S25" i="5"/>
  <c r="R25" i="5"/>
  <c r="Q25" i="5"/>
  <c r="P25" i="5"/>
  <c r="O25" i="5"/>
  <c r="N25" i="5"/>
  <c r="M25" i="5"/>
  <c r="L25" i="5"/>
  <c r="K25" i="5"/>
  <c r="J25" i="5"/>
  <c r="I25" i="5"/>
  <c r="T24" i="5"/>
  <c r="S24" i="5"/>
  <c r="R24" i="5"/>
  <c r="Q24" i="5"/>
  <c r="P24" i="5"/>
  <c r="O24" i="5"/>
  <c r="N24" i="5"/>
  <c r="M24" i="5"/>
  <c r="L24" i="5"/>
  <c r="K24" i="5"/>
  <c r="J24" i="5"/>
  <c r="I24" i="5"/>
  <c r="T23" i="5"/>
  <c r="S23" i="5"/>
  <c r="R23" i="5"/>
  <c r="Q23" i="5"/>
  <c r="P23" i="5"/>
  <c r="O23" i="5"/>
  <c r="N23" i="5"/>
  <c r="M23" i="5"/>
  <c r="L23" i="5"/>
  <c r="K23" i="5"/>
  <c r="J23" i="5"/>
  <c r="I23" i="5"/>
  <c r="T22" i="5"/>
  <c r="S22" i="5"/>
  <c r="R22" i="5"/>
  <c r="Q22" i="5"/>
  <c r="P22" i="5"/>
  <c r="O22" i="5"/>
  <c r="N22" i="5"/>
  <c r="M22" i="5"/>
  <c r="L22" i="5"/>
  <c r="K22" i="5"/>
  <c r="J22" i="5"/>
  <c r="I22" i="5"/>
  <c r="T21" i="5"/>
  <c r="S21" i="5"/>
  <c r="R21" i="5"/>
  <c r="Q21" i="5"/>
  <c r="P21" i="5"/>
  <c r="O21" i="5"/>
  <c r="N21" i="5"/>
  <c r="M21" i="5"/>
  <c r="L21" i="5"/>
  <c r="K21" i="5"/>
  <c r="J21" i="5"/>
  <c r="I21" i="5"/>
  <c r="T20" i="5"/>
  <c r="S20" i="5"/>
  <c r="R20" i="5"/>
  <c r="Q20" i="5"/>
  <c r="P20" i="5"/>
  <c r="O20" i="5"/>
  <c r="N20" i="5"/>
  <c r="M20" i="5"/>
  <c r="L20" i="5"/>
  <c r="K20" i="5"/>
  <c r="J20" i="5"/>
  <c r="I20" i="5"/>
  <c r="T19" i="5"/>
  <c r="S19" i="5"/>
  <c r="R19" i="5"/>
  <c r="Q19" i="5"/>
  <c r="P19" i="5"/>
  <c r="O19" i="5"/>
  <c r="N19" i="5"/>
  <c r="M19" i="5"/>
  <c r="L19" i="5"/>
  <c r="K19" i="5"/>
  <c r="J19" i="5"/>
  <c r="I19" i="5"/>
  <c r="T18" i="5"/>
  <c r="S18" i="5"/>
  <c r="R18" i="5"/>
  <c r="Q18" i="5"/>
  <c r="P18" i="5"/>
  <c r="O18" i="5"/>
  <c r="N18" i="5"/>
  <c r="M18" i="5"/>
  <c r="L18" i="5"/>
  <c r="K18" i="5"/>
  <c r="J18" i="5"/>
  <c r="I18" i="5"/>
  <c r="T17" i="5"/>
  <c r="S17" i="5"/>
  <c r="R17" i="5"/>
  <c r="Q17" i="5"/>
  <c r="P17" i="5"/>
  <c r="O17" i="5"/>
  <c r="N17" i="5"/>
  <c r="M17" i="5"/>
  <c r="L17" i="5"/>
  <c r="K17" i="5"/>
  <c r="J17" i="5"/>
  <c r="I17" i="5"/>
  <c r="T16" i="5"/>
  <c r="S16" i="5"/>
  <c r="R16" i="5"/>
  <c r="Q16" i="5"/>
  <c r="P16" i="5"/>
  <c r="O16" i="5"/>
  <c r="N16" i="5"/>
  <c r="M16" i="5"/>
  <c r="L16" i="5"/>
  <c r="K16" i="5"/>
  <c r="J16" i="5"/>
  <c r="I16" i="5"/>
  <c r="T15" i="5"/>
  <c r="S15" i="5"/>
  <c r="R15" i="5"/>
  <c r="Q15" i="5"/>
  <c r="P15" i="5"/>
  <c r="O15" i="5"/>
  <c r="N15" i="5"/>
  <c r="M15" i="5"/>
  <c r="L15" i="5"/>
  <c r="K15" i="5"/>
  <c r="J15" i="5"/>
  <c r="I15" i="5"/>
  <c r="T14" i="5"/>
  <c r="S14" i="5"/>
  <c r="R14" i="5"/>
  <c r="Q14" i="5"/>
  <c r="P14" i="5"/>
  <c r="O14" i="5"/>
  <c r="N14" i="5"/>
  <c r="M14" i="5"/>
  <c r="L14" i="5"/>
  <c r="K14" i="5"/>
  <c r="J14" i="5"/>
  <c r="I14" i="5"/>
  <c r="T13" i="5"/>
  <c r="S13" i="5"/>
  <c r="R13" i="5"/>
  <c r="Q13" i="5"/>
  <c r="P13" i="5"/>
  <c r="O13" i="5"/>
  <c r="N13" i="5"/>
  <c r="M13" i="5"/>
  <c r="L13" i="5"/>
  <c r="K13" i="5"/>
  <c r="J13" i="5"/>
  <c r="I13" i="5"/>
  <c r="T12" i="5"/>
  <c r="S12" i="5"/>
  <c r="R12" i="5"/>
  <c r="Q12" i="5"/>
  <c r="P12" i="5"/>
  <c r="O12" i="5"/>
  <c r="N12" i="5"/>
  <c r="M12" i="5"/>
  <c r="L12" i="5"/>
  <c r="K12" i="5"/>
  <c r="J12" i="5"/>
  <c r="I12" i="5"/>
  <c r="T11" i="5"/>
  <c r="S11" i="5"/>
  <c r="R11" i="5"/>
  <c r="Q11" i="5"/>
  <c r="P11" i="5"/>
  <c r="O11" i="5"/>
  <c r="N11" i="5"/>
  <c r="M11" i="5"/>
  <c r="L11" i="5"/>
  <c r="K11" i="5"/>
  <c r="J11" i="5"/>
  <c r="I11" i="5"/>
  <c r="T10" i="5"/>
  <c r="S10" i="5"/>
  <c r="R10" i="5"/>
  <c r="Q10" i="5"/>
  <c r="P10" i="5"/>
  <c r="O10" i="5"/>
  <c r="N10" i="5"/>
  <c r="M10" i="5"/>
  <c r="L10" i="5"/>
  <c r="K10" i="5"/>
  <c r="J10" i="5"/>
  <c r="I10" i="5"/>
  <c r="T9" i="5"/>
  <c r="S9" i="5"/>
  <c r="R9" i="5"/>
  <c r="Q9" i="5"/>
  <c r="P9" i="5"/>
  <c r="O9" i="5"/>
  <c r="N9" i="5"/>
  <c r="M9" i="5"/>
  <c r="L9" i="5"/>
  <c r="K9" i="5"/>
  <c r="J9" i="5"/>
  <c r="I9" i="5"/>
  <c r="T8" i="5"/>
  <c r="S8" i="5"/>
  <c r="R8" i="5"/>
  <c r="Q8" i="5"/>
  <c r="P8" i="5"/>
  <c r="O8" i="5"/>
  <c r="N8" i="5"/>
  <c r="M8" i="5"/>
  <c r="L8" i="5"/>
  <c r="K8" i="5"/>
  <c r="J8" i="5"/>
  <c r="I8" i="5"/>
  <c r="T7" i="5"/>
  <c r="S7" i="5"/>
  <c r="R7" i="5"/>
  <c r="Q7" i="5"/>
  <c r="P7" i="5"/>
  <c r="O7" i="5"/>
  <c r="N7" i="5"/>
  <c r="M7" i="5"/>
  <c r="L7" i="5"/>
  <c r="K7" i="5"/>
  <c r="J7" i="5"/>
  <c r="I7" i="5"/>
  <c r="T6" i="5"/>
  <c r="S6" i="5"/>
  <c r="R6" i="5"/>
  <c r="Q6" i="5"/>
  <c r="P6" i="5"/>
  <c r="O6" i="5"/>
  <c r="N6" i="5"/>
  <c r="M6" i="5"/>
  <c r="L6" i="5"/>
  <c r="K6" i="5"/>
  <c r="J6" i="5"/>
  <c r="I6" i="5"/>
  <c r="T5" i="5"/>
  <c r="S5" i="5"/>
  <c r="R5" i="5"/>
  <c r="Q5" i="5"/>
  <c r="P5" i="5"/>
  <c r="O5" i="5"/>
  <c r="N5" i="5"/>
  <c r="M5" i="5"/>
  <c r="L5" i="5"/>
  <c r="K5" i="5"/>
  <c r="J5" i="5"/>
  <c r="I5" i="5"/>
  <c r="T4" i="5"/>
  <c r="S4" i="5"/>
  <c r="R4" i="5"/>
  <c r="Q4" i="5"/>
  <c r="P4" i="5"/>
  <c r="O4" i="5"/>
  <c r="N4" i="5"/>
  <c r="M4" i="5"/>
  <c r="L4" i="5"/>
  <c r="K4" i="5"/>
  <c r="J4" i="5"/>
  <c r="I4" i="5"/>
  <c r="T3" i="5"/>
  <c r="S3" i="5"/>
  <c r="R3" i="5"/>
  <c r="Q3" i="5"/>
  <c r="P3" i="5"/>
  <c r="O3" i="5"/>
  <c r="N3" i="5"/>
  <c r="M3" i="5"/>
  <c r="L3" i="5"/>
  <c r="K3" i="5"/>
  <c r="J3" i="5"/>
  <c r="I3" i="5"/>
  <c r="J2" i="5"/>
  <c r="K2" i="5" s="1"/>
  <c r="I2" i="5"/>
  <c r="P124" i="4"/>
  <c r="I124" i="4"/>
  <c r="H124" i="4"/>
  <c r="F124" i="4"/>
  <c r="C124" i="4"/>
  <c r="B124" i="4"/>
  <c r="P123" i="4"/>
  <c r="F123" i="4"/>
  <c r="C123" i="4"/>
  <c r="B123" i="4"/>
  <c r="P122" i="4"/>
  <c r="I122" i="4"/>
  <c r="H122" i="4"/>
  <c r="F122" i="4"/>
  <c r="C122" i="4"/>
  <c r="B122" i="4"/>
  <c r="P121" i="4"/>
  <c r="I121" i="4"/>
  <c r="H121" i="4"/>
  <c r="F121" i="4"/>
  <c r="C121" i="4"/>
  <c r="B121" i="4"/>
  <c r="C120" i="4"/>
  <c r="B120" i="4"/>
  <c r="P119" i="4"/>
  <c r="I119" i="4"/>
  <c r="H119" i="4"/>
  <c r="F119" i="4"/>
  <c r="C119" i="4"/>
  <c r="B119" i="4"/>
  <c r="H118" i="4"/>
  <c r="C118" i="4"/>
  <c r="B118" i="4"/>
  <c r="P118" i="4" s="1"/>
  <c r="C117" i="4"/>
  <c r="B117" i="4"/>
  <c r="P116" i="4"/>
  <c r="I116" i="4"/>
  <c r="H116" i="4"/>
  <c r="F116" i="4"/>
  <c r="C116" i="4"/>
  <c r="B116" i="4"/>
  <c r="P115" i="4"/>
  <c r="F115" i="4"/>
  <c r="C115" i="4"/>
  <c r="B115" i="4"/>
  <c r="P114" i="4"/>
  <c r="I114" i="4"/>
  <c r="H114" i="4"/>
  <c r="F114" i="4"/>
  <c r="C114" i="4"/>
  <c r="B114" i="4"/>
  <c r="P113" i="4"/>
  <c r="I113" i="4"/>
  <c r="H113" i="4"/>
  <c r="F113" i="4"/>
  <c r="C113" i="4"/>
  <c r="B113" i="4"/>
  <c r="C112" i="4"/>
  <c r="B112" i="4"/>
  <c r="P111" i="4"/>
  <c r="I111" i="4"/>
  <c r="H111" i="4"/>
  <c r="F111" i="4"/>
  <c r="C111" i="4"/>
  <c r="B111" i="4"/>
  <c r="H110" i="4"/>
  <c r="C110" i="4"/>
  <c r="B110" i="4"/>
  <c r="P110" i="4" s="1"/>
  <c r="C109" i="4"/>
  <c r="B109" i="4"/>
  <c r="P108" i="4"/>
  <c r="I108" i="4"/>
  <c r="H108" i="4"/>
  <c r="F108" i="4"/>
  <c r="C108" i="4"/>
  <c r="B108" i="4"/>
  <c r="P107" i="4"/>
  <c r="F107" i="4"/>
  <c r="C107" i="4"/>
  <c r="B107" i="4"/>
  <c r="P106" i="4"/>
  <c r="I106" i="4"/>
  <c r="H106" i="4"/>
  <c r="F106" i="4"/>
  <c r="C106" i="4"/>
  <c r="B106" i="4"/>
  <c r="P105" i="4"/>
  <c r="I105" i="4"/>
  <c r="H105" i="4"/>
  <c r="F105" i="4"/>
  <c r="D105" i="4"/>
  <c r="C105" i="4"/>
  <c r="B105" i="4"/>
  <c r="C104" i="4"/>
  <c r="B104" i="4"/>
  <c r="P103" i="4"/>
  <c r="C103" i="4"/>
  <c r="B103" i="4"/>
  <c r="C102" i="4"/>
  <c r="B102" i="4"/>
  <c r="P101" i="4"/>
  <c r="I101" i="4"/>
  <c r="H101" i="4"/>
  <c r="F101" i="4"/>
  <c r="C101" i="4"/>
  <c r="B101" i="4"/>
  <c r="I100" i="4"/>
  <c r="D100" i="4"/>
  <c r="C100" i="4"/>
  <c r="B100" i="4"/>
  <c r="P100" i="4" s="1"/>
  <c r="P99" i="4"/>
  <c r="I99" i="4"/>
  <c r="H99" i="4"/>
  <c r="F99" i="4"/>
  <c r="D99" i="4"/>
  <c r="C99" i="4"/>
  <c r="B99" i="4"/>
  <c r="F98" i="4"/>
  <c r="C98" i="4"/>
  <c r="B98" i="4"/>
  <c r="P98" i="4" s="1"/>
  <c r="C97" i="4"/>
  <c r="B97" i="4"/>
  <c r="F97" i="4" s="1"/>
  <c r="P96" i="4"/>
  <c r="I96" i="4"/>
  <c r="H96" i="4"/>
  <c r="F96" i="4"/>
  <c r="D96" i="4"/>
  <c r="C96" i="4"/>
  <c r="B96" i="4"/>
  <c r="D95" i="4"/>
  <c r="C95" i="4"/>
  <c r="B95" i="4"/>
  <c r="P94" i="4"/>
  <c r="I94" i="4"/>
  <c r="H94" i="4"/>
  <c r="F94" i="4"/>
  <c r="D94" i="4"/>
  <c r="C94" i="4"/>
  <c r="B94" i="4"/>
  <c r="P93" i="4"/>
  <c r="C93" i="4"/>
  <c r="B93" i="4"/>
  <c r="P92" i="4"/>
  <c r="I92" i="4"/>
  <c r="H92" i="4"/>
  <c r="F92" i="4"/>
  <c r="D92" i="4"/>
  <c r="C92" i="4"/>
  <c r="B92" i="4"/>
  <c r="P91" i="4"/>
  <c r="I91" i="4"/>
  <c r="H91" i="4"/>
  <c r="F91" i="4"/>
  <c r="C91" i="4"/>
  <c r="B91" i="4"/>
  <c r="I90" i="4"/>
  <c r="H90" i="4"/>
  <c r="F90" i="4"/>
  <c r="D90" i="4"/>
  <c r="C90" i="4"/>
  <c r="B90" i="4"/>
  <c r="P89" i="4"/>
  <c r="I89" i="4"/>
  <c r="H89" i="4"/>
  <c r="F89" i="4"/>
  <c r="D89" i="4"/>
  <c r="C89" i="4"/>
  <c r="B89" i="4"/>
  <c r="C88" i="4"/>
  <c r="B88" i="4"/>
  <c r="C87" i="4"/>
  <c r="B87" i="4"/>
  <c r="C86" i="4"/>
  <c r="B86" i="4"/>
  <c r="C85" i="4"/>
  <c r="B85" i="4"/>
  <c r="I85" i="4" s="1"/>
  <c r="O84" i="4"/>
  <c r="N84" i="4"/>
  <c r="M84" i="4"/>
  <c r="L84" i="4"/>
  <c r="K84" i="4"/>
  <c r="J84" i="4"/>
  <c r="I84" i="4"/>
  <c r="H84" i="4"/>
  <c r="G84" i="4"/>
  <c r="F84" i="4"/>
  <c r="F85" i="4" s="1"/>
  <c r="E84" i="4"/>
  <c r="D84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K45" i="4"/>
  <c r="G45" i="4"/>
  <c r="F45" i="4"/>
  <c r="E45" i="4"/>
  <c r="C45" i="4"/>
  <c r="B45" i="4"/>
  <c r="G44" i="4"/>
  <c r="F44" i="4"/>
  <c r="E44" i="4"/>
  <c r="D44" i="4"/>
  <c r="C44" i="4"/>
  <c r="B44" i="4"/>
  <c r="G43" i="4"/>
  <c r="F43" i="4"/>
  <c r="E43" i="4"/>
  <c r="C43" i="4"/>
  <c r="B43" i="4"/>
  <c r="G42" i="4"/>
  <c r="E42" i="4"/>
  <c r="C42" i="4"/>
  <c r="B42" i="4"/>
  <c r="E41" i="4"/>
  <c r="C41" i="4"/>
  <c r="B41" i="4"/>
  <c r="E40" i="4"/>
  <c r="D40" i="4"/>
  <c r="C40" i="4"/>
  <c r="B40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J8" i="4"/>
  <c r="H8" i="4"/>
  <c r="E8" i="4"/>
  <c r="D8" i="4"/>
  <c r="C8" i="4"/>
  <c r="B8" i="4"/>
  <c r="D7" i="4"/>
  <c r="C7" i="4"/>
  <c r="B7" i="4"/>
  <c r="F6" i="4"/>
  <c r="E6" i="4"/>
  <c r="D6" i="4"/>
  <c r="C6" i="4"/>
  <c r="B6" i="4"/>
  <c r="H40" i="3"/>
  <c r="G40" i="3"/>
  <c r="E40" i="3"/>
  <c r="D40" i="3"/>
  <c r="C40" i="3"/>
  <c r="H39" i="3"/>
  <c r="G39" i="3"/>
  <c r="E39" i="3"/>
  <c r="D39" i="3"/>
  <c r="C39" i="3"/>
  <c r="G38" i="3"/>
  <c r="D38" i="3"/>
  <c r="C38" i="3"/>
  <c r="H37" i="3"/>
  <c r="G37" i="3"/>
  <c r="E37" i="3"/>
  <c r="D37" i="3"/>
  <c r="C37" i="3"/>
  <c r="H36" i="3"/>
  <c r="G36" i="3"/>
  <c r="E36" i="3"/>
  <c r="F36" i="3" s="1"/>
  <c r="D36" i="3"/>
  <c r="C36" i="3"/>
  <c r="H35" i="3"/>
  <c r="G35" i="3"/>
  <c r="E35" i="3"/>
  <c r="F35" i="3" s="1"/>
  <c r="D35" i="3"/>
  <c r="C35" i="3"/>
  <c r="G33" i="3"/>
  <c r="D33" i="3"/>
  <c r="C33" i="3"/>
  <c r="G32" i="3"/>
  <c r="D32" i="3"/>
  <c r="C32" i="3"/>
  <c r="F30" i="3"/>
  <c r="F24" i="3"/>
  <c r="F23" i="3"/>
  <c r="C19" i="3"/>
  <c r="F18" i="3"/>
  <c r="F14" i="3"/>
  <c r="F9" i="3"/>
  <c r="F8" i="3"/>
  <c r="C8" i="3"/>
  <c r="C6" i="3"/>
  <c r="F5" i="3"/>
  <c r="C5" i="3"/>
  <c r="I84" i="2"/>
  <c r="F84" i="2"/>
  <c r="F85" i="2" s="1"/>
  <c r="F86" i="2" s="1"/>
  <c r="F83" i="2"/>
  <c r="I86" i="2" s="1"/>
  <c r="I82" i="2"/>
  <c r="F82" i="2"/>
  <c r="I72" i="2"/>
  <c r="I70" i="2"/>
  <c r="F70" i="2"/>
  <c r="F69" i="2"/>
  <c r="F71" i="2" s="1"/>
  <c r="I68" i="2"/>
  <c r="F68" i="2"/>
  <c r="F67" i="2"/>
  <c r="I66" i="2"/>
  <c r="F66" i="2"/>
  <c r="F59" i="2"/>
  <c r="F57" i="2"/>
  <c r="F53" i="2"/>
  <c r="F55" i="2" s="1"/>
  <c r="I51" i="2"/>
  <c r="F51" i="2"/>
  <c r="F41" i="2"/>
  <c r="F33" i="2"/>
  <c r="I31" i="2"/>
  <c r="F31" i="2"/>
  <c r="F29" i="2"/>
  <c r="I27" i="2"/>
  <c r="F27" i="2"/>
  <c r="I25" i="2"/>
  <c r="C19" i="2"/>
  <c r="I17" i="2"/>
  <c r="C17" i="2"/>
  <c r="C13" i="2"/>
  <c r="F12" i="2"/>
  <c r="C12" i="2"/>
  <c r="C11" i="2"/>
  <c r="C10" i="2"/>
  <c r="F9" i="2"/>
  <c r="C9" i="2"/>
  <c r="F8" i="2"/>
  <c r="C8" i="2"/>
  <c r="I7" i="2"/>
  <c r="F7" i="2"/>
  <c r="C7" i="2"/>
  <c r="C15" i="2" s="1"/>
  <c r="G3" i="11" l="1"/>
  <c r="H3" i="11" s="1"/>
  <c r="O3" i="6"/>
  <c r="F6" i="3"/>
  <c r="F7" i="3" s="1"/>
  <c r="E2" i="13"/>
  <c r="J2" i="12"/>
  <c r="I14" i="2"/>
  <c r="F10" i="3"/>
  <c r="I29" i="2"/>
  <c r="I67" i="2"/>
  <c r="N2" i="5"/>
  <c r="N12" i="8"/>
  <c r="U12" i="8" s="1"/>
  <c r="V12" i="8" s="1"/>
  <c r="N28" i="8"/>
  <c r="U28" i="8" s="1"/>
  <c r="V28" i="8" s="1"/>
  <c r="N9" i="8"/>
  <c r="U9" i="8" s="1"/>
  <c r="V9" i="8" s="1"/>
  <c r="N25" i="8"/>
  <c r="U25" i="8" s="1"/>
  <c r="V25" i="8" s="1"/>
  <c r="N6" i="8"/>
  <c r="U6" i="8" s="1"/>
  <c r="V6" i="8" s="1"/>
  <c r="N22" i="8"/>
  <c r="U22" i="8" s="1"/>
  <c r="V22" i="8" s="1"/>
  <c r="N3" i="8"/>
  <c r="U3" i="8" s="1"/>
  <c r="V3" i="8" s="1"/>
  <c r="N19" i="8"/>
  <c r="U19" i="8" s="1"/>
  <c r="V19" i="8" s="1"/>
  <c r="N16" i="8"/>
  <c r="U16" i="8" s="1"/>
  <c r="V16" i="8" s="1"/>
  <c r="N13" i="8"/>
  <c r="U13" i="8" s="1"/>
  <c r="V13" i="8" s="1"/>
  <c r="N29" i="8"/>
  <c r="U29" i="8" s="1"/>
  <c r="V29" i="8" s="1"/>
  <c r="N10" i="8"/>
  <c r="U10" i="8" s="1"/>
  <c r="V10" i="8" s="1"/>
  <c r="N26" i="8"/>
  <c r="U26" i="8" s="1"/>
  <c r="V26" i="8" s="1"/>
  <c r="N7" i="8"/>
  <c r="U7" i="8" s="1"/>
  <c r="V7" i="8" s="1"/>
  <c r="N23" i="8"/>
  <c r="U23" i="8" s="1"/>
  <c r="V23" i="8" s="1"/>
  <c r="N4" i="8"/>
  <c r="U4" i="8" s="1"/>
  <c r="V4" i="8" s="1"/>
  <c r="N20" i="8"/>
  <c r="N17" i="8"/>
  <c r="U17" i="8" s="1"/>
  <c r="V17" i="8" s="1"/>
  <c r="N14" i="8"/>
  <c r="U14" i="8" s="1"/>
  <c r="V14" i="8" s="1"/>
  <c r="N30" i="8"/>
  <c r="U30" i="8" s="1"/>
  <c r="V30" i="8" s="1"/>
  <c r="N11" i="8"/>
  <c r="N27" i="8"/>
  <c r="U27" i="8" s="1"/>
  <c r="V27" i="8" s="1"/>
  <c r="AI2" i="6"/>
  <c r="I6" i="4" s="1"/>
  <c r="N8" i="8"/>
  <c r="U8" i="8" s="1"/>
  <c r="V8" i="8" s="1"/>
  <c r="U20" i="8"/>
  <c r="V20" i="8" s="1"/>
  <c r="N24" i="8"/>
  <c r="U24" i="8" s="1"/>
  <c r="V24" i="8" s="1"/>
  <c r="N5" i="8"/>
  <c r="U5" i="8" s="1"/>
  <c r="V5" i="8" s="1"/>
  <c r="N21" i="8"/>
  <c r="U21" i="8" s="1"/>
  <c r="V21" i="8" s="1"/>
  <c r="N18" i="8"/>
  <c r="U18" i="8" s="1"/>
  <c r="V18" i="8" s="1"/>
  <c r="N15" i="8"/>
  <c r="U15" i="8" s="1"/>
  <c r="V15" i="8" s="1"/>
  <c r="I69" i="2"/>
  <c r="I71" i="2" s="1"/>
  <c r="I10" i="2"/>
  <c r="AG3" i="6"/>
  <c r="V3" i="6"/>
  <c r="AM2" i="6"/>
  <c r="U11" i="8"/>
  <c r="V11" i="8" s="1"/>
  <c r="F61" i="2"/>
  <c r="E3" i="13"/>
  <c r="D85" i="4"/>
  <c r="Q6" i="7"/>
  <c r="O3" i="7"/>
  <c r="I41" i="4" s="1"/>
  <c r="H44" i="4"/>
  <c r="Q4" i="7"/>
  <c r="F22" i="3"/>
  <c r="F21" i="3"/>
  <c r="C18" i="2"/>
  <c r="F39" i="3"/>
  <c r="F40" i="3"/>
  <c r="F37" i="3"/>
  <c r="F28" i="3"/>
  <c r="K3" i="7"/>
  <c r="H85" i="4"/>
  <c r="F29" i="3"/>
  <c r="E87" i="4"/>
  <c r="O87" i="4"/>
  <c r="N87" i="4"/>
  <c r="M87" i="4"/>
  <c r="J87" i="4"/>
  <c r="L87" i="4"/>
  <c r="K87" i="4"/>
  <c r="G87" i="4"/>
  <c r="E103" i="4"/>
  <c r="Q103" i="4"/>
  <c r="O103" i="4"/>
  <c r="J103" i="4"/>
  <c r="N103" i="4"/>
  <c r="M103" i="4"/>
  <c r="L103" i="4"/>
  <c r="K103" i="4"/>
  <c r="G103" i="4"/>
  <c r="K4" i="7"/>
  <c r="K42" i="4"/>
  <c r="E94" i="4"/>
  <c r="Q94" i="4"/>
  <c r="O94" i="4"/>
  <c r="J94" i="4"/>
  <c r="N94" i="4"/>
  <c r="M94" i="4"/>
  <c r="L94" i="4"/>
  <c r="K94" i="4"/>
  <c r="G94" i="4"/>
  <c r="H98" i="4"/>
  <c r="E108" i="4"/>
  <c r="D108" i="4"/>
  <c r="Q108" i="4"/>
  <c r="O108" i="4"/>
  <c r="N108" i="4"/>
  <c r="M108" i="4"/>
  <c r="J108" i="4"/>
  <c r="L108" i="4"/>
  <c r="K108" i="4"/>
  <c r="G108" i="4"/>
  <c r="I110" i="4"/>
  <c r="E116" i="4"/>
  <c r="D116" i="4"/>
  <c r="Q116" i="4"/>
  <c r="O116" i="4"/>
  <c r="N116" i="4"/>
  <c r="M116" i="4"/>
  <c r="L116" i="4"/>
  <c r="K116" i="4"/>
  <c r="J116" i="4"/>
  <c r="G116" i="4"/>
  <c r="I118" i="4"/>
  <c r="E124" i="4"/>
  <c r="D124" i="4"/>
  <c r="Q124" i="4"/>
  <c r="O124" i="4"/>
  <c r="N124" i="4"/>
  <c r="M124" i="4"/>
  <c r="L124" i="4"/>
  <c r="K124" i="4"/>
  <c r="J124" i="4"/>
  <c r="G124" i="4"/>
  <c r="AI3" i="6"/>
  <c r="I9" i="2" s="1"/>
  <c r="F7" i="4"/>
  <c r="C20" i="3"/>
  <c r="E85" i="4"/>
  <c r="O85" i="4"/>
  <c r="J85" i="4"/>
  <c r="N85" i="4"/>
  <c r="M85" i="4"/>
  <c r="L85" i="4"/>
  <c r="K85" i="4"/>
  <c r="G85" i="4"/>
  <c r="D87" i="4"/>
  <c r="I98" i="4"/>
  <c r="E101" i="4"/>
  <c r="Q101" i="4"/>
  <c r="O101" i="4"/>
  <c r="N101" i="4"/>
  <c r="M101" i="4"/>
  <c r="L101" i="4"/>
  <c r="K101" i="4"/>
  <c r="J101" i="4"/>
  <c r="G101" i="4"/>
  <c r="D103" i="4"/>
  <c r="J7" i="4"/>
  <c r="C21" i="3"/>
  <c r="N2" i="6"/>
  <c r="K2" i="7"/>
  <c r="K40" i="4"/>
  <c r="E109" i="4"/>
  <c r="D109" i="4"/>
  <c r="Q109" i="4"/>
  <c r="O109" i="4"/>
  <c r="J109" i="4"/>
  <c r="N109" i="4"/>
  <c r="M109" i="4"/>
  <c r="L109" i="4"/>
  <c r="K109" i="4"/>
  <c r="G109" i="4"/>
  <c r="F87" i="4"/>
  <c r="E92" i="4"/>
  <c r="Q92" i="4"/>
  <c r="O92" i="4"/>
  <c r="N92" i="4"/>
  <c r="M92" i="4"/>
  <c r="L92" i="4"/>
  <c r="K92" i="4"/>
  <c r="J92" i="4"/>
  <c r="G92" i="4"/>
  <c r="F103" i="4"/>
  <c r="E111" i="4"/>
  <c r="D111" i="4"/>
  <c r="Q111" i="4"/>
  <c r="O111" i="4"/>
  <c r="J111" i="4"/>
  <c r="N111" i="4"/>
  <c r="M111" i="4"/>
  <c r="L111" i="4"/>
  <c r="K111" i="4"/>
  <c r="G111" i="4"/>
  <c r="E119" i="4"/>
  <c r="D119" i="4"/>
  <c r="Q119" i="4"/>
  <c r="O119" i="4"/>
  <c r="N119" i="4"/>
  <c r="M119" i="4"/>
  <c r="L119" i="4"/>
  <c r="K119" i="4"/>
  <c r="J119" i="4"/>
  <c r="G119" i="4"/>
  <c r="H87" i="4"/>
  <c r="E99" i="4"/>
  <c r="Q99" i="4"/>
  <c r="O99" i="4"/>
  <c r="N99" i="4"/>
  <c r="M99" i="4"/>
  <c r="J99" i="4"/>
  <c r="L99" i="4"/>
  <c r="K99" i="4"/>
  <c r="G99" i="4"/>
  <c r="D101" i="4"/>
  <c r="H103" i="4"/>
  <c r="R2" i="7"/>
  <c r="J40" i="4" s="1"/>
  <c r="N2" i="7"/>
  <c r="I87" i="4"/>
  <c r="E90" i="4"/>
  <c r="Q90" i="4"/>
  <c r="O90" i="4"/>
  <c r="N90" i="4"/>
  <c r="M90" i="4"/>
  <c r="J90" i="4"/>
  <c r="L90" i="4"/>
  <c r="K90" i="4"/>
  <c r="G90" i="4"/>
  <c r="I103" i="4"/>
  <c r="E106" i="4"/>
  <c r="D106" i="4"/>
  <c r="Q106" i="4"/>
  <c r="O106" i="4"/>
  <c r="J106" i="4"/>
  <c r="N106" i="4"/>
  <c r="M106" i="4"/>
  <c r="L106" i="4"/>
  <c r="K106" i="4"/>
  <c r="G106" i="4"/>
  <c r="E114" i="4"/>
  <c r="D114" i="4"/>
  <c r="Q114" i="4"/>
  <c r="O114" i="4"/>
  <c r="J114" i="4"/>
  <c r="N114" i="4"/>
  <c r="M114" i="4"/>
  <c r="L114" i="4"/>
  <c r="K114" i="4"/>
  <c r="G114" i="4"/>
  <c r="E122" i="4"/>
  <c r="D122" i="4"/>
  <c r="Q122" i="4"/>
  <c r="O122" i="4"/>
  <c r="N122" i="4"/>
  <c r="M122" i="4"/>
  <c r="J122" i="4"/>
  <c r="L122" i="4"/>
  <c r="K122" i="4"/>
  <c r="G122" i="4"/>
  <c r="F16" i="2"/>
  <c r="AG2" i="6"/>
  <c r="K7" i="7"/>
  <c r="N4" i="6"/>
  <c r="K5" i="7"/>
  <c r="N3" i="6"/>
  <c r="K43" i="4"/>
  <c r="E88" i="4"/>
  <c r="O88" i="4"/>
  <c r="J88" i="4"/>
  <c r="N88" i="4"/>
  <c r="M88" i="4"/>
  <c r="L88" i="4"/>
  <c r="K88" i="4"/>
  <c r="G88" i="4"/>
  <c r="E117" i="4"/>
  <c r="D117" i="4"/>
  <c r="Q117" i="4"/>
  <c r="O117" i="4"/>
  <c r="J117" i="4"/>
  <c r="N117" i="4"/>
  <c r="M117" i="4"/>
  <c r="L117" i="4"/>
  <c r="K117" i="4"/>
  <c r="G117" i="4"/>
  <c r="E95" i="4"/>
  <c r="Q95" i="4"/>
  <c r="O95" i="4"/>
  <c r="N95" i="4"/>
  <c r="M95" i="4"/>
  <c r="L95" i="4"/>
  <c r="K95" i="4"/>
  <c r="J95" i="4"/>
  <c r="G95" i="4"/>
  <c r="D97" i="4"/>
  <c r="E104" i="4"/>
  <c r="Q104" i="4"/>
  <c r="O104" i="4"/>
  <c r="N104" i="4"/>
  <c r="M104" i="4"/>
  <c r="L104" i="4"/>
  <c r="K104" i="4"/>
  <c r="J104" i="4"/>
  <c r="G104" i="4"/>
  <c r="E86" i="4"/>
  <c r="O86" i="4"/>
  <c r="N86" i="4"/>
  <c r="M86" i="4"/>
  <c r="L86" i="4"/>
  <c r="K86" i="4"/>
  <c r="J86" i="4"/>
  <c r="G86" i="4"/>
  <c r="D88" i="4"/>
  <c r="E102" i="4"/>
  <c r="Q102" i="4"/>
  <c r="O102" i="4"/>
  <c r="N102" i="4"/>
  <c r="M102" i="4"/>
  <c r="J102" i="4"/>
  <c r="L102" i="4"/>
  <c r="K102" i="4"/>
  <c r="G102" i="4"/>
  <c r="D104" i="4"/>
  <c r="F109" i="4"/>
  <c r="E112" i="4"/>
  <c r="D112" i="4"/>
  <c r="Q112" i="4"/>
  <c r="O112" i="4"/>
  <c r="N112" i="4"/>
  <c r="M112" i="4"/>
  <c r="J112" i="4"/>
  <c r="L112" i="4"/>
  <c r="K112" i="4"/>
  <c r="G112" i="4"/>
  <c r="F117" i="4"/>
  <c r="E120" i="4"/>
  <c r="D120" i="4"/>
  <c r="Q120" i="4"/>
  <c r="O120" i="4"/>
  <c r="J120" i="4"/>
  <c r="N120" i="4"/>
  <c r="M120" i="4"/>
  <c r="L120" i="4"/>
  <c r="K120" i="4"/>
  <c r="G120" i="4"/>
  <c r="U2" i="8"/>
  <c r="V2" i="8" s="1"/>
  <c r="E97" i="4"/>
  <c r="Q97" i="4"/>
  <c r="O97" i="4"/>
  <c r="J97" i="4"/>
  <c r="N97" i="4"/>
  <c r="M97" i="4"/>
  <c r="L97" i="4"/>
  <c r="K97" i="4"/>
  <c r="G97" i="4"/>
  <c r="E93" i="4"/>
  <c r="Q93" i="4"/>
  <c r="O93" i="4"/>
  <c r="N93" i="4"/>
  <c r="M93" i="4"/>
  <c r="J93" i="4"/>
  <c r="L93" i="4"/>
  <c r="K93" i="4"/>
  <c r="G93" i="4"/>
  <c r="H97" i="4"/>
  <c r="F104" i="4"/>
  <c r="H109" i="4"/>
  <c r="H117" i="4"/>
  <c r="D86" i="4"/>
  <c r="H88" i="4"/>
  <c r="P90" i="4"/>
  <c r="F95" i="4"/>
  <c r="I97" i="4"/>
  <c r="E100" i="4"/>
  <c r="Q100" i="4"/>
  <c r="O100" i="4"/>
  <c r="J100" i="4"/>
  <c r="N100" i="4"/>
  <c r="M100" i="4"/>
  <c r="L100" i="4"/>
  <c r="K100" i="4"/>
  <c r="G100" i="4"/>
  <c r="D102" i="4"/>
  <c r="H104" i="4"/>
  <c r="E107" i="4"/>
  <c r="D107" i="4"/>
  <c r="Q107" i="4"/>
  <c r="O107" i="4"/>
  <c r="N107" i="4"/>
  <c r="M107" i="4"/>
  <c r="L107" i="4"/>
  <c r="K107" i="4"/>
  <c r="J107" i="4"/>
  <c r="G107" i="4"/>
  <c r="I109" i="4"/>
  <c r="F112" i="4"/>
  <c r="E115" i="4"/>
  <c r="D115" i="4"/>
  <c r="Q115" i="4"/>
  <c r="O115" i="4"/>
  <c r="N115" i="4"/>
  <c r="M115" i="4"/>
  <c r="J115" i="4"/>
  <c r="L115" i="4"/>
  <c r="K115" i="4"/>
  <c r="G115" i="4"/>
  <c r="I117" i="4"/>
  <c r="F120" i="4"/>
  <c r="E123" i="4"/>
  <c r="D123" i="4"/>
  <c r="Q123" i="4"/>
  <c r="O123" i="4"/>
  <c r="J123" i="4"/>
  <c r="N123" i="4"/>
  <c r="M123" i="4"/>
  <c r="L123" i="4"/>
  <c r="K123" i="4"/>
  <c r="G123" i="4"/>
  <c r="I16" i="2"/>
  <c r="S2" i="5"/>
  <c r="AL2" i="6"/>
  <c r="I18" i="2" s="1"/>
  <c r="F86" i="4"/>
  <c r="I88" i="4"/>
  <c r="E91" i="4"/>
  <c r="Q91" i="4"/>
  <c r="O91" i="4"/>
  <c r="J91" i="4"/>
  <c r="N91" i="4"/>
  <c r="M91" i="4"/>
  <c r="L91" i="4"/>
  <c r="K91" i="4"/>
  <c r="G91" i="4"/>
  <c r="D93" i="4"/>
  <c r="H95" i="4"/>
  <c r="P97" i="4"/>
  <c r="F102" i="4"/>
  <c r="I104" i="4"/>
  <c r="P109" i="4"/>
  <c r="H112" i="4"/>
  <c r="P117" i="4"/>
  <c r="H120" i="4"/>
  <c r="S5" i="7"/>
  <c r="N43" i="4" s="1"/>
  <c r="F25" i="3"/>
  <c r="F22" i="2"/>
  <c r="F93" i="4"/>
  <c r="I95" i="4"/>
  <c r="H102" i="4"/>
  <c r="P104" i="4"/>
  <c r="E110" i="4"/>
  <c r="D110" i="4"/>
  <c r="Q110" i="4"/>
  <c r="O110" i="4"/>
  <c r="N110" i="4"/>
  <c r="M110" i="4"/>
  <c r="L110" i="4"/>
  <c r="K110" i="4"/>
  <c r="J110" i="4"/>
  <c r="G110" i="4"/>
  <c r="E118" i="4"/>
  <c r="D118" i="4"/>
  <c r="Q118" i="4"/>
  <c r="O118" i="4"/>
  <c r="N118" i="4"/>
  <c r="M118" i="4"/>
  <c r="J118" i="4"/>
  <c r="L118" i="4"/>
  <c r="K118" i="4"/>
  <c r="G118" i="4"/>
  <c r="I120" i="4"/>
  <c r="F88" i="4"/>
  <c r="H86" i="4"/>
  <c r="E98" i="4"/>
  <c r="Q98" i="4"/>
  <c r="O98" i="4"/>
  <c r="N98" i="4"/>
  <c r="M98" i="4"/>
  <c r="L98" i="4"/>
  <c r="K98" i="4"/>
  <c r="J98" i="4"/>
  <c r="G98" i="4"/>
  <c r="I112" i="4"/>
  <c r="I86" i="4"/>
  <c r="E89" i="4"/>
  <c r="Q89" i="4"/>
  <c r="O89" i="4"/>
  <c r="N89" i="4"/>
  <c r="M89" i="4"/>
  <c r="L89" i="4"/>
  <c r="K89" i="4"/>
  <c r="J89" i="4"/>
  <c r="G89" i="4"/>
  <c r="D91" i="4"/>
  <c r="H93" i="4"/>
  <c r="P95" i="4"/>
  <c r="F100" i="4"/>
  <c r="I102" i="4"/>
  <c r="E105" i="4"/>
  <c r="Q105" i="4"/>
  <c r="O105" i="4"/>
  <c r="N105" i="4"/>
  <c r="M105" i="4"/>
  <c r="J105" i="4"/>
  <c r="L105" i="4"/>
  <c r="K105" i="4"/>
  <c r="G105" i="4"/>
  <c r="H107" i="4"/>
  <c r="P112" i="4"/>
  <c r="H115" i="4"/>
  <c r="P120" i="4"/>
  <c r="H123" i="4"/>
  <c r="I93" i="4"/>
  <c r="E96" i="4"/>
  <c r="Q96" i="4"/>
  <c r="O96" i="4"/>
  <c r="N96" i="4"/>
  <c r="M96" i="4"/>
  <c r="J96" i="4"/>
  <c r="L96" i="4"/>
  <c r="K96" i="4"/>
  <c r="G96" i="4"/>
  <c r="D98" i="4"/>
  <c r="H100" i="4"/>
  <c r="P102" i="4"/>
  <c r="I107" i="4"/>
  <c r="F110" i="4"/>
  <c r="E113" i="4"/>
  <c r="D113" i="4"/>
  <c r="Q113" i="4"/>
  <c r="O113" i="4"/>
  <c r="N113" i="4"/>
  <c r="M113" i="4"/>
  <c r="L113" i="4"/>
  <c r="K113" i="4"/>
  <c r="J113" i="4"/>
  <c r="G113" i="4"/>
  <c r="I115" i="4"/>
  <c r="F118" i="4"/>
  <c r="E121" i="4"/>
  <c r="D121" i="4"/>
  <c r="Q121" i="4"/>
  <c r="O121" i="4"/>
  <c r="N121" i="4"/>
  <c r="M121" i="4"/>
  <c r="L121" i="4"/>
  <c r="K121" i="4"/>
  <c r="J121" i="4"/>
  <c r="G121" i="4"/>
  <c r="I123" i="4"/>
  <c r="K6" i="7"/>
  <c r="K44" i="4"/>
  <c r="P5" i="7"/>
  <c r="Y4" i="6"/>
  <c r="O4" i="7"/>
  <c r="Q5" i="7"/>
  <c r="P4" i="7"/>
  <c r="L42" i="4" s="1"/>
  <c r="P3" i="7"/>
  <c r="R4" i="7"/>
  <c r="J42" i="4" s="1"/>
  <c r="E4" i="13"/>
  <c r="H43" i="4"/>
  <c r="V2" i="6"/>
  <c r="Q3" i="7"/>
  <c r="R3" i="7"/>
  <c r="J41" i="4" s="1"/>
  <c r="P4" i="6"/>
  <c r="R4" i="6" s="1"/>
  <c r="S4" i="6" s="1"/>
  <c r="AG4" i="6"/>
  <c r="Y3" i="6"/>
  <c r="G8" i="4"/>
  <c r="O7" i="7"/>
  <c r="P7" i="7"/>
  <c r="O6" i="7"/>
  <c r="Q7" i="7"/>
  <c r="P6" i="7"/>
  <c r="L44" i="4" s="1"/>
  <c r="G6" i="4" l="1"/>
  <c r="P85" i="4"/>
  <c r="Q85" i="4" s="1"/>
  <c r="I15" i="2"/>
  <c r="P88" i="4"/>
  <c r="Q88" i="4" s="1"/>
  <c r="P87" i="4"/>
  <c r="Q87" i="4" s="1"/>
  <c r="P86" i="4"/>
  <c r="Q86" i="4" s="1"/>
  <c r="M44" i="4"/>
  <c r="S6" i="7"/>
  <c r="N44" i="4" s="1"/>
  <c r="I44" i="4"/>
  <c r="I42" i="4"/>
  <c r="S4" i="7"/>
  <c r="N42" i="4" s="1"/>
  <c r="C14" i="3"/>
  <c r="F21" i="2"/>
  <c r="K8" i="4"/>
  <c r="H38" i="3"/>
  <c r="Z4" i="6"/>
  <c r="L8" i="4" s="1"/>
  <c r="S7" i="7"/>
  <c r="N45" i="4" s="1"/>
  <c r="I45" i="4"/>
  <c r="Z3" i="6"/>
  <c r="L7" i="4" s="1"/>
  <c r="H33" i="3"/>
  <c r="K7" i="4"/>
  <c r="F10" i="2"/>
  <c r="M6" i="4"/>
  <c r="P2" i="6"/>
  <c r="C24" i="3"/>
  <c r="AA4" i="6"/>
  <c r="L45" i="4"/>
  <c r="L43" i="4"/>
  <c r="AA3" i="6"/>
  <c r="M43" i="4"/>
  <c r="S3" i="7"/>
  <c r="N41" i="4" s="1"/>
  <c r="M42" i="4"/>
  <c r="Y2" i="6"/>
  <c r="Q2" i="7"/>
  <c r="P2" i="7"/>
  <c r="O2" i="7"/>
  <c r="H40" i="4"/>
  <c r="P3" i="6"/>
  <c r="R3" i="6" s="1"/>
  <c r="S3" i="6" s="1"/>
  <c r="M7" i="4"/>
  <c r="L41" i="4"/>
  <c r="M41" i="4"/>
  <c r="M45" i="4"/>
  <c r="M8" i="4"/>
  <c r="G7" i="4"/>
  <c r="I7" i="4"/>
  <c r="I85" i="2" l="1"/>
  <c r="I83" i="2"/>
  <c r="K6" i="4"/>
  <c r="H32" i="3"/>
  <c r="Z2" i="6"/>
  <c r="C22" i="3"/>
  <c r="C26" i="3" s="1"/>
  <c r="I12" i="2"/>
  <c r="AA2" i="6"/>
  <c r="M40" i="4"/>
  <c r="L40" i="4"/>
  <c r="AC3" i="6"/>
  <c r="AD3" i="6" s="1"/>
  <c r="N7" i="4"/>
  <c r="AC4" i="6"/>
  <c r="AD4" i="6" s="1"/>
  <c r="N8" i="4"/>
  <c r="I40" i="4"/>
  <c r="S2" i="7"/>
  <c r="AF4" i="6"/>
  <c r="L2" i="5"/>
  <c r="M2" i="5" s="1"/>
  <c r="R2" i="6"/>
  <c r="C7" i="3"/>
  <c r="C9" i="3" s="1"/>
  <c r="C10" i="3" s="1"/>
  <c r="F11" i="2"/>
  <c r="AF3" i="6"/>
  <c r="O8" i="4" l="1"/>
  <c r="P8" i="4"/>
  <c r="AC2" i="6"/>
  <c r="F15" i="2"/>
  <c r="C25" i="3"/>
  <c r="N6" i="4"/>
  <c r="AF2" i="6"/>
  <c r="N40" i="4"/>
  <c r="F17" i="3"/>
  <c r="F15" i="3"/>
  <c r="F16" i="3" s="1"/>
  <c r="C23" i="3"/>
  <c r="P7" i="4"/>
  <c r="O7" i="4"/>
  <c r="C27" i="3"/>
  <c r="I13" i="2"/>
  <c r="L6" i="4"/>
  <c r="AE3" i="6"/>
  <c r="AN3" i="6" s="1"/>
  <c r="E33" i="3"/>
  <c r="F33" i="3" s="1"/>
  <c r="F13" i="2"/>
  <c r="S2" i="6"/>
  <c r="F14" i="2" s="1"/>
  <c r="AE4" i="6"/>
  <c r="AN4" i="6" s="1"/>
  <c r="E38" i="3"/>
  <c r="F38" i="3" s="1"/>
  <c r="C13" i="3" l="1"/>
  <c r="P6" i="4"/>
  <c r="O6" i="4"/>
  <c r="F20" i="2"/>
  <c r="AD2" i="6"/>
  <c r="F17" i="2"/>
  <c r="O2" i="5"/>
  <c r="P2" i="5" s="1"/>
  <c r="Q2" i="5" s="1"/>
  <c r="AE2" i="6" l="1"/>
  <c r="E32" i="3"/>
  <c r="F32" i="3" s="1"/>
  <c r="C11" i="3"/>
  <c r="C12" i="3" s="1"/>
  <c r="F18" i="2"/>
  <c r="AN2" i="6" l="1"/>
  <c r="F19" i="2"/>
  <c r="C16" i="2" l="1"/>
  <c r="C16" i="3"/>
  <c r="C15" i="3"/>
  <c r="C28" i="3"/>
  <c r="T2" i="5"/>
</calcChain>
</file>

<file path=xl/sharedStrings.xml><?xml version="1.0" encoding="utf-8"?>
<sst xmlns="http://schemas.openxmlformats.org/spreadsheetml/2006/main" count="1851" uniqueCount="1053">
  <si>
    <t>GESTIONE COMMESSE ESG – versione 4.0</t>
  </si>
  <si>
    <t>Il prezzo di vendita si COSTRUISCE dalle ore stimate per risorsa. Tariffe per livello.</t>
  </si>
  <si>
    <t>COME SI COSTRUISCE IL PREZZO DI VENDITA</t>
  </si>
  <si>
    <t>Principio</t>
  </si>
  <si>
    <t>Il prezzo è un RISULTATO, non un dato da inserire. Si costruisce da due componenti e il file lo calcola.</t>
  </si>
  <si>
    <t>1. Prezzo consulenti</t>
  </si>
  <si>
    <t>Costo del fornitore x markup. Il markup si inserisce servizio per servizio (tipicamente 1,3).</t>
  </si>
  <si>
    <t>2. Prezzo ore</t>
  </si>
  <si>
    <t>Per ogni persona assegnata: ore stimate x tariffa venduta del suo livello. La somma è il prezzo delle ore.</t>
  </si>
  <si>
    <t>PREZZO CALCOLATO</t>
  </si>
  <si>
    <t>Prezzo consulenti + prezzo ore. È il prezzo da proporre in offerta.</t>
  </si>
  <si>
    <t>Prezzo contrattualizzato</t>
  </si>
  <si>
    <t>Quello effettivamente firmato dal cliente. La differenza con il calcolato è lo SCONTO concesso in negoziazione.</t>
  </si>
  <si>
    <t>Margine</t>
  </si>
  <si>
    <t>Prezzo contrattualizzato meno costo fornitori meno (ore x costo interno del livello).</t>
  </si>
  <si>
    <t>Fee di registrazione</t>
  </si>
  <si>
    <t>NON entrano in questo file: partite di giro pagate dal cliente o anticipate e riaddebitate.</t>
  </si>
  <si>
    <t>TARIFFE PER LIVELLO</t>
  </si>
  <si>
    <t>Dove si impostano</t>
  </si>
  <si>
    <t>Foglio LISTE, tabella in alto a destra: per ogni livello si indica costo orario interno e tariffa venduta al cliente.</t>
  </si>
  <si>
    <t>Livelli predefiniti</t>
  </si>
  <si>
    <t>Head of ESG, Senior, Consulente, Junior. Ci sono righe libere per aggiungerne altri.</t>
  </si>
  <si>
    <t>Come si collegano</t>
  </si>
  <si>
    <t>Nel foglio TEAM ogni persona riceve un livello; costo e tariffa vengono presi automaticamente da lì.</t>
  </si>
  <si>
    <t>Vantaggio</t>
  </si>
  <si>
    <t>Per aggiornare le tariffe di tutti i senior si modifica una sola riga nel foglio LISTE.</t>
  </si>
  <si>
    <t>GESTIONE PER RISORSA</t>
  </si>
  <si>
    <t>TEAM</t>
  </si>
  <si>
    <t>Anagrafica delle persone con costo orario e tariffa venduta individuali. Alimenta tutti i calcoli.</t>
  </si>
  <si>
    <t>ASSEGNAZIONI</t>
  </si>
  <si>
    <t>Una riga per ogni persona assegnata a un servizio, con il proprio budget ore. La somma deve pareggiare il budget del servizio.</t>
  </si>
  <si>
    <t>Verifica individuale</t>
  </si>
  <si>
    <t>Per ogni risorsa il file calcola consuntivo, ETC, EAC, scostamento, costo e valore venduto. Foglio CONTROLLO_ORE, sezione 2.</t>
  </si>
  <si>
    <t>Previsione trimestrale</t>
  </si>
  <si>
    <t>L'ETC si rileva per singola persona su singolo servizio, non in blocco. Lo storico resta in PREVISIONE_ORE.</t>
  </si>
  <si>
    <t>Carico del team</t>
  </si>
  <si>
    <t>CONTROLLO_ORE sezione 3: ore per mese e per persona, con saturazione sulle ore disponibili annue.</t>
  </si>
  <si>
    <t>ORDINE DI CARICAMENTO</t>
  </si>
  <si>
    <t>1. LISTE</t>
  </si>
  <si>
    <t>Parametri generali: tariffe di riferimento, soglie ODA, ricarico minimo atteso.</t>
  </si>
  <si>
    <t>2. TEAM</t>
  </si>
  <si>
    <t>Le persone della BU con costo orario e tariffa venduta individuali.</t>
  </si>
  <si>
    <t>3. FORNITORI</t>
  </si>
  <si>
    <t>Anagrafica consulenti esterni e laboratori.</t>
  </si>
  <si>
    <t>4. COMMESSE</t>
  </si>
  <si>
    <t>Contenitore contrattuale: cliente, edificio, valore totale.</t>
  </si>
  <si>
    <t>5. SERVIZI</t>
  </si>
  <si>
    <t>Un servizio per riga: costo consulenti previsto, markup, prezzo contrattualizzato.</t>
  </si>
  <si>
    <t>6. ASSEGNAZIONI</t>
  </si>
  <si>
    <t>PASSAGGIO CHIAVE: chi lavora su cosa e per quante ore stimate. Da qui nasce il prezzo delle ore.</t>
  </si>
  <si>
    <t>7. FASI</t>
  </si>
  <si>
    <t>Generate dal template tramite macro.</t>
  </si>
  <si>
    <t>8. SAL</t>
  </si>
  <si>
    <t>Milestone di incasso con percentuale e fase trigger.</t>
  </si>
  <si>
    <t>9. ODA</t>
  </si>
  <si>
    <t>Ordini ai consulenti, con costo e importo ribaltato.</t>
  </si>
  <si>
    <t>10. ORE</t>
  </si>
  <si>
    <t>Import mensile dal timesheet, per persona.</t>
  </si>
  <si>
    <t>11. PREVISIONE_ORE</t>
  </si>
  <si>
    <t>Prima rilevazione ETC per ogni coppia servizio/persona.</t>
  </si>
  <si>
    <t>GLI ALERT DEL SERVIZIO</t>
  </si>
  <si>
    <t>MARGINE CRITICO</t>
  </si>
  <si>
    <t>Margine a finire sotto il 10%.</t>
  </si>
  <si>
    <t>RICARICO CONSULENTI BASSO</t>
  </si>
  <si>
    <t>Il ricarico previsto sui consulenti è sotto il minimo atteso (parametro in LISTE).</t>
  </si>
  <si>
    <t>SCONTO OLTRE SOGLIA</t>
  </si>
  <si>
    <t>Lo sconto concesso in negoziazione supera la soglia impostata in LISTE.</t>
  </si>
  <si>
    <t>ORE OLTRE LA STIMA</t>
  </si>
  <si>
    <t>L'EAC supera le ore stimate in offerta: sforamento in esecuzione.</t>
  </si>
  <si>
    <t>RISORSE NON ASSEGNATE</t>
  </si>
  <si>
    <t>Nessuna persona assegnata: il prezzo delle ore è a zero e il servizio non è prezzato.</t>
  </si>
  <si>
    <t>SAL DA EMETTERE</t>
  </si>
  <si>
    <t>Una fase trigger ha raggiunto il 100% e la fattura non è stata emessa.</t>
  </si>
  <si>
    <t>RITMO DI AGGIORNAMENTO</t>
  </si>
  <si>
    <t>Settimanale</t>
  </si>
  <si>
    <t>Avanzamento fasi. Stato degli ODA.</t>
  </si>
  <si>
    <t>Mensile</t>
  </si>
  <si>
    <t>Import ore. Revisione CONTROLLO_ORE sezioni 1 e 2. Verifica SAL emettibili.</t>
  </si>
  <si>
    <t>Trimestrale</t>
  </si>
  <si>
    <t>Previsione ETC per ogni coppia servizio/persona, da consegnare all'amministrazione.</t>
  </si>
  <si>
    <t>A evento</t>
  </si>
  <si>
    <t>Nuova commessa, nuovo servizio, assegnazione risorse, nuovo ODA, emissione fattura.</t>
  </si>
  <si>
    <t>LIMITI NOTI</t>
  </si>
  <si>
    <t>Righe pre-formulate</t>
  </si>
  <si>
    <t>Formule fino alla riga 201 di ogni tabella; le macro estendono automaticamente oltre.</t>
  </si>
  <si>
    <t>Multiutenza</t>
  </si>
  <si>
    <t>Con 4 persone su file condiviso, evitare l'apertura simultanea in scrittura.</t>
  </si>
  <si>
    <t>Notifiche</t>
  </si>
  <si>
    <t>Excel non invia notifiche automatiche: i SAL emettibili si vedono aprendo il DASHBOARD.</t>
  </si>
  <si>
    <t>Assunzioni</t>
  </si>
  <si>
    <t>Tariffe di riferimento 38/61,88 €/h, soglie ODA 5.000/15.000 €, ricarico minimo 25%: da tarare.</t>
  </si>
  <si>
    <t>MASCHERA DI CONTROLLO E INSERIMENTO DATI</t>
  </si>
  <si>
    <t>Celle GIALLE = da compilare.  Celle GRIGIE = calcolate, non modificare.  Il prezzo di vendita si costruisce dalle ore stimate per risorsa (blocco 5).</t>
  </si>
  <si>
    <t xml:space="preserve">  1 · PANNELLO DI CONTROLLO SERVIZIO</t>
  </si>
  <si>
    <t>Seleziona il codice servizio:</t>
  </si>
  <si>
    <t>Commessa</t>
  </si>
  <si>
    <t>Costo consulenti previsto</t>
  </si>
  <si>
    <t>ORE STIMATE (somma risorse)</t>
  </si>
  <si>
    <t>Servizio</t>
  </si>
  <si>
    <t>Markup applicato</t>
  </si>
  <si>
    <t>Ore consuntivate</t>
  </si>
  <si>
    <t>Variante</t>
  </si>
  <si>
    <t>Prezzo consulenti</t>
  </si>
  <si>
    <t>Ore consumate %</t>
  </si>
  <si>
    <t>Project Manager</t>
  </si>
  <si>
    <t>Prezzo ore (da assegnazioni)</t>
  </si>
  <si>
    <t>Avanzamento fasi %</t>
  </si>
  <si>
    <t>Stato</t>
  </si>
  <si>
    <t>ETC – ore ancora da fare</t>
  </si>
  <si>
    <t>Data avvio</t>
  </si>
  <si>
    <t>EAC – ore a finire</t>
  </si>
  <si>
    <t>Data fine prevista</t>
  </si>
  <si>
    <t>Sconto concesso</t>
  </si>
  <si>
    <t>Scostamento vs stima</t>
  </si>
  <si>
    <t>Sconto %</t>
  </si>
  <si>
    <t>Costo consulenti impegnato</t>
  </si>
  <si>
    <t>Cliente / Asset</t>
  </si>
  <si>
    <t>Costo ore a finire</t>
  </si>
  <si>
    <t>Markup effettivo</t>
  </si>
  <si>
    <t>SEMAFORO SERVIZIO</t>
  </si>
  <si>
    <t>Costo consulenti a finire</t>
  </si>
  <si>
    <t>Fatturato al cliente</t>
  </si>
  <si>
    <t>Fasi in ritardo</t>
  </si>
  <si>
    <t>COSTO TOTALE A FINIRE</t>
  </si>
  <si>
    <t>Incassato</t>
  </si>
  <si>
    <t>SAL emettibili (importo)</t>
  </si>
  <si>
    <t>MARGINE A FINIRE</t>
  </si>
  <si>
    <t>Da fatturare</t>
  </si>
  <si>
    <t>N° risorse assegnate</t>
  </si>
  <si>
    <t>Margine %</t>
  </si>
  <si>
    <t xml:space="preserve">  di cui margine ore</t>
  </si>
  <si>
    <t>Il prezzo calcolato nasce dalle ore stimate per risorsa. Lo scarto con il contrattualizzato è lo sconto concesso in negoziazione.</t>
  </si>
  <si>
    <t xml:space="preserve">  di cui margine consulenti</t>
  </si>
  <si>
    <t>Esposizione di cassa</t>
  </si>
  <si>
    <t xml:space="preserve">  2 · NUOVO ODA CONSULENTE  →  scrive nel foglio ODA</t>
  </si>
  <si>
    <t>Numero ODA</t>
  </si>
  <si>
    <t>Numero ODA proposto:</t>
  </si>
  <si>
    <t>Costo consulenti già impegnato:</t>
  </si>
  <si>
    <t>Codice servizio</t>
  </si>
  <si>
    <t>Fornitore</t>
  </si>
  <si>
    <t>Markup applicato:</t>
  </si>
  <si>
    <t>Costo consulenti previsto:</t>
  </si>
  <si>
    <t>Categoria</t>
  </si>
  <si>
    <t>Descrizione prestazione</t>
  </si>
  <si>
    <t>Margine sull'ODA:</t>
  </si>
  <si>
    <t>Residuo dopo questo ODA:</t>
  </si>
  <si>
    <t>Fase di riferimento</t>
  </si>
  <si>
    <t>COSTO consulente (€)</t>
  </si>
  <si>
    <t>Markup previsto sul servizio:</t>
  </si>
  <si>
    <t>Prezzo consulenti a listino:</t>
  </si>
  <si>
    <t>RIBALTATO al cliente (€)</t>
  </si>
  <si>
    <t>Livello di approvazione:</t>
  </si>
  <si>
    <t>Data emissione</t>
  </si>
  <si>
    <t>Data prestazione prevista</t>
  </si>
  <si>
    <t>→ Pulsante «SALVA ODA» qui (macro SalvaODA).</t>
  </si>
  <si>
    <t>Approvatore</t>
  </si>
  <si>
    <t>Importo già fatturato (€)</t>
  </si>
  <si>
    <t>Note</t>
  </si>
  <si>
    <t xml:space="preserve">  3 · NUOVA COMMESSA  →  scrive nel foglio COMMESSE</t>
  </si>
  <si>
    <t>Codice commessa</t>
  </si>
  <si>
    <t>Codice proposto:</t>
  </si>
  <si>
    <t>Cliente</t>
  </si>
  <si>
    <t>Asset / Edificio</t>
  </si>
  <si>
    <t>La commessa è il contenitore contrattuale. I servizi si aggiungono con il blocco 4.</t>
  </si>
  <si>
    <t>Referente cliente</t>
  </si>
  <si>
    <t>→ Pulsante «NUOVA COMMESSA» qui (macro NuovaCommessa).</t>
  </si>
  <si>
    <t>Valore contratto totale (€)</t>
  </si>
  <si>
    <t xml:space="preserve">  4 · NUOVO SERVIZIO  →  scrive in SERVIZI e genera le FASI</t>
  </si>
  <si>
    <t>Codice servizio proposto:</t>
  </si>
  <si>
    <t>N° fasi dal template:</t>
  </si>
  <si>
    <t>Prezzo consulenti (costo x markup):</t>
  </si>
  <si>
    <t>Il prezzo delle ore non si inserisce qui: si costruisce assegnando le risorse nel blocco 5. Il PREZZO CALCOLATO comparirà nel pannello 1 al termine.</t>
  </si>
  <si>
    <t>Margine sui consulenti:</t>
  </si>
  <si>
    <t>Template fasi</t>
  </si>
  <si>
    <t>Se il prezzo contrattualizzato è già noto, inseriscilo: il file calcolerà lo sconto rispetto al prezzo che risulta dalle ore stimate.</t>
  </si>
  <si>
    <t>Valore contratto commessa:</t>
  </si>
  <si>
    <t>Costo consulenti previsto (€)</t>
  </si>
  <si>
    <t>Prezzi già attribuiti:</t>
  </si>
  <si>
    <t>Markup (es. 1,3)</t>
  </si>
  <si>
    <t>Prezzo contrattualizzato (€)</t>
  </si>
  <si>
    <t>Residuo da attribuire:</t>
  </si>
  <si>
    <t>→ Pulsante «NUOVO SERVIZIO» qui (macro NuovoServizio).</t>
  </si>
  <si>
    <t xml:space="preserve">  5 · ASSEGNA RISORSA E STIMA ORE  →  costruisce il prezzo del servizio</t>
  </si>
  <si>
    <t>Livello della risorsa:</t>
  </si>
  <si>
    <t>Ore già stimate sul servizio:</t>
  </si>
  <si>
    <t>Persona</t>
  </si>
  <si>
    <t>Costo orario interno:</t>
  </si>
  <si>
    <t>Prezzo ore già costruito:</t>
  </si>
  <si>
    <t>Ruolo nel progetto</t>
  </si>
  <si>
    <t>Tariffa venduta:</t>
  </si>
  <si>
    <t>Prezzo consulenti del servizio:</t>
  </si>
  <si>
    <t>ORE STIMATE per questa persona</t>
  </si>
  <si>
    <t>PREZZO di questa assegnazione:</t>
  </si>
  <si>
    <t>PREZZO TOTALE dopo questa aggiunta:</t>
  </si>
  <si>
    <t>Costo di questa assegnazione:</t>
  </si>
  <si>
    <t>Prezzo contrattualizzato:</t>
  </si>
  <si>
    <t>Margine di questa assegnazione:</t>
  </si>
  <si>
    <t>Scarto vs contrattualizzato:</t>
  </si>
  <si>
    <t>Ore già assegnate alla persona:</t>
  </si>
  <si>
    <t>→ Pulsante «ASSEGNA RISORSA» qui (macro SalvaAssegnazione).</t>
  </si>
  <si>
    <t xml:space="preserve">  6 · AVANZAMENTO FASE  →  aggiorna il foglio FASI</t>
  </si>
  <si>
    <t>→ Pulsante «AGGIORNA FASE» qui (macro AggiornaFase).</t>
  </si>
  <si>
    <t>Fase (numero d'ordine o testo)</t>
  </si>
  <si>
    <t>Nuovo avanzamento % (0–100)</t>
  </si>
  <si>
    <t>Puoi scrivere il numero d'ordine della fase (es. 4) oppure una parte del nome. Portando una fase al 100%, i SAL collegati diventano EMETTIBILI.</t>
  </si>
  <si>
    <t>Data effettiva completamento</t>
  </si>
  <si>
    <t xml:space="preserve">  7 · PREVISIONE ORE TRIMESTRALE (ETC) PER RISORSA  →  scrive in PREVISIONE_ORE</t>
  </si>
  <si>
    <t>Ore consuntivate della risorsa:</t>
  </si>
  <si>
    <t>Ore stimate del servizio:</t>
  </si>
  <si>
    <t>Ore stimate della risorsa:</t>
  </si>
  <si>
    <t>EAC totale del servizio:</t>
  </si>
  <si>
    <t>Data rilevazione</t>
  </si>
  <si>
    <t>EAC della risorsa:</t>
  </si>
  <si>
    <t>Prezzo ore del servizio:</t>
  </si>
  <si>
    <t>Trimestre (es. 2026-Q2)</t>
  </si>
  <si>
    <t>Scostamento della risorsa:</t>
  </si>
  <si>
    <t>Ricavo orario effettivo:</t>
  </si>
  <si>
    <t>Ore ancora da fare (ETC)</t>
  </si>
  <si>
    <t>Impatto sul margine:</t>
  </si>
  <si>
    <t>Rilevato da</t>
  </si>
  <si>
    <t>Il ricavo orario effettivo confronta il prezzo delle ore con le ore realmente necessarie: se scende sotto il costo interno, il servizio perde sulle ore.</t>
  </si>
  <si>
    <t>→ Pulsante «SALVA PREVISIONE» qui (macro SalvaPrevisione).</t>
  </si>
  <si>
    <t>CRUSCOTTO DIREZIONALE</t>
  </si>
  <si>
    <t>Tutti i valori si aggiornano automaticamente. Nessuna cella da compilare.</t>
  </si>
  <si>
    <t>PORTAFOGLIO</t>
  </si>
  <si>
    <t>CONSULENTI ESTERNI</t>
  </si>
  <si>
    <t>Commesse attive</t>
  </si>
  <si>
    <t>Servizi attivi</t>
  </si>
  <si>
    <t>Prezzo consulenti a listino</t>
  </si>
  <si>
    <t>Prezzo calcolato (da ore + consulenti)</t>
  </si>
  <si>
    <t>Markup medio previsto</t>
  </si>
  <si>
    <t>Costo consulenti impegnato (ODA)</t>
  </si>
  <si>
    <t>SCONTO CONCESSO</t>
  </si>
  <si>
    <t>Ribaltato al cliente (ODA)</t>
  </si>
  <si>
    <t>Sconto medio %</t>
  </si>
  <si>
    <t>Markup effettivo sugli ODA</t>
  </si>
  <si>
    <t>Margine a finire complessivo</t>
  </si>
  <si>
    <t>ODA in attesa di approvazione</t>
  </si>
  <si>
    <t>Margine % medio ponderato</t>
  </si>
  <si>
    <t>CARICO DEL TEAM</t>
  </si>
  <si>
    <t>Ore disponibili/anno (team attivo)</t>
  </si>
  <si>
    <t>Servizi con margine critico</t>
  </si>
  <si>
    <t>EAC ore portafoglio attivo</t>
  </si>
  <si>
    <t>Servizi con sconto oltre soglia</t>
  </si>
  <si>
    <t>Saturazione su ore disponibili</t>
  </si>
  <si>
    <t>Risorse in sforamento</t>
  </si>
  <si>
    <t>GESTIONE ORE</t>
  </si>
  <si>
    <t>Assegnazioni attive</t>
  </si>
  <si>
    <t>Ore STIMATE (offerta)</t>
  </si>
  <si>
    <t>FATTURAZIONE E CASSA</t>
  </si>
  <si>
    <t>SAL EMETTIBILI (da fatturare subito)</t>
  </si>
  <si>
    <t>EAC – ore totali a finire</t>
  </si>
  <si>
    <t>SAL emettibili (n°)</t>
  </si>
  <si>
    <t>Scostamento EAC vs stima</t>
  </si>
  <si>
    <t>Fatture emesse non incassate</t>
  </si>
  <si>
    <t>Prezzo ore complessivo</t>
  </si>
  <si>
    <t>Fatture scadute</t>
  </si>
  <si>
    <t>Esposizione di cassa complessiva</t>
  </si>
  <si>
    <t>Ricavo orario effettivo</t>
  </si>
  <si>
    <t>Servizi oltre la stima ore</t>
  </si>
  <si>
    <t>AVANZAMENTO E PIPELINE</t>
  </si>
  <si>
    <t>Servizi senza risorse assegnate</t>
  </si>
  <si>
    <t>Ritardo medio (giorni)</t>
  </si>
  <si>
    <t>RIPARTIZIONE PER SERVIZIO (servizi attivi)</t>
  </si>
  <si>
    <t>Offerte aperte (valore)</t>
  </si>
  <si>
    <t>N°</t>
  </si>
  <si>
    <t>Prezzo</t>
  </si>
  <si>
    <t>Ore stimate</t>
  </si>
  <si>
    <t>EAC ore</t>
  </si>
  <si>
    <t>WiredScore</t>
  </si>
  <si>
    <t>BREEAM</t>
  </si>
  <si>
    <t>Fitwel</t>
  </si>
  <si>
    <t>CRREM</t>
  </si>
  <si>
    <t>Access4You</t>
  </si>
  <si>
    <t>Consulenza ESG</t>
  </si>
  <si>
    <t>CONTROLLO ORE</t>
  </si>
  <si>
    <t>Vista di sintesi per servizio e per risorsa. Nessuna cella da compilare.</t>
  </si>
  <si>
    <t>1 · SITUAZIONE PER SERVIZIO</t>
  </si>
  <si>
    <t>Codice_Servizio</t>
  </si>
  <si>
    <t>PM</t>
  </si>
  <si>
    <t>Ore_Stimate</t>
  </si>
  <si>
    <t>Consuntivo</t>
  </si>
  <si>
    <t>Consumate_%</t>
  </si>
  <si>
    <t>Avanzam_%</t>
  </si>
  <si>
    <t>Delta</t>
  </si>
  <si>
    <t>ETC</t>
  </si>
  <si>
    <t>EAC</t>
  </si>
  <si>
    <t>Scost_Stima</t>
  </si>
  <si>
    <t>Prezzo_Ore</t>
  </si>
  <si>
    <t>Costo_Ore_Fin</t>
  </si>
  <si>
    <t>Margine_Ore</t>
  </si>
  <si>
    <t>Semaforo</t>
  </si>
  <si>
    <t>2 · SITUAZIONE PER RISORSA (verifica individuale)</t>
  </si>
  <si>
    <t>Livello</t>
  </si>
  <si>
    <t>Scostamento</t>
  </si>
  <si>
    <t>Prezzo_Stimato</t>
  </si>
  <si>
    <t>Costo_EAC</t>
  </si>
  <si>
    <t>Alert</t>
  </si>
  <si>
    <t>3 · ORE PER MESE E PER PERSONA (carico del team)</t>
  </si>
  <si>
    <t>Primo mese della griglia:</t>
  </si>
  <si>
    <t>Cella gialla: modificare per far scorrere la finestra temporale.</t>
  </si>
  <si>
    <t>Ore disp./anno</t>
  </si>
  <si>
    <t>Totale periodo</t>
  </si>
  <si>
    <t>Saturazione %</t>
  </si>
  <si>
    <t>Codice_Commessa</t>
  </si>
  <si>
    <t>Referente_Cliente</t>
  </si>
  <si>
    <t>Data_Avvio</t>
  </si>
  <si>
    <t>Data_Fine_Prevista</t>
  </si>
  <si>
    <t>Valore_Contratto</t>
  </si>
  <si>
    <t>N_Servizi</t>
  </si>
  <si>
    <t>Somma_Prezzi_Servizi</t>
  </si>
  <si>
    <t>Quadratura</t>
  </si>
  <si>
    <t>Prezzo_Calcolato_Totale</t>
  </si>
  <si>
    <t>Sconto_Totale</t>
  </si>
  <si>
    <t>Costo_Totale_a_Finire</t>
  </si>
  <si>
    <t>Margine_a_Finire</t>
  </si>
  <si>
    <t>Margine_%</t>
  </si>
  <si>
    <t>Da_Fatturare</t>
  </si>
  <si>
    <t>Attiva</t>
  </si>
  <si>
    <t>Project_Manager</t>
  </si>
  <si>
    <t>Template_Fasi</t>
  </si>
  <si>
    <t>Costo_Consulenti_Prev</t>
  </si>
  <si>
    <t>Markup</t>
  </si>
  <si>
    <t>Prezzo_Consulenti</t>
  </si>
  <si>
    <t>Costo_Ore_Stimato</t>
  </si>
  <si>
    <t>PREZZO_CALCOLATO</t>
  </si>
  <si>
    <t>Prezzo_Contrattualizzato</t>
  </si>
  <si>
    <t>Sconto</t>
  </si>
  <si>
    <t>Sconto_%</t>
  </si>
  <si>
    <t>Costo_Consulenti_Impegnato</t>
  </si>
  <si>
    <t>Fatturato_Consulenti</t>
  </si>
  <si>
    <t>Markup_Effettivo</t>
  </si>
  <si>
    <t>Ore_Consuntivo</t>
  </si>
  <si>
    <t>Ore_ETC</t>
  </si>
  <si>
    <t>Ore_EAC</t>
  </si>
  <si>
    <t>Scostamento_Ore</t>
  </si>
  <si>
    <t>Costo_Ore_a_Finire</t>
  </si>
  <si>
    <t>Costo_Consulenti_a_Finire</t>
  </si>
  <si>
    <t>Margine_Consulenti</t>
  </si>
  <si>
    <t>Avanzamento_Fasi_%</t>
  </si>
  <si>
    <t>Ore_Consumate_%</t>
  </si>
  <si>
    <t>Fatturato_Cliente</t>
  </si>
  <si>
    <t>Esposizione_Cassa</t>
  </si>
  <si>
    <t>PREZZO_CALCOLATO = prezzo consulenti (costo x markup) + prezzo ore (somma da ASSEGNAZIONI).</t>
  </si>
  <si>
    <t>LEED BD+C</t>
  </si>
  <si>
    <t>Prezzo_Contrattualizzato = quanto effettivamente firmato dal cliente. La differenza è lo sconto concesso.</t>
  </si>
  <si>
    <t>WELL C&amp;S</t>
  </si>
  <si>
    <t>ID_Assegnazione</t>
  </si>
  <si>
    <t>Ruolo_nel_progetto</t>
  </si>
  <si>
    <t>Costo_Orario</t>
  </si>
  <si>
    <t>Tariffa_Venduta</t>
  </si>
  <si>
    <t>Prezzo_Ore_Stimate</t>
  </si>
  <si>
    <t>Margine_Stimato</t>
  </si>
  <si>
    <t>ETC_da_fare</t>
  </si>
  <si>
    <t>EAC_a_finire</t>
  </si>
  <si>
    <t>Valore_EAC</t>
  </si>
  <si>
    <t>Alert_Risorsa</t>
  </si>
  <si>
    <t>Le ORE STIMATE sono il dato di partenza di tutto: da qui si costruisce il prezzo di vendita del servizio.</t>
  </si>
  <si>
    <t>ASG-001</t>
  </si>
  <si>
    <t>Prezzo = ore stimate x tariffa venduta del livello.  Costo = ore stimate x costo interno del livello.</t>
  </si>
  <si>
    <t>Head of ESG</t>
  </si>
  <si>
    <t>Supervisione</t>
  </si>
  <si>
    <t>Redazione documentale</t>
  </si>
  <si>
    <t>Analisi dati</t>
  </si>
  <si>
    <t>ID_Fase</t>
  </si>
  <si>
    <t>Ordine</t>
  </si>
  <si>
    <t>Fase</t>
  </si>
  <si>
    <t>Template</t>
  </si>
  <si>
    <t>Responsabile</t>
  </si>
  <si>
    <t>Data_Baseline</t>
  </si>
  <si>
    <t>Data_Pianificata</t>
  </si>
  <si>
    <t>Data_Effettiva</t>
  </si>
  <si>
    <t>Fase_Precedente</t>
  </si>
  <si>
    <t>Milestone_Contrattuale</t>
  </si>
  <si>
    <t>Avanzamento_%</t>
  </si>
  <si>
    <t>Quota_Ore_%</t>
  </si>
  <si>
    <t>Ore_Indicative_Fase</t>
  </si>
  <si>
    <t>Deliverable</t>
  </si>
  <si>
    <t>SAL_Collegato</t>
  </si>
  <si>
    <t>Stato_Calcolato</t>
  </si>
  <si>
    <t>Giorni_Ritardo</t>
  </si>
  <si>
    <t>Scostamento_Baseline_gg</t>
  </si>
  <si>
    <t>Ore_Consuntivo_Fase</t>
  </si>
  <si>
    <t>Alert_Fase</t>
  </si>
  <si>
    <t>Ore_Indicative_Fase = quota % del template applicata alle ore stimate del servizio. Solo informativa.</t>
  </si>
  <si>
    <t>FAS-001</t>
  </si>
  <si>
    <t>Fase Design – gap analysis e credit strategy</t>
  </si>
  <si>
    <t>Registrazione progetto su LEED Online</t>
  </si>
  <si>
    <t>Sì</t>
  </si>
  <si>
    <t>Scorecard consolidata + report strategia crediti</t>
  </si>
  <si>
    <t>La stima operativa delle ore si fa per persona nel foglio ASSEGNAZIONI.</t>
  </si>
  <si>
    <t>ID_SAL</t>
  </si>
  <si>
    <t>Tipo</t>
  </si>
  <si>
    <t>Descrizione</t>
  </si>
  <si>
    <t>Base</t>
  </si>
  <si>
    <t>Percentuale</t>
  </si>
  <si>
    <t>Importo_Fisso</t>
  </si>
  <si>
    <t>Importo</t>
  </si>
  <si>
    <t>Fase_Trigger</t>
  </si>
  <si>
    <t>Avanzamento_Trigger</t>
  </si>
  <si>
    <t>Stato_Emissione</t>
  </si>
  <si>
    <t>Data_Prevista</t>
  </si>
  <si>
    <t>Data_Emissione</t>
  </si>
  <si>
    <t>Numero_Fattura</t>
  </si>
  <si>
    <t>Stato_Incasso</t>
  </si>
  <si>
    <t>Data_Incasso</t>
  </si>
  <si>
    <t>Giorni_Scaduto</t>
  </si>
  <si>
    <t>Acconto</t>
  </si>
  <si>
    <t>Incassata</t>
  </si>
  <si>
    <t>SAL intermedio</t>
  </si>
  <si>
    <t>Design Review submission</t>
  </si>
  <si>
    <t>Da emettere</t>
  </si>
  <si>
    <t>Numero_ODA</t>
  </si>
  <si>
    <t>Descrizione_Prestazione</t>
  </si>
  <si>
    <t>Fase_Riferimento</t>
  </si>
  <si>
    <t>Costo_Consulente</t>
  </si>
  <si>
    <t>Ribaltato_al_Cliente</t>
  </si>
  <si>
    <t>Ricarico_%</t>
  </si>
  <si>
    <t>Margine_ODA</t>
  </si>
  <si>
    <t>Data_Prestazione_Prevista</t>
  </si>
  <si>
    <t>Importo_Fatturato</t>
  </si>
  <si>
    <t>Residuo_da_Fatturare</t>
  </si>
  <si>
    <t>Costo_Impegnato</t>
  </si>
  <si>
    <t>Livello_Approvazione</t>
  </si>
  <si>
    <t>Costo_Consulente = quanto paghiamo al fornitore. Ribaltato_al_Cliente = quanto di quel costo è compreso nel prezzo di vendita.</t>
  </si>
  <si>
    <t>Commissioning Agent</t>
  </si>
  <si>
    <t>Emesso</t>
  </si>
  <si>
    <t>Il ricarico è variabile e si calcola da sé. Le fee degli enti certificatori NON vanno registrate qui.</t>
  </si>
  <si>
    <t>Mese</t>
  </si>
  <si>
    <t>Ore</t>
  </si>
  <si>
    <t>Costo</t>
  </si>
  <si>
    <t>Fonte</t>
  </si>
  <si>
    <t>Mese in formato testo AAAA-MM (es. 2026-03). Import mensile dal sistema timesheet.</t>
  </si>
  <si>
    <t>Il costo orario è preso automaticamente dal foglio TEAM in base alla persona.</t>
  </si>
  <si>
    <t>ID_Previsione</t>
  </si>
  <si>
    <t>Data_Rilevazione</t>
  </si>
  <si>
    <t>Trimestre</t>
  </si>
  <si>
    <t>Ore_Consuntivo_a_Data</t>
  </si>
  <si>
    <t>Ore_Da_Fare_ETC</t>
  </si>
  <si>
    <t>Budget_Ore</t>
  </si>
  <si>
    <t>Vigente</t>
  </si>
  <si>
    <t>Rilevato_da</t>
  </si>
  <si>
    <t>Una riga per servizio, persona e trimestre. Solo la rilevazione più recente ha Vigente = Sì.</t>
  </si>
  <si>
    <t>La macro SalvaPrevisione archivia automaticamente le rilevazioni precedenti della stessa coppia servizio/persona.</t>
  </si>
  <si>
    <t>Margine_Orario</t>
  </si>
  <si>
    <t>Ore_Disponibili_Anno</t>
  </si>
  <si>
    <t>Attivo</t>
  </si>
  <si>
    <t>Assegna a ogni persona un livello: costo interno e tariffa venduta arrivano dalla tabella del foglio LISTE.</t>
  </si>
  <si>
    <t>Per cambiare le tariffe di un livello, si modifica una sola volta in LISTE e si aggiorna tutto.</t>
  </si>
  <si>
    <t>Senior</t>
  </si>
  <si>
    <t>Consulente</t>
  </si>
  <si>
    <t>Junior</t>
  </si>
  <si>
    <t>ID_Fornitore</t>
  </si>
  <si>
    <t>Ragione_Sociale</t>
  </si>
  <si>
    <t>Referente</t>
  </si>
  <si>
    <t>Email</t>
  </si>
  <si>
    <t>Telefono</t>
  </si>
  <si>
    <t>Condizioni_Pagamento</t>
  </si>
  <si>
    <t>P_IVA</t>
  </si>
  <si>
    <t>FOR-001</t>
  </si>
  <si>
    <t>30 gg d.f.f.m.</t>
  </si>
  <si>
    <t>ID_Offerta</t>
  </si>
  <si>
    <t>Servizi_Proposti</t>
  </si>
  <si>
    <t>Versione</t>
  </si>
  <si>
    <t>Probabilità_%</t>
  </si>
  <si>
    <t>Valore_Ponderato</t>
  </si>
  <si>
    <t>Data_Invio</t>
  </si>
  <si>
    <t>Data_Esito_Prevista</t>
  </si>
  <si>
    <t>Motivo_Perdita</t>
  </si>
  <si>
    <t>Codice_Commessa_Generato</t>
  </si>
  <si>
    <t>Vinta</t>
  </si>
  <si>
    <t>Deliverable atteso</t>
  </si>
  <si>
    <t>Durata_gg</t>
  </si>
  <si>
    <t>Preparazione offerta e presentazione</t>
  </si>
  <si>
    <t>Offerta tecnico-economica + scorecard preliminare</t>
  </si>
  <si>
    <t>No</t>
  </si>
  <si>
    <t>Kick-off meeting</t>
  </si>
  <si>
    <t>Verbale kick-off, cronoprogramma, matrice responsabilità</t>
  </si>
  <si>
    <t>Conferma registrazione GBCI</t>
  </si>
  <si>
    <t>Fase Design – redazione documentazione crediti</t>
  </si>
  <si>
    <t>Template LEED compilati e caricati</t>
  </si>
  <si>
    <t>Ricevuta submission GBCI</t>
  </si>
  <si>
    <t>Risposta commenti Design Review</t>
  </si>
  <si>
    <t>Documentazione integrativa</t>
  </si>
  <si>
    <t>Fase Construction – supporto cantiere</t>
  </si>
  <si>
    <t>Verbali sopralluogo, verifica schede materiali</t>
  </si>
  <si>
    <t>Fase Construction – raccolta dati e collaudi</t>
  </si>
  <si>
    <t>Report commissioning, IAQ, gestione rifiuti</t>
  </si>
  <si>
    <t>Construction Review submission</t>
  </si>
  <si>
    <t>Ricevuta submission finale</t>
  </si>
  <si>
    <t>Risposta commenti Construction Review</t>
  </si>
  <si>
    <t>Documentazione integrativa finale</t>
  </si>
  <si>
    <t>Certificazione ottenuta</t>
  </si>
  <si>
    <t>Certificato LEED + targa</t>
  </si>
  <si>
    <t>Chiusura commessa e lessons learned</t>
  </si>
  <si>
    <t>Consuntivo economico + archivio documentale</t>
  </si>
  <si>
    <t>Offerta + scorecard WELL preliminare</t>
  </si>
  <si>
    <t>Verbale kick-off e matrice responsabilità</t>
  </si>
  <si>
    <t>Registrazione progetto WELL Online</t>
  </si>
  <si>
    <t>Conferma enrollment IWBI</t>
  </si>
  <si>
    <t>Gap analysis Precondition / Optimization</t>
  </si>
  <si>
    <t>Digital Scorecard compilata</t>
  </si>
  <si>
    <t>Fase Design – integrazione requisiti nei progetti</t>
  </si>
  <si>
    <t>Note tecniche per progettisti + verifiche</t>
  </si>
  <si>
    <t>Documentation submission</t>
  </si>
  <si>
    <t>Ricevuta submission IWBI</t>
  </si>
  <si>
    <t>Risposta Documentation Review</t>
  </si>
  <si>
    <t>Preparazione Performance Verification</t>
  </si>
  <si>
    <t>Checklist pre-test e piano campionamenti</t>
  </si>
  <si>
    <t>Performance Verification on-site</t>
  </si>
  <si>
    <t>Report WELL Performance Testing Agent</t>
  </si>
  <si>
    <t>Risposta a Curative Action Plan</t>
  </si>
  <si>
    <t>Piano azioni correttive</t>
  </si>
  <si>
    <t>Certificato WELL</t>
  </si>
  <si>
    <t>Chiusura e pianificazione ricertificazione</t>
  </si>
  <si>
    <t>Promemoria scadenza 3 anni + consuntivo</t>
  </si>
  <si>
    <t>Preparazione offerta</t>
  </si>
  <si>
    <t>Offerta tecnico-economica</t>
  </si>
  <si>
    <t>Kick-off e raccolta documentazione</t>
  </si>
  <si>
    <t>Checklist documentale</t>
  </si>
  <si>
    <t>Building survey / sopralluogo</t>
  </si>
  <si>
    <t>Report sopralluogo infrastrutture</t>
  </si>
  <si>
    <t>Assessment e scorecard</t>
  </si>
  <si>
    <t>Scorecard WiredScore preliminare</t>
  </si>
  <si>
    <t>Submission a WiredScore</t>
  </si>
  <si>
    <t>Ricevuta submission</t>
  </si>
  <si>
    <t>Risposta commenti</t>
  </si>
  <si>
    <t>Rating ottenuto e chiusura</t>
  </si>
  <si>
    <t>Certificato + consuntivo</t>
  </si>
  <si>
    <t>Offerta + pre-assessment</t>
  </si>
  <si>
    <t>Kick-off e registrazione progetto</t>
  </si>
  <si>
    <t>Conferma registrazione BRE</t>
  </si>
  <si>
    <t>Pre-assessment formale</t>
  </si>
  <si>
    <t>Report pre-assessment con rating atteso</t>
  </si>
  <si>
    <t>Fase Design – raccolta evidenze</t>
  </si>
  <si>
    <t>Evidence pack Design Stage</t>
  </si>
  <si>
    <t>Design Stage Assessment submission</t>
  </si>
  <si>
    <t>Ricevuta submission BRE</t>
  </si>
  <si>
    <t>Fase Construction – monitoraggio</t>
  </si>
  <si>
    <t>Verbali e evidenze di cantiere</t>
  </si>
  <si>
    <t>Post Construction Assessment submission</t>
  </si>
  <si>
    <t>Evidence pack finale</t>
  </si>
  <si>
    <t>Certificazione ottenuta e chiusura</t>
  </si>
  <si>
    <t>Certificato BREEAM + consuntivo</t>
  </si>
  <si>
    <t>Kick-off e scorecard preliminare</t>
  </si>
  <si>
    <t>Fitwel Scorecard preliminare</t>
  </si>
  <si>
    <t>Raccolta evidenze e policy</t>
  </si>
  <si>
    <t>Pacchetto evidenze + policy aziendali</t>
  </si>
  <si>
    <t>Submission Fitwel</t>
  </si>
  <si>
    <t>Ricevuta submission CfAD</t>
  </si>
  <si>
    <t>Certificato Fitwel + consuntivo</t>
  </si>
  <si>
    <t>Kick-off e raccolta dati energetici</t>
  </si>
  <si>
    <t>Data request list + verbale kick-off</t>
  </si>
  <si>
    <t>Elaborazione baseline consumi ed emissioni</t>
  </si>
  <si>
    <t>Baseline energetica e di carbonio</t>
  </si>
  <si>
    <t>Analisi stranding e curve di decarbonizzazione</t>
  </si>
  <si>
    <t>Grafico CRREM con anno di stranding</t>
  </si>
  <si>
    <t>Definizione scenari di intervento</t>
  </si>
  <si>
    <t>Roadmap di decarbonizzazione con CAPEX</t>
  </si>
  <si>
    <t>Presentazione e chiusura</t>
  </si>
  <si>
    <t>Report finale + presentazione al cliente</t>
  </si>
  <si>
    <t>Preparazione offerta e proposta metodologica</t>
  </si>
  <si>
    <t>Offerta + piano di lavoro</t>
  </si>
  <si>
    <t>Kick-off e raccolta dati</t>
  </si>
  <si>
    <t>Analisi e benchmark</t>
  </si>
  <si>
    <t>Report di analisi intermedio</t>
  </si>
  <si>
    <t>Elaborazione deliverable principale</t>
  </si>
  <si>
    <t>Report/strategia ESG</t>
  </si>
  <si>
    <t>Presentazione al cliente e revisione</t>
  </si>
  <si>
    <t>Presentazione finale + verbale</t>
  </si>
  <si>
    <t>Chiusura commessa</t>
  </si>
  <si>
    <t>Consuntivo economico + archivio</t>
  </si>
  <si>
    <t>Quota_Ore_% distribuisce il budget ore del servizio sulle fasi. Somma = 100% per template.</t>
  </si>
  <si>
    <t>Stato_ODA</t>
  </si>
  <si>
    <t>Categoria_Fornitore</t>
  </si>
  <si>
    <t>Stato_Offerta</t>
  </si>
  <si>
    <t>Si_No</t>
  </si>
  <si>
    <t>Tipo_SAL</t>
  </si>
  <si>
    <t>Base_SAL</t>
  </si>
  <si>
    <t>Ruolo_progetto</t>
  </si>
  <si>
    <t>Offerta</t>
  </si>
  <si>
    <t>Richiesto</t>
  </si>
  <si>
    <t>In preparazione</t>
  </si>
  <si>
    <t>Costo_Orario_Interno</t>
  </si>
  <si>
    <t>Tariffa_Venduta_Cliente</t>
  </si>
  <si>
    <t>Approvato</t>
  </si>
  <si>
    <t>Laboratorio prove</t>
  </si>
  <si>
    <t>Inviata</t>
  </si>
  <si>
    <t>Emessa</t>
  </si>
  <si>
    <t>Importo fisso</t>
  </si>
  <si>
    <t>Sospesa</t>
  </si>
  <si>
    <t>Energy modeler</t>
  </si>
  <si>
    <t>In negoziazione</t>
  </si>
  <si>
    <t>Saldo</t>
  </si>
  <si>
    <t>In certificazione</t>
  </si>
  <si>
    <t>SmartScore</t>
  </si>
  <si>
    <t>Prestazione erogata</t>
  </si>
  <si>
    <t>Acustica</t>
  </si>
  <si>
    <t>Scaduta</t>
  </si>
  <si>
    <t>Extra</t>
  </si>
  <si>
    <t>Verifiche di cantiere</t>
  </si>
  <si>
    <t>Chiusa</t>
  </si>
  <si>
    <t>Fatturato</t>
  </si>
  <si>
    <t>Illuminotecnica</t>
  </si>
  <si>
    <t>Persa</t>
  </si>
  <si>
    <t>Contestata</t>
  </si>
  <si>
    <t>Pagato</t>
  </si>
  <si>
    <t>Indagini IAQ</t>
  </si>
  <si>
    <t>Ritirata</t>
  </si>
  <si>
    <t>Supporto</t>
  </si>
  <si>
    <t>Annullato</t>
  </si>
  <si>
    <t>Analisi acqua</t>
  </si>
  <si>
    <t>Surveyor accessibilità</t>
  </si>
  <si>
    <t>Consulente tecnico esterno</t>
  </si>
  <si>
    <t>Tassonomia UE</t>
  </si>
  <si>
    <t>Altro</t>
  </si>
  <si>
    <t>Righe libere per aggiungere altri livelli. Ogni persona del TEAM pesca costo e tariffa dal proprio livello.</t>
  </si>
  <si>
    <t>PARAMETRI GENERALI</t>
  </si>
  <si>
    <t>Markup predefinito sui consulenti (moltiplicatore)</t>
  </si>
  <si>
    <t>Soglia approvazione ODA – Project Manager (€)</t>
  </si>
  <si>
    <t>Soglia approvazione ODA – Direzione (€)</t>
  </si>
  <si>
    <t>Soglia di allerta consumo ore (%)</t>
  </si>
  <si>
    <t>Sconto massimo accettabile in negoziazione (%)</t>
  </si>
  <si>
    <t>Giorni termine pagamento cliente</t>
  </si>
  <si>
    <t>Le fee di registrazione agli enti (GBCI, IWBI, BRE, WiredScore) NON vanno inserite in questo file:</t>
  </si>
  <si>
    <t>sono partite di giro, pagate dal cliente o anticipate e riaddebitate, e non impattano la marginalità.</t>
  </si>
  <si>
    <t>CODICE VBA – versione 4.0</t>
  </si>
  <si>
    <t>ATTIVAZIONE (5 minuti, una volta sola):</t>
  </si>
  <si>
    <t>1. Salvare il file come 'Cartella di lavoro con attivazione macro (*.xlsm)'.</t>
  </si>
  <si>
    <t>2. ALT+F11 per aprire l'editor VBA (oppure Sviluppo &gt; Visual Basic).</t>
  </si>
  <si>
    <t>3. Inserisci &gt; Modulo.</t>
  </si>
  <si>
    <t>4. Copiare tutto il codice sottostante (da 'Option Explicit' in poi) e incollarlo nel modulo.</t>
  </si>
  <si>
    <t>5. Su Excel, foglio MASCHERA: Sviluppo &gt; Inserisci &gt; Pulsante (Controllo modulo).</t>
  </si>
  <si>
    <t xml:space="preserve">   Disegnare il pulsante sulla cella indicata e assegnare la macro:</t>
  </si>
  <si>
    <t xml:space="preserve">      cella E35  -&gt;  SalvaODA            (testo: SALVA ODA)</t>
  </si>
  <si>
    <t xml:space="preserve">      cella E45  -&gt;  NuovaCommessa       (testo: NUOVA COMMESSA)</t>
  </si>
  <si>
    <t xml:space="preserve">      cella E63  -&gt;  NuovoServizio       (testo: NUOVO SERVIZIO)</t>
  </si>
  <si>
    <t xml:space="preserve">      cella E73  -&gt;  SalvaAssegnazione   (testo: ASSEGNA RISORSA)</t>
  </si>
  <si>
    <t xml:space="preserve">      cella E76  -&gt;  AggiornaFase        (testo: AGGIORNA FASE)</t>
  </si>
  <si>
    <t xml:space="preserve">      cella E88  -&gt;  SalvaPrevisione     (testo: SALVA PREVISIONE)</t>
  </si>
  <si>
    <t>ATTENZIONE: tenere aperto SOLO questo file mentre si lavora con le macro.</t>
  </si>
  <si>
    <t>Con più file aperti, il pulsante può eseguire la macro di un altro file (errore ThisWorkbook).</t>
  </si>
  <si>
    <t>Le macro scrivono solo in coda alle tabelle e non cancellano dati esistenti.</t>
  </si>
  <si>
    <t>─────────────────────────────────────────────────────────────────────────────────────</t>
  </si>
  <si>
    <t>Option Explicit</t>
  </si>
  <si>
    <t>' ==================================================================</t>
  </si>
  <si>
    <t>'  GESTIONE COMMESSE ESG - v4.0</t>
  </si>
  <si>
    <t>Private Function RigaLibera(nomeFoglio As String) As Long</t>
  </si>
  <si>
    <t xml:space="preserve">    Dim ws As Worksheet</t>
  </si>
  <si>
    <t xml:space="preserve">    Set ws = ThisWorkbook.Worksheets(nomeFoglio)</t>
  </si>
  <si>
    <t xml:space="preserve">    RigaLibera = ws.Cells(ws.Rows.Count, 1).End(xlUp).Row + 1</t>
  </si>
  <si>
    <t>End Function</t>
  </si>
  <si>
    <t>Private Sub CopiaFormule(ws As Worksheet, r As Long, colDa As Long, colA As Long)</t>
  </si>
  <si>
    <t xml:space="preserve">    If r &gt; 201 Then</t>
  </si>
  <si>
    <t xml:space="preserve">        ws.Range(ws.Cells(r - 1, colDa), ws.Cells(r - 1, colA)).Copy _</t>
  </si>
  <si>
    <t xml:space="preserve">            Destination:=ws.Range(ws.Cells(r, colDa), ws.Cells(r, colA))</t>
  </si>
  <si>
    <t xml:space="preserve">    End If</t>
  </si>
  <si>
    <t>End Sub</t>
  </si>
  <si>
    <t>' ------------------------------------------------------------------</t>
  </si>
  <si>
    <t>Sub SalvaODA()</t>
  </si>
  <si>
    <t xml:space="preserve">    Dim wsM As Worksheet, wsO As Worksheet</t>
  </si>
  <si>
    <t xml:space="preserve">    Dim r As Long</t>
  </si>
  <si>
    <t xml:space="preserve">    Set wsM = ThisWorkbook.Worksheets("MASCHERA")</t>
  </si>
  <si>
    <t xml:space="preserve">    Set wsO = ThisWorkbook.Worksheets("ODA")</t>
  </si>
  <si>
    <t xml:space="preserve">    If Trim(wsM.Range("C26").Value) = "" Then</t>
  </si>
  <si>
    <t xml:space="preserve">        MsgBox "Selezionare il codice servizio (C26).", vbExclamation: Exit Sub</t>
  </si>
  <si>
    <t xml:space="preserve">    If Trim(wsM.Range("C27").Value) = "" Then</t>
  </si>
  <si>
    <t xml:space="preserve">        MsgBox "Selezionare il fornitore (C27).", vbExclamation: Exit Sub</t>
  </si>
  <si>
    <t xml:space="preserve">    If Not IsNumeric(wsM.Range("C31").Value) Or wsM.Range("C31").Value &lt;= 0 Then</t>
  </si>
  <si>
    <t xml:space="preserve">        MsgBox "Inserire il costo del consulente (C31).", vbExclamation: Exit Sub</t>
  </si>
  <si>
    <t xml:space="preserve">    If Not IsNumeric(wsM.Range("C32").Value) Then</t>
  </si>
  <si>
    <t xml:space="preserve">        MsgBox "Inserire l'importo ribaltato al cliente (C32).", vbExclamation: Exit Sub</t>
  </si>
  <si>
    <t xml:space="preserve">    If wsM.Range("C32").Value &lt; wsM.Range("C31").Value Then</t>
  </si>
  <si>
    <t xml:space="preserve">        If MsgBox("L'importo ribaltato al cliente è inferiore al costo: ODA in perdita." &amp; vbCrLf &amp; _</t>
  </si>
  <si>
    <t xml:space="preserve">                  "Procedere comunque?", vbYesNo + vbExclamation) = vbNo Then Exit Sub</t>
  </si>
  <si>
    <t xml:space="preserve">    If wsM.Range("I29").Value &lt; 0 Then</t>
  </si>
  <si>
    <t xml:space="preserve">        If MsgBox("Questo ODA supera il costo consulenti previsto per il servizio." &amp; vbCrLf &amp; _</t>
  </si>
  <si>
    <t xml:space="preserve">    r = RigaLibera("ODA")</t>
  </si>
  <si>
    <t xml:space="preserve">    wsO.Cells(r, 1).Value = IIf(Trim(wsM.Range("C25").Value) = "", _</t>
  </si>
  <si>
    <t xml:space="preserve">                                wsM.Range("F25").Value, wsM.Range("C25").Value)</t>
  </si>
  <si>
    <t xml:space="preserve">    wsO.Cells(r, 2).Value = wsM.Range("C26").Value</t>
  </si>
  <si>
    <t xml:space="preserve">    wsO.Cells(r, 4).Value = wsM.Range("C27").Value</t>
  </si>
  <si>
    <t xml:space="preserve">    wsO.Cells(r, 5).Value = wsM.Range("C28").Value</t>
  </si>
  <si>
    <t xml:space="preserve">    wsO.Cells(r, 6).Value = wsM.Range("C29").Value</t>
  </si>
  <si>
    <t xml:space="preserve">    wsO.Cells(r, 7).Value = wsM.Range("C30").Value</t>
  </si>
  <si>
    <t xml:space="preserve">    wsO.Cells(r, 8).Value = wsM.Range("C31").Value</t>
  </si>
  <si>
    <t xml:space="preserve">    wsO.Cells(r, 9).Value = wsM.Range("C32").Value</t>
  </si>
  <si>
    <t xml:space="preserve">    wsO.Cells(r, 12).Value = IIf(Trim(wsM.Range("C33").Value) = "", "Richiesto", wsM.Range("C33").Value)</t>
  </si>
  <si>
    <t xml:space="preserve">    wsO.Cells(r, 13).Value = wsM.Range("C34").Value</t>
  </si>
  <si>
    <t xml:space="preserve">    wsO.Cells(r, 14).Value = wsM.Range("C35").Value</t>
  </si>
  <si>
    <t xml:space="preserve">    wsO.Cells(r, 15).Value = wsM.Range("C36").Value</t>
  </si>
  <si>
    <t xml:space="preserve">    wsO.Cells(r, 16).Value = IIf(wsM.Range("C37").Value = "", 0, wsM.Range("C37").Value)</t>
  </si>
  <si>
    <t xml:space="preserve">    wsO.Cells(r, 20).Value = wsM.Range("C38").Value</t>
  </si>
  <si>
    <t xml:space="preserve">    CopiaFormule wsO, r, 10, 11</t>
  </si>
  <si>
    <t xml:space="preserve">    CopiaFormule wsO, r, 17, 19</t>
  </si>
  <si>
    <t xml:space="preserve">    wsM.Range("C25:C38").ClearContents</t>
  </si>
  <si>
    <t xml:space="preserve">    MsgBox "ODA registrato alla riga " &amp; r &amp; " del foglio ODA.", vbInformation</t>
  </si>
  <si>
    <t>Sub NuovaCommessa()</t>
  </si>
  <si>
    <t xml:space="preserve">    Dim wsM As Worksheet, wsC As Worksheet</t>
  </si>
  <si>
    <t xml:space="preserve">    Dim r As Long, codice As String</t>
  </si>
  <si>
    <t xml:space="preserve">    Set wsC = ThisWorkbook.Worksheets("COMMESSE")</t>
  </si>
  <si>
    <t xml:space="preserve">    codice = Trim(wsM.Range("C41").Value)</t>
  </si>
  <si>
    <t xml:space="preserve">    If codice = "" Then codice = wsM.Range("F41").Value</t>
  </si>
  <si>
    <t xml:space="preserve">    If codice = "" Then MsgBox "Indicare un codice commessa.", vbExclamation: Exit Sub</t>
  </si>
  <si>
    <t xml:space="preserve">    If Application.WorksheetFunction.CountIf(wsC.Columns(1), codice) &gt; 0 Then</t>
  </si>
  <si>
    <t xml:space="preserve">        MsgBox "Il codice commessa " &amp; codice &amp; " esiste già.", vbExclamation: Exit Sub</t>
  </si>
  <si>
    <t xml:space="preserve">    r = RigaLibera("COMMESSE")</t>
  </si>
  <si>
    <t xml:space="preserve">    wsC.Cells(r, 1).Value = codice</t>
  </si>
  <si>
    <t xml:space="preserve">    wsC.Cells(r, 2).Value = wsM.Range("C42").Value</t>
  </si>
  <si>
    <t xml:space="preserve">    wsC.Cells(r, 3).Value = wsM.Range("C43").Value</t>
  </si>
  <si>
    <t xml:space="preserve">    wsC.Cells(r, 4).Value = wsM.Range("C44").Value</t>
  </si>
  <si>
    <t xml:space="preserve">    wsC.Cells(r, 5).Value = wsM.Range("C45").Value</t>
  </si>
  <si>
    <t xml:space="preserve">    wsC.Cells(r, 6).Value = wsM.Range("C46").Value</t>
  </si>
  <si>
    <t xml:space="preserve">    wsC.Cells(r, 7).Value = IIf(Trim(wsM.Range("C47").Value) = "", "Attiva", wsM.Range("C47").Value)</t>
  </si>
  <si>
    <t xml:space="preserve">    wsC.Cells(r, 8).Value = wsM.Range("C48").Value</t>
  </si>
  <si>
    <t xml:space="preserve">    CopiaFormule wsC, r, 9, 20</t>
  </si>
  <si>
    <t xml:space="preserve">    wsM.Range("C41:C48").ClearContents</t>
  </si>
  <si>
    <t xml:space="preserve">    wsM.Range("C51").Value = codice</t>
  </si>
  <si>
    <t xml:space="preserve">    MsgBox "Commessa " &amp; codice &amp; " creata." &amp; vbCrLf &amp; _</t>
  </si>
  <si>
    <t xml:space="preserve">           "Ora aggiungi i servizi con il blocco 4.", vbInformation</t>
  </si>
  <si>
    <t>Sub NuovoServizio()</t>
  </si>
  <si>
    <t xml:space="preserve">    Dim wsM As Worksheet, wsS As Worksheet, wsT As Worksheet, wsF As Worksheet</t>
  </si>
  <si>
    <t xml:space="preserve">    Dim r As Long, rf As Long, i As Long, ultimaT As Long</t>
  </si>
  <si>
    <t xml:space="preserve">    Dim codCom As String, codSrv As String, template As String</t>
  </si>
  <si>
    <t xml:space="preserve">    Dim nFasi As Long, offset As Long, dataAvvio As Date</t>
  </si>
  <si>
    <t xml:space="preserve">    Dim budgetOre As Double, quota As Double</t>
  </si>
  <si>
    <t xml:space="preserve">    Set wsS = ThisWorkbook.Worksheets("SERVIZI")</t>
  </si>
  <si>
    <t xml:space="preserve">    Set wsT = ThisWorkbook.Worksheets("TEMPLATE_FASI")</t>
  </si>
  <si>
    <t xml:space="preserve">    Set wsF = ThisWorkbook.Worksheets("FASI")</t>
  </si>
  <si>
    <t xml:space="preserve">    codCom = Trim(wsM.Range("C51").Value)</t>
  </si>
  <si>
    <t xml:space="preserve">    If codCom = "" Then MsgBox "Selezionare la commessa (C51).", vbExclamation: Exit Sub</t>
  </si>
  <si>
    <t xml:space="preserve">    codSrv = Trim(wsM.Range("C52").Value)</t>
  </si>
  <si>
    <t xml:space="preserve">    If codSrv = "" Then codSrv = wsM.Range("F51").Value</t>
  </si>
  <si>
    <t xml:space="preserve">    If Application.WorksheetFunction.CountIf(wsS.Columns(1), codSrv) &gt; 0 Then</t>
  </si>
  <si>
    <t xml:space="preserve">        MsgBox "Il codice servizio " &amp; codSrv &amp; " esiste già.", vbExclamation: Exit Sub</t>
  </si>
  <si>
    <t xml:space="preserve">    If wsM.Range("F61").Value &lt; 0 Then</t>
  </si>
  <si>
    <t xml:space="preserve">        If MsgBox("La somma dei prezzi supera il valore del contratto di " &amp; _</t>
  </si>
  <si>
    <t xml:space="preserve">                  Format(-wsM.Range("F61").Value, "#,##0") &amp; " €." &amp; vbCrLf &amp; _</t>
  </si>
  <si>
    <t xml:space="preserve">    r = RigaLibera("SERVIZI")</t>
  </si>
  <si>
    <t xml:space="preserve">    wsS.Cells(r, 1).Value = codSrv</t>
  </si>
  <si>
    <t xml:space="preserve">    wsS.Cells(r, 2).Value = codCom</t>
  </si>
  <si>
    <t xml:space="preserve">    wsS.Cells(r, 3).Value = wsM.Range("C53").Value</t>
  </si>
  <si>
    <t xml:space="preserve">    wsS.Cells(r, 4).Value = wsM.Range("C54").Value</t>
  </si>
  <si>
    <t xml:space="preserve">    wsS.Cells(r, 5).Value = wsM.Range("C55").Value</t>
  </si>
  <si>
    <t xml:space="preserve">    wsS.Cells(r, 6).Value = wsM.Range("C56").Value</t>
  </si>
  <si>
    <t xml:space="preserve">    wsS.Cells(r, 7).Value = wsM.Range("C57").Value</t>
  </si>
  <si>
    <t xml:space="preserve">    wsS.Cells(r, 8).Value = wsM.Range("C58").Value</t>
  </si>
  <si>
    <t xml:space="preserve">    wsS.Cells(r, 9).Value = "Attiva"</t>
  </si>
  <si>
    <t xml:space="preserve">    wsS.Cells(r, 10).Value = IIf(wsM.Range("C59").Value = "", 0, wsM.Range("C59").Value)</t>
  </si>
  <si>
    <t xml:space="preserve">    wsS.Cells(r, 11).Value = IIf(wsM.Range("C60").Value = "", _</t>
  </si>
  <si>
    <t xml:space="preserve">                                 ThisWorkbook.Names("MARKUP_DEF").RefersToRange.Value, _</t>
  </si>
  <si>
    <t xml:space="preserve">                                 wsM.Range("C60").Value)</t>
  </si>
  <si>
    <t xml:space="preserve">    wsS.Cells(r, 17).Value = wsM.Range("C61").Value</t>
  </si>
  <si>
    <t xml:space="preserve">    CopiaFormule wsS, r, 12, 16</t>
  </si>
  <si>
    <t xml:space="preserve">    CopiaFormule wsS, r, 18, 40</t>
  </si>
  <si>
    <t xml:space="preserve">    template = Trim(wsM.Range("C56").Value)</t>
  </si>
  <si>
    <t xml:space="preserve">    budgetOre = 0</t>
  </si>
  <si>
    <t xml:space="preserve">    nFasi = 0</t>
  </si>
  <si>
    <t xml:space="preserve">    If template &lt;&gt; "" Then</t>
  </si>
  <si>
    <t xml:space="preserve">        If IsDate(wsM.Range("C57").Value) Then</t>
  </si>
  <si>
    <t xml:space="preserve">            dataAvvio = CDate(wsM.Range("C57").Value)</t>
  </si>
  <si>
    <t xml:space="preserve">        Else</t>
  </si>
  <si>
    <t xml:space="preserve">            dataAvvio = Date</t>
  </si>
  <si>
    <t xml:space="preserve">        End If</t>
  </si>
  <si>
    <t xml:space="preserve">        ultimaT = wsT.Cells(wsT.Rows.Count, 1).End(xlUp).Row</t>
  </si>
  <si>
    <t xml:space="preserve">        offset = 0</t>
  </si>
  <si>
    <t xml:space="preserve">        For i = 2 To ultimaT</t>
  </si>
  <si>
    <t xml:space="preserve">            If wsT.Cells(i, 1).Value = template Then</t>
  </si>
  <si>
    <t xml:space="preserve">                rf = RigaLibera("FASI")</t>
  </si>
  <si>
    <t xml:space="preserve">                offset = offset + CLng(wsT.Cells(i, 6).Value)</t>
  </si>
  <si>
    <t xml:space="preserve">                quota = 0</t>
  </si>
  <si>
    <t xml:space="preserve">                If IsNumeric(wsT.Cells(i, 7).Value) Then quota = wsT.Cells(i, 7).Value</t>
  </si>
  <si>
    <t xml:space="preserve">                wsF.Cells(rf, 1).Value = "FAS-" &amp; Format(rf - 1, "000")</t>
  </si>
  <si>
    <t xml:space="preserve">                wsF.Cells(rf, 2).Value = codSrv</t>
  </si>
  <si>
    <t xml:space="preserve">                wsF.Cells(rf, 3).Value = wsT.Cells(i, 2).Value</t>
  </si>
  <si>
    <t xml:space="preserve">                wsF.Cells(rf, 4).Value = wsT.Cells(i, 3).Value</t>
  </si>
  <si>
    <t xml:space="preserve">                wsF.Cells(rf, 5).Value = template</t>
  </si>
  <si>
    <t xml:space="preserve">                wsF.Cells(rf, 6).Value = wsM.Range("C55").Value</t>
  </si>
  <si>
    <t xml:space="preserve">                wsF.Cells(rf, 7).Value = dataAvvio + offset</t>
  </si>
  <si>
    <t xml:space="preserve">                wsF.Cells(rf, 8).Value = dataAvvio + offset</t>
  </si>
  <si>
    <t xml:space="preserve">                wsF.Cells(rf, 7).NumberFormat = "DD/MM/YYYY"</t>
  </si>
  <si>
    <t xml:space="preserve">                wsF.Cells(rf, 8).NumberFormat = "DD/MM/YYYY"</t>
  </si>
  <si>
    <t xml:space="preserve">                If nFasi &gt; 0 Then wsF.Cells(rf, 10).Value = wsT.Cells(i - 1, 3).Value</t>
  </si>
  <si>
    <t xml:space="preserve">                wsF.Cells(rf, 11).Value = wsT.Cells(i, 5).Value</t>
  </si>
  <si>
    <t xml:space="preserve">                wsF.Cells(rf, 12).Value = 0</t>
  </si>
  <si>
    <t xml:space="preserve">                wsF.Cells(rf, 12).NumberFormat = "0.0%"</t>
  </si>
  <si>
    <t xml:space="preserve">                wsF.Cells(rf, 13).Value = quota</t>
  </si>
  <si>
    <t xml:space="preserve">                wsF.Cells(rf, 13).NumberFormat = "0.0%"</t>
  </si>
  <si>
    <t xml:space="preserve">                wsF.Cells(rf, 15).Value = wsT.Cells(i, 4).Value</t>
  </si>
  <si>
    <t xml:space="preserve">                CopiaFormule wsF, rf, 14, 14</t>
  </si>
  <si>
    <t xml:space="preserve">                CopiaFormule wsF, rf, 17, 22</t>
  </si>
  <si>
    <t xml:space="preserve">                nFasi = nFasi + 1</t>
  </si>
  <si>
    <t xml:space="preserve">            End If</t>
  </si>
  <si>
    <t xml:space="preserve">        Next i</t>
  </si>
  <si>
    <t xml:space="preserve">    wsM.Range("C52:C61").ClearContents</t>
  </si>
  <si>
    <t xml:space="preserve">    wsM.Range("C5").Value = codSrv</t>
  </si>
  <si>
    <t xml:space="preserve">    wsM.Range("C66").Value = codSrv</t>
  </si>
  <si>
    <t xml:space="preserve">    MsgBox "Servizio " &amp; codSrv &amp; " creato con " &amp; nFasi &amp; " fasi." &amp; vbCrLf &amp; vbCrLf &amp; _</t>
  </si>
  <si>
    <t xml:space="preserve">           "PASSO SUCCESSIVO OBBLIGATORIO: assegnare le risorse con il blocco 5." &amp; vbCrLf &amp; _</t>
  </si>
  <si>
    <t xml:space="preserve">           "Finché non lo fai, il prezzo delle ore resta a zero.", vbInformation</t>
  </si>
  <si>
    <t>Sub SalvaAssegnazione()</t>
  </si>
  <si>
    <t xml:space="preserve">    Dim wsM As Worksheet, wsA As Worksheet</t>
  </si>
  <si>
    <t xml:space="preserve">    Dim r As Long, codSrv As String, persona As String</t>
  </si>
  <si>
    <t xml:space="preserve">    Set wsA = ThisWorkbook.Worksheets("ASSEGNAZIONI")</t>
  </si>
  <si>
    <t xml:space="preserve">    codSrv = Trim(wsM.Range("C66").Value)</t>
  </si>
  <si>
    <t xml:space="preserve">    persona = Trim(wsM.Range("C67").Value)</t>
  </si>
  <si>
    <t xml:space="preserve">    If codSrv = "" Or persona = "" Then</t>
  </si>
  <si>
    <t xml:space="preserve">        MsgBox "Indicare codice servizio (C66) e persona (C67).", vbExclamation: Exit Sub</t>
  </si>
  <si>
    <t xml:space="preserve">    If Not IsNumeric(wsM.Range("C69").Value) Or wsM.Range("C69").Value &lt;= 0 Then</t>
  </si>
  <si>
    <t xml:space="preserve">        MsgBox "Inserire le ore stimate per questa persona (C69).", vbExclamation: Exit Sub</t>
  </si>
  <si>
    <t xml:space="preserve">    ' evita doppie assegnazioni della stessa persona sullo stesso servizio</t>
  </si>
  <si>
    <t xml:space="preserve">    If Application.WorksheetFunction.CountIfs(wsA.Columns(2), codSrv, _</t>
  </si>
  <si>
    <t xml:space="preserve">                                              wsA.Columns(3), persona) &gt; 0 Then</t>
  </si>
  <si>
    <t xml:space="preserve">        MsgBox persona &amp; " è già assegnata al servizio " &amp; codSrv &amp; "." &amp; vbCrLf &amp; _</t>
  </si>
  <si>
    <t xml:space="preserve">               "Modificare direttamente la riga esistente nel foglio ASSEGNAZIONI.", vbExclamation</t>
  </si>
  <si>
    <t xml:space="preserve">        Exit Sub</t>
  </si>
  <si>
    <t xml:space="preserve">    r = RigaLibera("ASSEGNAZIONI")</t>
  </si>
  <si>
    <t xml:space="preserve">    wsA.Cells(r, 1).Value = "ASG-" &amp; Format(r - 1, "000")</t>
  </si>
  <si>
    <t xml:space="preserve">    wsA.Cells(r, 2).Value = codSrv</t>
  </si>
  <si>
    <t xml:space="preserve">    wsA.Cells(r, 3).Value = persona</t>
  </si>
  <si>
    <t xml:space="preserve">    wsA.Cells(r, 5).Value = wsM.Range("C68").Value</t>
  </si>
  <si>
    <t xml:space="preserve">    wsA.Cells(r, 6).Value = wsM.Range("C69").Value</t>
  </si>
  <si>
    <t xml:space="preserve">    CopiaFormule wsA, r, 4, 4</t>
  </si>
  <si>
    <t xml:space="preserve">    CopiaFormule wsA, r, 7, 19</t>
  </si>
  <si>
    <t xml:space="preserve">    wsM.Range("C67:C69").ClearContents</t>
  </si>
  <si>
    <t xml:space="preserve">    Application.Calculate</t>
  </si>
  <si>
    <t xml:space="preserve">    MsgBox persona &amp; " assegnata a " &amp; codSrv &amp; "." &amp; vbCrLf &amp; _</t>
  </si>
  <si>
    <t xml:space="preserve">           "Prezzo ore del servizio aggiornato: " &amp; _</t>
  </si>
  <si>
    <t xml:space="preserve">           Format(wsM.Range("I67").Value, "#,##0") &amp; " €.", vbInformation</t>
  </si>
  <si>
    <t>Sub AggiornaFase()</t>
  </si>
  <si>
    <t xml:space="preserve">    Dim wsM As Worksheet, wsF As Worksheet</t>
  </si>
  <si>
    <t xml:space="preserve">    Dim i As Long, ultima As Long, trovate As Long</t>
  </si>
  <si>
    <t xml:space="preserve">    Dim codice As String, fase As String</t>
  </si>
  <si>
    <t xml:space="preserve">    codice = Trim(wsM.Range("C76").Value)</t>
  </si>
  <si>
    <t xml:space="preserve">    fase = Trim(wsM.Range("C77").Value)</t>
  </si>
  <si>
    <t xml:space="preserve">    If codice = "" Or fase = "" Then</t>
  </si>
  <si>
    <t xml:space="preserve">        MsgBox "Indicare codice servizio (C76) e fase (C77).", vbExclamation: Exit Sub</t>
  </si>
  <si>
    <t xml:space="preserve">    ultima = wsF.Cells(wsF.Rows.Count, 1).End(xlUp).Row</t>
  </si>
  <si>
    <t xml:space="preserve">    trovate = 0</t>
  </si>
  <si>
    <t xml:space="preserve">    For i = 2 To ultima</t>
  </si>
  <si>
    <t xml:space="preserve">        If wsF.Cells(i, 2).Value = codice And _</t>
  </si>
  <si>
    <t xml:space="preserve">           (CStr(wsF.Cells(i, 3).Value) = fase Or _</t>
  </si>
  <si>
    <t xml:space="preserve">            InStr(1, wsF.Cells(i, 4).Value, fase, vbTextCompare) &gt; 0) Then</t>
  </si>
  <si>
    <t xml:space="preserve">            If wsM.Range("C78").Value &lt;&gt; "" Then</t>
  </si>
  <si>
    <t xml:space="preserve">                wsF.Cells(i, 12).Value = wsM.Range("C78").Value / 100</t>
  </si>
  <si>
    <t xml:space="preserve">            If wsM.Range("C79").Value &lt;&gt; "" Then</t>
  </si>
  <si>
    <t xml:space="preserve">                wsF.Cells(i, 9).Value = wsM.Range("C79").Value</t>
  </si>
  <si>
    <t xml:space="preserve">            trovate = trovate + 1</t>
  </si>
  <si>
    <t xml:space="preserve">    Next i</t>
  </si>
  <si>
    <t xml:space="preserve">    If trovate = 0 Then</t>
  </si>
  <si>
    <t xml:space="preserve">        MsgBox "Nessuna fase corrispondente trovata.", vbExclamation</t>
  </si>
  <si>
    <t xml:space="preserve">    Else</t>
  </si>
  <si>
    <t xml:space="preserve">        wsM.Range("C76:C79").ClearContents</t>
  </si>
  <si>
    <t xml:space="preserve">        Application.Calculate</t>
  </si>
  <si>
    <t xml:space="preserve">        MsgBox trovate &amp; " fase/i aggiornata/e." &amp; vbCrLf &amp; _</t>
  </si>
  <si>
    <t xml:space="preserve">               "Verificare il foglio SAL: potrebbero esserci fatture ora EMETTIBILI.", vbInformation</t>
  </si>
  <si>
    <t>Sub SalvaPrevisione()</t>
  </si>
  <si>
    <t xml:space="preserve">    Dim wsM As Worksheet, wsP As Worksheet</t>
  </si>
  <si>
    <t xml:space="preserve">    Dim r As Long, i As Long, ultima As Long</t>
  </si>
  <si>
    <t xml:space="preserve">    Dim codice As String, persona As String, archiviate As Long</t>
  </si>
  <si>
    <t xml:space="preserve">    Set wsP = ThisWorkbook.Worksheets("PREVISIONE_ORE")</t>
  </si>
  <si>
    <t xml:space="preserve">    codice = Trim(wsM.Range("C82").Value)</t>
  </si>
  <si>
    <t xml:space="preserve">    persona = Trim(wsM.Range("C83").Value)</t>
  </si>
  <si>
    <t xml:space="preserve">    If codice = "" Or persona = "" Then</t>
  </si>
  <si>
    <t xml:space="preserve">        MsgBox "Indicare codice servizio (C82) e persona (C83).", vbExclamation: Exit Sub</t>
  </si>
  <si>
    <t xml:space="preserve">    If Not IsNumeric(wsM.Range("C86").Value) Then</t>
  </si>
  <si>
    <t xml:space="preserve">        MsgBox "Inserire le ore ancora da fare (C86).", vbExclamation: Exit Sub</t>
  </si>
  <si>
    <t xml:space="preserve">    ultima = wsP.Cells(wsP.Rows.Count, 1).End(xlUp).Row</t>
  </si>
  <si>
    <t xml:space="preserve">    archiviate = 0</t>
  </si>
  <si>
    <t xml:space="preserve">        If wsP.Cells(i, 4).Value = codice And wsP.Cells(i, 5).Value = persona _</t>
  </si>
  <si>
    <t xml:space="preserve">           And wsP.Cells(i, 11).Value = "Sì" Then</t>
  </si>
  <si>
    <t xml:space="preserve">            wsP.Cells(i, 11).Value = "No"</t>
  </si>
  <si>
    <t xml:space="preserve">            archiviate = archiviate + 1</t>
  </si>
  <si>
    <t xml:space="preserve">    r = RigaLibera("PREVISIONE_ORE")</t>
  </si>
  <si>
    <t xml:space="preserve">    wsP.Cells(r, 1).Value = "PRV-" &amp; Format(r - 1, "000")</t>
  </si>
  <si>
    <t xml:space="preserve">    wsP.Cells(r, 2).Value = IIf(wsM.Range("C84").Value = "", Date, wsM.Range("C84").Value)</t>
  </si>
  <si>
    <t xml:space="preserve">    wsP.Cells(r, 2).NumberFormat = "DD/MM/YYYY"</t>
  </si>
  <si>
    <t xml:space="preserve">    wsP.Cells(r, 3).Value = wsM.Range("C85").Value</t>
  </si>
  <si>
    <t xml:space="preserve">    wsP.Cells(r, 4).Value = codice</t>
  </si>
  <si>
    <t xml:space="preserve">    wsP.Cells(r, 5).Value = persona</t>
  </si>
  <si>
    <t xml:space="preserve">    wsP.Cells(r, 7).Value = wsM.Range("C86").Value</t>
  </si>
  <si>
    <t xml:space="preserve">    wsP.Cells(r, 11).Value = "Sì"</t>
  </si>
  <si>
    <t xml:space="preserve">    wsP.Cells(r, 12).Value = wsM.Range("C87").Value</t>
  </si>
  <si>
    <t xml:space="preserve">    wsP.Cells(r, 13).Value = wsM.Range("C88").Value</t>
  </si>
  <si>
    <t xml:space="preserve">    CopiaFormule wsP, r, 6, 10</t>
  </si>
  <si>
    <t xml:space="preserve">    wsP.Cells(r, 8).Formula = "=IF($A" &amp; r &amp; "="""","""",$F" &amp; r &amp; "+$G" &amp; r &amp; ")"</t>
  </si>
  <si>
    <t xml:space="preserve">    wsM.Range("C83:C88").ClearContents</t>
  </si>
  <si>
    <t xml:space="preserve">    MsgBox "Previsione registrata per " &amp; persona &amp; "." &amp; vbCrLf &amp; _</t>
  </si>
  <si>
    <t xml:space="preserve">           archiviate &amp; " rilevazione/i precedente/i archiviata/e.", vbInformation</t>
  </si>
  <si>
    <t>Gara Construction – preparazione capitolati LEED</t>
  </si>
  <si>
    <t>Oneri e obblighi appaltatore, CxA plan</t>
  </si>
  <si>
    <t>LEED ID+C</t>
  </si>
  <si>
    <t>Gara Construction – preparazione capitolati WELL</t>
  </si>
  <si>
    <t>Oneri e obblighi appaltatore</t>
  </si>
  <si>
    <t>Offerta tecnico-economica + pre-valutazione livello atteso</t>
  </si>
  <si>
    <t>Verbale kick-off, planimetrie as-built, data request list</t>
  </si>
  <si>
    <t>Registrazione progetto Access4you</t>
  </si>
  <si>
    <t>Conferma enrollment</t>
  </si>
  <si>
    <t>Pre-assessment e gap analysis accessibilità</t>
  </si>
  <si>
    <t>Report gap analysis per gruppo di utenza + livello raggiungibile</t>
  </si>
  <si>
    <t>Preparazione e coordinamento del survey</t>
  </si>
  <si>
    <t>Piano di rilievo, checklist, calendario accessi</t>
  </si>
  <si>
    <t>Survey on-site e rilievo dati</t>
  </si>
  <si>
    <t>Dataset completo dei rilievi e documentazione fotografica</t>
  </si>
  <si>
    <t>Elaborazione dati e compilazione scorecard</t>
  </si>
  <si>
    <t>Scorecard Access4you compilata</t>
  </si>
  <si>
    <t>Submission ad Access4you</t>
  </si>
  <si>
    <t>Risposta a commenti e integrazioni</t>
  </si>
  <si>
    <t>Definizione azioni migliorative</t>
  </si>
  <si>
    <t>Piano interventi per raggiungere il livello target</t>
  </si>
  <si>
    <t>Certificazione ottenuta e comunicazione</t>
  </si>
  <si>
    <t>Certificato + materiali di comunicazione per il cliente</t>
  </si>
  <si>
    <t>Chiusura e pianificazione rinnovo</t>
  </si>
  <si>
    <t>Consuntivo + promemoria scadenza validità</t>
  </si>
  <si>
    <t>Amit Anafi</t>
  </si>
  <si>
    <t>Giulia Dagradi</t>
  </si>
  <si>
    <t>Anna Vadacca</t>
  </si>
  <si>
    <t>Giovanni Della Valle</t>
  </si>
  <si>
    <t>Certificazioni ESG</t>
  </si>
  <si>
    <t>WELL v.2</t>
  </si>
  <si>
    <t>BREEAM IU</t>
  </si>
  <si>
    <t>arch. Paola Moschini</t>
  </si>
  <si>
    <t>Macro Design Studio S.r.l. Società Benefit</t>
  </si>
  <si>
    <t>paola.moschini@macrodesignstudio.it</t>
  </si>
  <si>
    <t>Fornitore storico LEED e WELL</t>
  </si>
  <si>
    <t>FOR-002</t>
  </si>
  <si>
    <t>Greenwich Srl</t>
  </si>
  <si>
    <t>Giuseppe Zaffino</t>
  </si>
  <si>
    <t>FOR-003</t>
  </si>
  <si>
    <t>Riccardo Hopps</t>
  </si>
  <si>
    <t>r.hopps@ogb.group</t>
  </si>
  <si>
    <t>g.zaffino@greenwichsrl.it</t>
  </si>
  <si>
    <t>OGB GROUP</t>
  </si>
  <si>
    <t>26-017</t>
  </si>
  <si>
    <t>Adyen</t>
  </si>
  <si>
    <t>Via Colombo 6 Milano</t>
  </si>
  <si>
    <t>Sabine Spoelstra</t>
  </si>
  <si>
    <t>26-017-A</t>
  </si>
  <si>
    <t>FAS-002</t>
  </si>
  <si>
    <t>FAS-003</t>
  </si>
  <si>
    <t>FAS-004</t>
  </si>
  <si>
    <t>FAS-005</t>
  </si>
  <si>
    <t>FAS-006</t>
  </si>
  <si>
    <t>FAS-007</t>
  </si>
  <si>
    <t>FAS-008</t>
  </si>
  <si>
    <t>FAS-009</t>
  </si>
  <si>
    <t>FAS-010</t>
  </si>
  <si>
    <t>FAS-011</t>
  </si>
  <si>
    <t>FAS-012</t>
  </si>
  <si>
    <t>FAS-013</t>
  </si>
  <si>
    <t>FAS-014</t>
  </si>
  <si>
    <t>26-017-B</t>
  </si>
  <si>
    <t>FAS-015</t>
  </si>
  <si>
    <t>FAS-016</t>
  </si>
  <si>
    <t>FAS-017</t>
  </si>
  <si>
    <t>FAS-018</t>
  </si>
  <si>
    <t>FAS-019</t>
  </si>
  <si>
    <t>FAS-020</t>
  </si>
  <si>
    <t>FAS-021</t>
  </si>
  <si>
    <t>FAS-022</t>
  </si>
  <si>
    <t>FAS-023</t>
  </si>
  <si>
    <t>FAS-024</t>
  </si>
  <si>
    <t>FAS-025</t>
  </si>
  <si>
    <t>FAS-026</t>
  </si>
  <si>
    <t>FAS-027</t>
  </si>
  <si>
    <t>FAS-028</t>
  </si>
  <si>
    <t>FAS-029</t>
  </si>
  <si>
    <t>ODA-26-017-1</t>
  </si>
  <si>
    <t>ASG-002</t>
  </si>
  <si>
    <t>Certificazione LEED</t>
  </si>
  <si>
    <t>Certificazione WELL</t>
  </si>
  <si>
    <t>Totale_Documento</t>
  </si>
  <si>
    <t>N_Riga</t>
  </si>
  <si>
    <t>2026-06</t>
  </si>
  <si>
    <t>Navision</t>
  </si>
  <si>
    <t>2026-Q2</t>
  </si>
  <si>
    <t>Residuo a budget</t>
  </si>
  <si>
    <t>PRV-001</t>
  </si>
  <si>
    <t>PRV-002</t>
  </si>
  <si>
    <t>BiodiverCity</t>
  </si>
  <si>
    <t>Climate Risk</t>
  </si>
  <si>
    <t>WELL Rating</t>
  </si>
  <si>
    <t>Offerta tecnico-economica + pre-valutazione feature</t>
  </si>
  <si>
    <t>Kick-off e selezione delle feature</t>
  </si>
  <si>
    <t>Verbale kick-off + elenco feature target</t>
  </si>
  <si>
    <t>Registrazione su WELL Online</t>
  </si>
  <si>
    <t>Gap analysis sulle feature selezionate</t>
  </si>
  <si>
    <t>Report gap analysis con feature raggiungibili</t>
  </si>
  <si>
    <t>Raccolta evidenze e redazione policy</t>
  </si>
  <si>
    <t>Pacchetto evidenze + policy operative</t>
  </si>
  <si>
    <t>Verifiche on-site e misurazioni</t>
  </si>
  <si>
    <t>Report misurazioni e verifiche documentate</t>
  </si>
  <si>
    <t>Risposta alla review IWBI</t>
  </si>
  <si>
    <t>Rating ottenuto</t>
  </si>
  <si>
    <t>Attestato WELL Rating</t>
  </si>
  <si>
    <t>Chiusura e promemoria rinnovo annuale</t>
  </si>
  <si>
    <t>Consuntivo + scadenzario rinnovo</t>
  </si>
  <si>
    <t>Preparazione offerta e definizione perimetro</t>
  </si>
  <si>
    <t>Offerta + perimetro asset e attività economiche</t>
  </si>
  <si>
    <t>Kick-off e data request</t>
  </si>
  <si>
    <t>Verbale kick-off + lista dati richiesti</t>
  </si>
  <si>
    <t>Analisi di ammissibilità (eligibility)</t>
  </si>
  <si>
    <t>Mappatura attività economiche ammissibili</t>
  </si>
  <si>
    <t>Verifica criteri di vaglio tecnico</t>
  </si>
  <si>
    <t>Valutazione contributo sostanziale per attività</t>
  </si>
  <si>
    <t>Analisi DNSH</t>
  </si>
  <si>
    <t>Verifica assenza di danno significativo sui sei obiettivi</t>
  </si>
  <si>
    <t>Verifica garanzie minime di salvaguardia</t>
  </si>
  <si>
    <t>Check su OCSE, diritti umani, fiscalità, concorrenza</t>
  </si>
  <si>
    <t>Calcolo KPI di allineamento</t>
  </si>
  <si>
    <t>KPI su fatturato, CapEx e OpEx allineati</t>
  </si>
  <si>
    <t>Report e documentazione a supporto</t>
  </si>
  <si>
    <t>Report di allineamento + evidenze</t>
  </si>
  <si>
    <t>Presentazione e supporto in fase di audit</t>
  </si>
  <si>
    <t>Presentazione + risposta a quesiti del revisore</t>
  </si>
  <si>
    <t>Preparazione offerta e perimetro asset</t>
  </si>
  <si>
    <t>Offerta + elenco asset da analizzare</t>
  </si>
  <si>
    <t>Kick-off e raccolta dati di asset</t>
  </si>
  <si>
    <t>Data request list + schede tecniche edifici</t>
  </si>
  <si>
    <t>Screening dei pericoli climatici</t>
  </si>
  <si>
    <t>Matrice hazard per localizzazione</t>
  </si>
  <si>
    <t>Analisi di esposizione e vulnerabilita</t>
  </si>
  <si>
    <t>Report esposizione per asset e scenario</t>
  </si>
  <si>
    <t>Valutazione rischi fisici acuti e cronici</t>
  </si>
  <si>
    <t>Quantificazione rischi per orizzonte temporale</t>
  </si>
  <si>
    <t>Analisi dei rischi di transizione</t>
  </si>
  <si>
    <t>Valutazione rischi normativi, di mercato e reputazionali</t>
  </si>
  <si>
    <t>Definizione delle misure di adattamento</t>
  </si>
  <si>
    <t>Piano di adattamento con priorita e CapEx</t>
  </si>
  <si>
    <t>Report finale e allineamento DNSH / CSRD</t>
  </si>
  <si>
    <t>Report conforme ai requisiti di rendicontazione</t>
  </si>
  <si>
    <t>Offerta tecnico-economica + pre-valutazione</t>
  </si>
  <si>
    <t>Verbale kick-off + planimetrie e dati di progetto</t>
  </si>
  <si>
    <t>Registrazione del progetto</t>
  </si>
  <si>
    <t>Conferma registrazione ente</t>
  </si>
  <si>
    <t>Diagnosi ecologica del sito</t>
  </si>
  <si>
    <t>Report diagnosi ecologica e stato di fatto</t>
  </si>
  <si>
    <t>Gap analysis sugli assi di valutazione</t>
  </si>
  <si>
    <t>Scorecard preliminare per asse</t>
  </si>
  <si>
    <t>Definizione strategia e azioni progettuali</t>
  </si>
  <si>
    <t>Piano azioni per la biodiversita + note ai progettisti</t>
  </si>
  <si>
    <t>Submission fase Design</t>
  </si>
  <si>
    <t>Risposta ai commenti</t>
  </si>
  <si>
    <t>Verifica in fase realizzativa</t>
  </si>
  <si>
    <t>Verbali di verifica in cantiere</t>
  </si>
  <si>
    <t>Submission finale e certificazione</t>
  </si>
  <si>
    <t>Certificato BiodiverCity</t>
  </si>
  <si>
    <t>Chiusura e piano di monitoraggio</t>
  </si>
  <si>
    <t>Consuntivo + piano monitoraggio pluriennale</t>
  </si>
  <si>
    <t>FOR-004</t>
  </si>
  <si>
    <t>ENERLAB</t>
  </si>
  <si>
    <t>ing. Lorenzo Elia</t>
  </si>
  <si>
    <t>lorenzo.elia@enarlab.com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</si>
</sst>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&quot; €&quot;"/>
    <numFmt numFmtId="165" formatCode="0.00\x"/>
    <numFmt numFmtId="166" formatCode="0.0%"/>
    <numFmt numFmtId="167" formatCode="#,##0.00&quot; €&quot;"/>
  </numFmts>
  <fonts count="19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6"/>
      <color rgb="FF1F3864"/>
      <name val="Arial"/>
      <family val="2"/>
    </font>
    <font>
      <i/>
      <sz val="9"/>
      <color rgb="FF595959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3864"/>
      <name val="Arial"/>
      <family val="2"/>
    </font>
    <font>
      <b/>
      <sz val="11"/>
      <color rgb="FF1F3864"/>
      <name val="Arial"/>
      <family val="2"/>
    </font>
    <font>
      <sz val="10"/>
      <color rgb="FF000000"/>
      <name val="Arial"/>
      <family val="2"/>
    </font>
    <font>
      <sz val="9"/>
      <name val="Courier New"/>
      <family val="3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8"/>
      <name val="Calibri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F99"/>
        <bgColor rgb="FFEAF3E1"/>
      </patternFill>
    </fill>
    <fill>
      <patternFill patternType="solid">
        <fgColor rgb="FFF2F2F2"/>
        <bgColor rgb="FFEAF3E1"/>
      </patternFill>
    </fill>
    <fill>
      <patternFill patternType="solid">
        <fgColor rgb="FFD9E2F3"/>
        <bgColor rgb="FFEAF3E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E2F3"/>
        <bgColor rgb="FFCCFFFF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5" fillId="0" borderId="1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7" fillId="0" borderId="0" xfId="0" applyFont="1"/>
    <xf numFmtId="0" fontId="8" fillId="3" borderId="1" xfId="0" applyFont="1" applyFill="1" applyBorder="1"/>
    <xf numFmtId="0" fontId="6" fillId="4" borderId="1" xfId="0" applyFont="1" applyFill="1" applyBorder="1"/>
    <xf numFmtId="164" fontId="6" fillId="4" borderId="1" xfId="0" applyNumberFormat="1" applyFont="1" applyFill="1" applyBorder="1"/>
    <xf numFmtId="0" fontId="9" fillId="0" borderId="0" xfId="0" applyFont="1"/>
    <xf numFmtId="3" fontId="5" fillId="4" borderId="1" xfId="0" applyNumberFormat="1" applyFont="1" applyFill="1" applyBorder="1"/>
    <xf numFmtId="165" fontId="6" fillId="4" borderId="1" xfId="0" applyNumberFormat="1" applyFont="1" applyFill="1" applyBorder="1"/>
    <xf numFmtId="3" fontId="6" fillId="4" borderId="1" xfId="0" applyNumberFormat="1" applyFont="1" applyFill="1" applyBorder="1"/>
    <xf numFmtId="164" fontId="5" fillId="4" borderId="1" xfId="0" applyNumberFormat="1" applyFont="1" applyFill="1" applyBorder="1"/>
    <xf numFmtId="166" fontId="5" fillId="4" borderId="1" xfId="0" applyNumberFormat="1" applyFont="1" applyFill="1" applyBorder="1"/>
    <xf numFmtId="14" fontId="6" fillId="4" borderId="1" xfId="0" applyNumberFormat="1" applyFont="1" applyFill="1" applyBorder="1"/>
    <xf numFmtId="0" fontId="5" fillId="4" borderId="1" xfId="0" applyFont="1" applyFill="1" applyBorder="1"/>
    <xf numFmtId="165" fontId="5" fillId="4" borderId="1" xfId="0" applyNumberFormat="1" applyFont="1" applyFill="1" applyBorder="1"/>
    <xf numFmtId="164" fontId="8" fillId="3" borderId="1" xfId="0" applyNumberFormat="1" applyFont="1" applyFill="1" applyBorder="1"/>
    <xf numFmtId="14" fontId="8" fillId="3" borderId="1" xfId="0" applyNumberFormat="1" applyFont="1" applyFill="1" applyBorder="1"/>
    <xf numFmtId="165" fontId="8" fillId="3" borderId="1" xfId="0" applyNumberFormat="1" applyFont="1" applyFill="1" applyBorder="1"/>
    <xf numFmtId="167" fontId="6" fillId="4" borderId="1" xfId="0" applyNumberFormat="1" applyFont="1" applyFill="1" applyBorder="1"/>
    <xf numFmtId="3" fontId="8" fillId="3" borderId="1" xfId="0" applyNumberFormat="1" applyFont="1" applyFill="1" applyBorder="1"/>
    <xf numFmtId="0" fontId="10" fillId="0" borderId="0" xfId="0" applyFont="1"/>
    <xf numFmtId="0" fontId="5" fillId="0" borderId="1" xfId="0" applyFont="1" applyBorder="1"/>
    <xf numFmtId="3" fontId="10" fillId="4" borderId="1" xfId="0" applyNumberFormat="1" applyFont="1" applyFill="1" applyBorder="1" applyAlignment="1">
      <alignment horizontal="right"/>
    </xf>
    <xf numFmtId="164" fontId="10" fillId="4" borderId="1" xfId="0" applyNumberFormat="1" applyFont="1" applyFill="1" applyBorder="1" applyAlignment="1">
      <alignment horizontal="right"/>
    </xf>
    <xf numFmtId="165" fontId="10" fillId="4" borderId="1" xfId="0" applyNumberFormat="1" applyFont="1" applyFill="1" applyBorder="1" applyAlignment="1">
      <alignment horizontal="right"/>
    </xf>
    <xf numFmtId="166" fontId="10" fillId="4" borderId="1" xfId="0" applyNumberFormat="1" applyFont="1" applyFill="1" applyBorder="1" applyAlignment="1">
      <alignment horizontal="right"/>
    </xf>
    <xf numFmtId="167" fontId="10" fillId="4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wrapText="1"/>
    </xf>
    <xf numFmtId="164" fontId="4" fillId="2" borderId="1" xfId="0" applyNumberFormat="1" applyFont="1" applyFill="1" applyBorder="1" applyAlignment="1">
      <alignment horizontal="center" wrapText="1"/>
    </xf>
    <xf numFmtId="3" fontId="11" fillId="4" borderId="1" xfId="0" applyNumberFormat="1" applyFont="1" applyFill="1" applyBorder="1"/>
    <xf numFmtId="164" fontId="11" fillId="4" borderId="1" xfId="0" applyNumberFormat="1" applyFont="1" applyFill="1" applyBorder="1"/>
    <xf numFmtId="166" fontId="11" fillId="4" borderId="1" xfId="0" applyNumberFormat="1" applyFont="1" applyFill="1" applyBorder="1"/>
    <xf numFmtId="0" fontId="11" fillId="4" borderId="1" xfId="0" applyFont="1" applyFill="1" applyBorder="1"/>
    <xf numFmtId="0" fontId="5" fillId="0" borderId="0" xfId="0" applyFont="1"/>
    <xf numFmtId="14" fontId="8" fillId="3" borderId="0" xfId="0" applyNumberFormat="1" applyFont="1" applyFill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14" fontId="8" fillId="0" borderId="1" xfId="0" applyNumberFormat="1" applyFont="1" applyBorder="1"/>
    <xf numFmtId="164" fontId="8" fillId="0" borderId="1" xfId="0" applyNumberFormat="1" applyFont="1" applyBorder="1"/>
    <xf numFmtId="165" fontId="11" fillId="4" borderId="1" xfId="0" applyNumberFormat="1" applyFont="1" applyFill="1" applyBorder="1"/>
    <xf numFmtId="165" fontId="8" fillId="0" borderId="1" xfId="0" applyNumberFormat="1" applyFont="1" applyBorder="1"/>
    <xf numFmtId="167" fontId="11" fillId="4" borderId="1" xfId="0" applyNumberFormat="1" applyFont="1" applyFill="1" applyBorder="1"/>
    <xf numFmtId="3" fontId="8" fillId="0" borderId="1" xfId="0" applyNumberFormat="1" applyFont="1" applyBorder="1"/>
    <xf numFmtId="166" fontId="8" fillId="0" borderId="1" xfId="0" applyNumberFormat="1" applyFont="1" applyBorder="1"/>
    <xf numFmtId="164" fontId="0" fillId="0" borderId="1" xfId="0" applyNumberFormat="1" applyBorder="1"/>
    <xf numFmtId="0" fontId="0" fillId="0" borderId="1" xfId="0" applyBorder="1"/>
    <xf numFmtId="0" fontId="4" fillId="2" borderId="0" xfId="0" applyFont="1" applyFill="1" applyAlignment="1">
      <alignment horizontal="center" wrapText="1"/>
    </xf>
    <xf numFmtId="0" fontId="6" fillId="0" borderId="0" xfId="0" applyFont="1"/>
    <xf numFmtId="167" fontId="8" fillId="3" borderId="1" xfId="0" applyNumberFormat="1" applyFont="1" applyFill="1" applyBorder="1"/>
    <xf numFmtId="165" fontId="8" fillId="3" borderId="0" xfId="0" applyNumberFormat="1" applyFont="1" applyFill="1"/>
    <xf numFmtId="164" fontId="8" fillId="3" borderId="0" xfId="0" applyNumberFormat="1" applyFont="1" applyFill="1"/>
    <xf numFmtId="166" fontId="8" fillId="3" borderId="0" xfId="0" applyNumberFormat="1" applyFont="1" applyFill="1"/>
    <xf numFmtId="3" fontId="8" fillId="3" borderId="0" xfId="0" applyNumberFormat="1" applyFont="1" applyFill="1"/>
    <xf numFmtId="0" fontId="12" fillId="0" borderId="0" xfId="0" applyFont="1"/>
    <xf numFmtId="14" fontId="0" fillId="0" borderId="1" xfId="0" applyNumberFormat="1" applyBorder="1"/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 wrapText="1"/>
    </xf>
    <xf numFmtId="0" fontId="13" fillId="5" borderId="1" xfId="0" applyFont="1" applyFill="1" applyBorder="1" applyAlignment="1">
      <alignment vertical="center"/>
    </xf>
    <xf numFmtId="166" fontId="13" fillId="5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/>
    </xf>
    <xf numFmtId="166" fontId="13" fillId="0" borderId="1" xfId="0" applyNumberFormat="1" applyFont="1" applyBorder="1" applyAlignment="1">
      <alignment vertical="center"/>
    </xf>
    <xf numFmtId="166" fontId="1" fillId="5" borderId="1" xfId="0" applyNumberFormat="1" applyFont="1" applyFill="1" applyBorder="1" applyAlignment="1">
      <alignment vertical="center"/>
    </xf>
    <xf numFmtId="166" fontId="1" fillId="0" borderId="1" xfId="0" applyNumberFormat="1" applyFont="1" applyBorder="1" applyAlignment="1">
      <alignment vertical="center"/>
    </xf>
    <xf numFmtId="0" fontId="1" fillId="0" borderId="0" xfId="0" applyFont="1"/>
    <xf numFmtId="0" fontId="14" fillId="2" borderId="0" xfId="0" applyFont="1" applyFill="1" applyAlignment="1">
      <alignment horizontal="center" wrapText="1"/>
    </xf>
    <xf numFmtId="167" fontId="5" fillId="4" borderId="2" xfId="0" applyNumberFormat="1" applyFont="1" applyFill="1" applyBorder="1"/>
    <xf numFmtId="0" fontId="0" fillId="6" borderId="3" xfId="0" applyFill="1" applyBorder="1"/>
    <xf numFmtId="0" fontId="17" fillId="7" borderId="1" xfId="0" applyFont="1" applyFill="1" applyBorder="1" applyAlignment="1">
      <alignment vertical="center"/>
    </xf>
    <xf numFmtId="0" fontId="17" fillId="7" borderId="1" xfId="0" applyFont="1" applyFill="1" applyBorder="1" applyAlignment="1">
      <alignment vertical="center" wrapText="1"/>
    </xf>
    <xf numFmtId="166" fontId="17" fillId="7" borderId="1" xfId="0" applyNumberFormat="1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 wrapText="1"/>
    </xf>
    <xf numFmtId="166" fontId="17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66" fontId="1" fillId="7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166" fontId="1" fillId="0" borderId="0" xfId="0" applyNumberFormat="1" applyFont="1" applyAlignment="1">
      <alignment vertical="center"/>
    </xf>
    <xf numFmtId="0" fontId="18" fillId="0" borderId="1" xfId="1" applyBorder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7030A0"/>
      <rgbColor rgb="FFEAF3E1"/>
      <rgbColor rgb="FFF2F2F2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BF8F00"/>
      <rgbColor rgb="FFC55A11"/>
      <rgbColor rgb="FF595959"/>
      <rgbColor rgb="FF7F7F7F"/>
      <rgbColor rgb="FF1F3864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7620</xdr:rowOff>
        </xdr:from>
        <xdr:to>
          <xdr:col>4</xdr:col>
          <xdr:colOff>1623060</xdr:colOff>
          <xdr:row>34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 ODA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43</xdr:row>
          <xdr:rowOff>160020</xdr:rowOff>
        </xdr:from>
        <xdr:to>
          <xdr:col>4</xdr:col>
          <xdr:colOff>1623060</xdr:colOff>
          <xdr:row>44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Inserichi Commessa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62</xdr:row>
          <xdr:rowOff>30480</xdr:rowOff>
        </xdr:from>
        <xdr:to>
          <xdr:col>4</xdr:col>
          <xdr:colOff>1524000</xdr:colOff>
          <xdr:row>63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Inserichi Servizio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72</xdr:row>
          <xdr:rowOff>22860</xdr:rowOff>
        </xdr:from>
        <xdr:to>
          <xdr:col>4</xdr:col>
          <xdr:colOff>1546860</xdr:colOff>
          <xdr:row>73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Inserisci Risorsa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75</xdr:row>
          <xdr:rowOff>38100</xdr:rowOff>
        </xdr:from>
        <xdr:to>
          <xdr:col>4</xdr:col>
          <xdr:colOff>1554480</xdr:colOff>
          <xdr:row>75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Inserisci Fase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87</xdr:row>
          <xdr:rowOff>7620</xdr:rowOff>
        </xdr:from>
        <xdr:to>
          <xdr:col>4</xdr:col>
          <xdr:colOff>1638300</xdr:colOff>
          <xdr:row>87</xdr:row>
          <xdr:rowOff>175260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 Previsione 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mailto:lorenzo.elia@enarlab.com" TargetMode="External"/><Relationship Id="rId1" Type="http://schemas.openxmlformats.org/officeDocument/2006/relationships/hyperlink" Target="mailto:r.hopps@ogb.group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B050"/>
  </sheetPr>
  <dimension ref="B1:C57"/>
  <sheetViews>
    <sheetView showGridLines="0" topLeftCell="A20" zoomScaleNormal="100" workbookViewId="0"/>
  </sheetViews>
  <sheetFormatPr defaultColWidth="8.6640625" defaultRowHeight="14.4" x14ac:dyDescent="0.3"/>
  <cols>
    <col min="1" max="1" width="4" customWidth="1"/>
    <col min="2" max="2" width="30" customWidth="1"/>
    <col min="3" max="3" width="100" customWidth="1"/>
  </cols>
  <sheetData>
    <row r="1" spans="2:3" ht="21" x14ac:dyDescent="0.4">
      <c r="B1" s="1" t="s">
        <v>0</v>
      </c>
    </row>
    <row r="2" spans="2:3" x14ac:dyDescent="0.3">
      <c r="B2" s="2" t="s">
        <v>1</v>
      </c>
    </row>
    <row r="4" spans="2:3" ht="19.5" customHeight="1" x14ac:dyDescent="0.3">
      <c r="B4" s="3" t="s">
        <v>2</v>
      </c>
      <c r="C4" s="3"/>
    </row>
    <row r="5" spans="2:3" x14ac:dyDescent="0.3">
      <c r="B5" s="4" t="s">
        <v>3</v>
      </c>
      <c r="C5" s="5" t="s">
        <v>4</v>
      </c>
    </row>
    <row r="6" spans="2:3" x14ac:dyDescent="0.3">
      <c r="B6" s="4" t="s">
        <v>5</v>
      </c>
      <c r="C6" s="5" t="s">
        <v>6</v>
      </c>
    </row>
    <row r="7" spans="2:3" x14ac:dyDescent="0.3">
      <c r="B7" s="4" t="s">
        <v>7</v>
      </c>
      <c r="C7" s="5" t="s">
        <v>8</v>
      </c>
    </row>
    <row r="8" spans="2:3" x14ac:dyDescent="0.3">
      <c r="B8" s="4" t="s">
        <v>9</v>
      </c>
      <c r="C8" s="5" t="s">
        <v>10</v>
      </c>
    </row>
    <row r="9" spans="2:3" x14ac:dyDescent="0.3">
      <c r="B9" s="4" t="s">
        <v>11</v>
      </c>
      <c r="C9" s="5" t="s">
        <v>12</v>
      </c>
    </row>
    <row r="10" spans="2:3" x14ac:dyDescent="0.3">
      <c r="B10" s="4" t="s">
        <v>13</v>
      </c>
      <c r="C10" s="5" t="s">
        <v>14</v>
      </c>
    </row>
    <row r="11" spans="2:3" x14ac:dyDescent="0.3">
      <c r="B11" s="4" t="s">
        <v>15</v>
      </c>
      <c r="C11" s="5" t="s">
        <v>16</v>
      </c>
    </row>
    <row r="13" spans="2:3" ht="19.5" customHeight="1" x14ac:dyDescent="0.3">
      <c r="B13" s="3" t="s">
        <v>17</v>
      </c>
      <c r="C13" s="3"/>
    </row>
    <row r="14" spans="2:3" x14ac:dyDescent="0.3">
      <c r="B14" s="4" t="s">
        <v>18</v>
      </c>
      <c r="C14" s="5" t="s">
        <v>19</v>
      </c>
    </row>
    <row r="15" spans="2:3" x14ac:dyDescent="0.3">
      <c r="B15" s="4" t="s">
        <v>20</v>
      </c>
      <c r="C15" s="5" t="s">
        <v>21</v>
      </c>
    </row>
    <row r="16" spans="2:3" x14ac:dyDescent="0.3">
      <c r="B16" s="4" t="s">
        <v>22</v>
      </c>
      <c r="C16" s="5" t="s">
        <v>23</v>
      </c>
    </row>
    <row r="17" spans="2:3" x14ac:dyDescent="0.3">
      <c r="B17" s="4" t="s">
        <v>24</v>
      </c>
      <c r="C17" s="5" t="s">
        <v>25</v>
      </c>
    </row>
    <row r="19" spans="2:3" ht="19.5" customHeight="1" x14ac:dyDescent="0.3">
      <c r="B19" s="3" t="s">
        <v>26</v>
      </c>
      <c r="C19" s="3"/>
    </row>
    <row r="20" spans="2:3" x14ac:dyDescent="0.3">
      <c r="B20" s="4" t="s">
        <v>27</v>
      </c>
      <c r="C20" s="5" t="s">
        <v>28</v>
      </c>
    </row>
    <row r="21" spans="2:3" ht="26.4" x14ac:dyDescent="0.3">
      <c r="B21" s="4" t="s">
        <v>29</v>
      </c>
      <c r="C21" s="5" t="s">
        <v>30</v>
      </c>
    </row>
    <row r="22" spans="2:3" ht="26.4" x14ac:dyDescent="0.3">
      <c r="B22" s="4" t="s">
        <v>31</v>
      </c>
      <c r="C22" s="5" t="s">
        <v>32</v>
      </c>
    </row>
    <row r="23" spans="2:3" x14ac:dyDescent="0.3">
      <c r="B23" s="4" t="s">
        <v>33</v>
      </c>
      <c r="C23" s="5" t="s">
        <v>34</v>
      </c>
    </row>
    <row r="24" spans="2:3" x14ac:dyDescent="0.3">
      <c r="B24" s="4" t="s">
        <v>35</v>
      </c>
      <c r="C24" s="5" t="s">
        <v>36</v>
      </c>
    </row>
    <row r="26" spans="2:3" ht="19.5" customHeight="1" x14ac:dyDescent="0.3">
      <c r="B26" s="3" t="s">
        <v>37</v>
      </c>
      <c r="C26" s="3"/>
    </row>
    <row r="27" spans="2:3" x14ac:dyDescent="0.3">
      <c r="B27" s="4" t="s">
        <v>38</v>
      </c>
      <c r="C27" s="5" t="s">
        <v>39</v>
      </c>
    </row>
    <row r="28" spans="2:3" x14ac:dyDescent="0.3">
      <c r="B28" s="4" t="s">
        <v>40</v>
      </c>
      <c r="C28" s="5" t="s">
        <v>41</v>
      </c>
    </row>
    <row r="29" spans="2:3" x14ac:dyDescent="0.3">
      <c r="B29" s="4" t="s">
        <v>42</v>
      </c>
      <c r="C29" s="5" t="s">
        <v>43</v>
      </c>
    </row>
    <row r="30" spans="2:3" x14ac:dyDescent="0.3">
      <c r="B30" s="4" t="s">
        <v>44</v>
      </c>
      <c r="C30" s="5" t="s">
        <v>45</v>
      </c>
    </row>
    <row r="31" spans="2:3" x14ac:dyDescent="0.3">
      <c r="B31" s="4" t="s">
        <v>46</v>
      </c>
      <c r="C31" s="5" t="s">
        <v>47</v>
      </c>
    </row>
    <row r="32" spans="2:3" x14ac:dyDescent="0.3">
      <c r="B32" s="4" t="s">
        <v>48</v>
      </c>
      <c r="C32" s="5" t="s">
        <v>49</v>
      </c>
    </row>
    <row r="33" spans="2:3" x14ac:dyDescent="0.3">
      <c r="B33" s="4" t="s">
        <v>50</v>
      </c>
      <c r="C33" s="5" t="s">
        <v>51</v>
      </c>
    </row>
    <row r="34" spans="2:3" x14ac:dyDescent="0.3">
      <c r="B34" s="4" t="s">
        <v>52</v>
      </c>
      <c r="C34" s="5" t="s">
        <v>53</v>
      </c>
    </row>
    <row r="35" spans="2:3" x14ac:dyDescent="0.3">
      <c r="B35" s="4" t="s">
        <v>54</v>
      </c>
      <c r="C35" s="5" t="s">
        <v>55</v>
      </c>
    </row>
    <row r="36" spans="2:3" x14ac:dyDescent="0.3">
      <c r="B36" s="4" t="s">
        <v>56</v>
      </c>
      <c r="C36" s="5" t="s">
        <v>57</v>
      </c>
    </row>
    <row r="37" spans="2:3" x14ac:dyDescent="0.3">
      <c r="B37" s="4" t="s">
        <v>58</v>
      </c>
      <c r="C37" s="5" t="s">
        <v>59</v>
      </c>
    </row>
    <row r="39" spans="2:3" ht="19.5" customHeight="1" x14ac:dyDescent="0.3">
      <c r="B39" s="3" t="s">
        <v>60</v>
      </c>
      <c r="C39" s="3"/>
    </row>
    <row r="40" spans="2:3" x14ac:dyDescent="0.3">
      <c r="B40" s="4" t="s">
        <v>61</v>
      </c>
      <c r="C40" s="5" t="s">
        <v>62</v>
      </c>
    </row>
    <row r="41" spans="2:3" x14ac:dyDescent="0.3">
      <c r="B41" s="4" t="s">
        <v>63</v>
      </c>
      <c r="C41" s="5" t="s">
        <v>64</v>
      </c>
    </row>
    <row r="42" spans="2:3" x14ac:dyDescent="0.3">
      <c r="B42" s="4" t="s">
        <v>65</v>
      </c>
      <c r="C42" s="5" t="s">
        <v>66</v>
      </c>
    </row>
    <row r="43" spans="2:3" x14ac:dyDescent="0.3">
      <c r="B43" s="4" t="s">
        <v>67</v>
      </c>
      <c r="C43" s="5" t="s">
        <v>68</v>
      </c>
    </row>
    <row r="44" spans="2:3" x14ac:dyDescent="0.3">
      <c r="B44" s="4" t="s">
        <v>69</v>
      </c>
      <c r="C44" s="5" t="s">
        <v>70</v>
      </c>
    </row>
    <row r="45" spans="2:3" x14ac:dyDescent="0.3">
      <c r="B45" s="4" t="s">
        <v>71</v>
      </c>
      <c r="C45" s="5" t="s">
        <v>72</v>
      </c>
    </row>
    <row r="47" spans="2:3" ht="19.5" customHeight="1" x14ac:dyDescent="0.3">
      <c r="B47" s="3" t="s">
        <v>73</v>
      </c>
      <c r="C47" s="3"/>
    </row>
    <row r="48" spans="2:3" x14ac:dyDescent="0.3">
      <c r="B48" s="4" t="s">
        <v>74</v>
      </c>
      <c r="C48" s="5" t="s">
        <v>75</v>
      </c>
    </row>
    <row r="49" spans="2:3" x14ac:dyDescent="0.3">
      <c r="B49" s="4" t="s">
        <v>76</v>
      </c>
      <c r="C49" s="5" t="s">
        <v>77</v>
      </c>
    </row>
    <row r="50" spans="2:3" x14ac:dyDescent="0.3">
      <c r="B50" s="4" t="s">
        <v>78</v>
      </c>
      <c r="C50" s="5" t="s">
        <v>79</v>
      </c>
    </row>
    <row r="51" spans="2:3" x14ac:dyDescent="0.3">
      <c r="B51" s="4" t="s">
        <v>80</v>
      </c>
      <c r="C51" s="5" t="s">
        <v>81</v>
      </c>
    </row>
    <row r="53" spans="2:3" ht="19.5" customHeight="1" x14ac:dyDescent="0.3">
      <c r="B53" s="3" t="s">
        <v>82</v>
      </c>
      <c r="C53" s="3"/>
    </row>
    <row r="54" spans="2:3" x14ac:dyDescent="0.3">
      <c r="B54" s="4" t="s">
        <v>83</v>
      </c>
      <c r="C54" s="5" t="s">
        <v>84</v>
      </c>
    </row>
    <row r="55" spans="2:3" x14ac:dyDescent="0.3">
      <c r="B55" s="4" t="s">
        <v>85</v>
      </c>
      <c r="C55" s="5" t="s">
        <v>86</v>
      </c>
    </row>
    <row r="56" spans="2:3" x14ac:dyDescent="0.3">
      <c r="B56" s="4" t="s">
        <v>87</v>
      </c>
      <c r="C56" s="5" t="s">
        <v>88</v>
      </c>
    </row>
    <row r="57" spans="2:3" x14ac:dyDescent="0.3">
      <c r="B57" s="4" t="s">
        <v>89</v>
      </c>
      <c r="C57" s="5" t="s">
        <v>90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rgb="FFFF0000"/>
  </sheetPr>
  <dimension ref="B1:I88"/>
  <sheetViews>
    <sheetView showGridLines="0" zoomScaleNormal="100" workbookViewId="0">
      <selection activeCell="B55" sqref="B55"/>
    </sheetView>
  </sheetViews>
  <sheetFormatPr defaultColWidth="8.6640625" defaultRowHeight="14.4" x14ac:dyDescent="0.3"/>
  <cols>
    <col min="1" max="1" width="3" customWidth="1"/>
    <col min="2" max="2" width="34" customWidth="1"/>
    <col min="3" max="3" width="26" customWidth="1"/>
    <col min="4" max="4" width="4" customWidth="1"/>
    <col min="5" max="5" width="33" customWidth="1"/>
    <col min="6" max="6" width="22" customWidth="1"/>
    <col min="7" max="7" width="4" customWidth="1"/>
    <col min="8" max="8" width="32" customWidth="1"/>
    <col min="9" max="9" width="24" customWidth="1"/>
  </cols>
  <sheetData>
    <row r="1" spans="2:9" ht="21" x14ac:dyDescent="0.4">
      <c r="B1" s="1" t="s">
        <v>91</v>
      </c>
    </row>
    <row r="2" spans="2:9" x14ac:dyDescent="0.3">
      <c r="B2" s="2" t="s">
        <v>92</v>
      </c>
    </row>
    <row r="4" spans="2:9" ht="21.75" customHeight="1" x14ac:dyDescent="0.3">
      <c r="B4" s="3" t="s">
        <v>93</v>
      </c>
      <c r="C4" s="3"/>
      <c r="D4" s="3"/>
      <c r="E4" s="3"/>
      <c r="F4" s="3"/>
      <c r="G4" s="3"/>
      <c r="H4" s="3"/>
      <c r="I4" s="3"/>
    </row>
    <row r="5" spans="2:9" x14ac:dyDescent="0.3">
      <c r="B5" s="6" t="s">
        <v>94</v>
      </c>
      <c r="C5" s="7"/>
    </row>
    <row r="7" spans="2:9" x14ac:dyDescent="0.3">
      <c r="B7" s="6" t="s">
        <v>95</v>
      </c>
      <c r="C7" s="8" t="str">
        <f>IFERROR(INDEX(SERVIZI!$B:$B,MATCH($C$5,SERVIZI!$A:$A,0)),"")</f>
        <v/>
      </c>
      <c r="E7" s="6" t="s">
        <v>96</v>
      </c>
      <c r="F7" s="9" t="str">
        <f>IFERROR(INDEX(SERVIZI!$J:$J,MATCH($C$5,SERVIZI!$A:$A,0)),"")</f>
        <v/>
      </c>
      <c r="H7" s="10" t="s">
        <v>97</v>
      </c>
      <c r="I7" s="11" t="str">
        <f>IFERROR(INDEX(SERVIZI!$M:$M,MATCH($C$5,SERVIZI!$A:$A,0)),"")</f>
        <v/>
      </c>
    </row>
    <row r="8" spans="2:9" x14ac:dyDescent="0.3">
      <c r="B8" s="6" t="s">
        <v>98</v>
      </c>
      <c r="C8" s="8" t="str">
        <f>IFERROR(INDEX(SERVIZI!$C:$C,MATCH($C$5,SERVIZI!$A:$A,0)),"")</f>
        <v/>
      </c>
      <c r="E8" s="6" t="s">
        <v>99</v>
      </c>
      <c r="F8" s="12" t="str">
        <f>IFERROR(INDEX(SERVIZI!$K:$K,MATCH($C$5,SERVIZI!$A:$A,0)),"")</f>
        <v/>
      </c>
      <c r="H8" s="6" t="s">
        <v>100</v>
      </c>
      <c r="I8" s="13" t="str">
        <f>IFERROR(INDEX(SERVIZI!$W:$W,MATCH($C$5,SERVIZI!$A:$A,0)),"")</f>
        <v/>
      </c>
    </row>
    <row r="9" spans="2:9" x14ac:dyDescent="0.3">
      <c r="B9" s="6" t="s">
        <v>101</v>
      </c>
      <c r="C9" s="8" t="str">
        <f>IFERROR(INDEX(SERVIZI!$D:$D,MATCH($C$5,SERVIZI!$A:$A,0)),"")</f>
        <v/>
      </c>
      <c r="E9" s="10" t="s">
        <v>102</v>
      </c>
      <c r="F9" s="14" t="str">
        <f>IFERROR(INDEX(SERVIZI!$L:$L,MATCH($C$5,SERVIZI!$A:$A,0)),"")</f>
        <v/>
      </c>
      <c r="H9" s="10" t="s">
        <v>103</v>
      </c>
      <c r="I9" s="15" t="str">
        <f>IFERROR(INDEX(SERVIZI!$AI:$AI,MATCH($C$5,SERVIZI!$A:$A,0)),"")</f>
        <v/>
      </c>
    </row>
    <row r="10" spans="2:9" x14ac:dyDescent="0.3">
      <c r="B10" s="6" t="s">
        <v>104</v>
      </c>
      <c r="C10" s="8" t="str">
        <f>IFERROR(INDEX(SERVIZI!$E:$E,MATCH($C$5,SERVIZI!$A:$A,0)),"")</f>
        <v/>
      </c>
      <c r="E10" s="10" t="s">
        <v>105</v>
      </c>
      <c r="F10" s="14" t="str">
        <f>IFERROR(INDEX(SERVIZI!$N:$N,MATCH($C$5,SERVIZI!$A:$A,0)),"")</f>
        <v/>
      </c>
      <c r="H10" s="10" t="s">
        <v>106</v>
      </c>
      <c r="I10" s="15" t="str">
        <f>IFERROR(INDEX(SERVIZI!$AH:$AH,MATCH($C$5,SERVIZI!$A:$A,0)),"")</f>
        <v/>
      </c>
    </row>
    <row r="11" spans="2:9" x14ac:dyDescent="0.3">
      <c r="B11" s="6" t="s">
        <v>107</v>
      </c>
      <c r="C11" s="8" t="str">
        <f>IFERROR(INDEX(SERVIZI!$I:$I,MATCH($C$5,SERVIZI!$A:$A,0)),"")</f>
        <v/>
      </c>
      <c r="E11" s="10" t="s">
        <v>9</v>
      </c>
      <c r="F11" s="14" t="str">
        <f>IFERROR(INDEX(SERVIZI!$P:$P,MATCH($C$5,SERVIZI!$A:$A,0)),"")</f>
        <v/>
      </c>
      <c r="H11" s="6" t="s">
        <v>108</v>
      </c>
      <c r="I11" s="13" t="str">
        <f>IFERROR(INDEX(SERVIZI!$X:$X,MATCH($C$5,SERVIZI!$A:$A,0)),"")</f>
        <v/>
      </c>
    </row>
    <row r="12" spans="2:9" x14ac:dyDescent="0.3">
      <c r="B12" s="6" t="s">
        <v>109</v>
      </c>
      <c r="C12" s="16" t="str">
        <f>IFERROR(INDEX(SERVIZI!$G:$G,MATCH($C$5,SERVIZI!$A:$A,0)),"")</f>
        <v/>
      </c>
      <c r="E12" s="10" t="s">
        <v>11</v>
      </c>
      <c r="F12" s="14" t="str">
        <f>IFERROR(INDEX(SERVIZI!$Q:$Q,MATCH($C$5,SERVIZI!$A:$A,0)),"")</f>
        <v/>
      </c>
      <c r="H12" s="10" t="s">
        <v>110</v>
      </c>
      <c r="I12" s="11" t="str">
        <f>IFERROR(INDEX(SERVIZI!$Y:$Y,MATCH($C$5,SERVIZI!$A:$A,0)),"")</f>
        <v/>
      </c>
    </row>
    <row r="13" spans="2:9" x14ac:dyDescent="0.3">
      <c r="B13" s="6" t="s">
        <v>111</v>
      </c>
      <c r="C13" s="16" t="str">
        <f>IFERROR(INDEX(SERVIZI!$H:$H,MATCH($C$5,SERVIZI!$A:$A,0)),"")</f>
        <v/>
      </c>
      <c r="E13" s="6" t="s">
        <v>112</v>
      </c>
      <c r="F13" s="9" t="str">
        <f>IFERROR(INDEX(SERVIZI!$R:$R,MATCH($C$5,SERVIZI!$A:$A,0)),"")</f>
        <v/>
      </c>
      <c r="H13" s="10" t="s">
        <v>113</v>
      </c>
      <c r="I13" s="11" t="str">
        <f>IFERROR(INDEX(SERVIZI!$Z:$Z,MATCH($C$5,SERVIZI!$A:$A,0)),"")</f>
        <v/>
      </c>
    </row>
    <row r="14" spans="2:9" x14ac:dyDescent="0.3">
      <c r="E14" s="10" t="s">
        <v>114</v>
      </c>
      <c r="F14" s="15" t="str">
        <f>IFERROR(INDEX(SERVIZI!$S:$S,MATCH($C$5,SERVIZI!$A:$A,0)),"")</f>
        <v/>
      </c>
      <c r="H14" s="6" t="s">
        <v>115</v>
      </c>
      <c r="I14" s="9" t="str">
        <f>IFERROR(INDEX(SERVIZI!$T:$T,MATCH($C$5,SERVIZI!$A:$A,0)),"")</f>
        <v/>
      </c>
    </row>
    <row r="15" spans="2:9" x14ac:dyDescent="0.3">
      <c r="B15" s="6" t="s">
        <v>116</v>
      </c>
      <c r="C15" s="8" t="str">
        <f>IFERROR(INDEX(COMMESSE!$B:$B,MATCH($C$7,COMMESSE!$A:$A,0))&amp;" – "&amp;INDEX(COMMESSE!$C:$C,MATCH($C$7,COMMESSE!$A:$A,0)),"")</f>
        <v/>
      </c>
      <c r="E15" s="6" t="s">
        <v>117</v>
      </c>
      <c r="F15" s="9" t="str">
        <f>IFERROR(INDEX(SERVIZI!$AA:$AA,MATCH($C$5,SERVIZI!$A:$A,0)),"")</f>
        <v/>
      </c>
      <c r="H15" s="6" t="s">
        <v>118</v>
      </c>
      <c r="I15" s="12" t="str">
        <f>IFERROR(INDEX(SERVIZI!$V:$V,MATCH($C$5,SERVIZI!$A:$A,0)),"")</f>
        <v/>
      </c>
    </row>
    <row r="16" spans="2:9" x14ac:dyDescent="0.3">
      <c r="B16" s="10" t="s">
        <v>119</v>
      </c>
      <c r="C16" s="17" t="str">
        <f>IFERROR(INDEX(SERVIZI!$AN:$AN,MATCH($C$5,SERVIZI!$A:$A,0)),"")</f>
        <v/>
      </c>
      <c r="E16" s="6" t="s">
        <v>120</v>
      </c>
      <c r="F16" s="9" t="str">
        <f>IFERROR(INDEX(SERVIZI!$AB:$AB,MATCH($C$5,SERVIZI!$A:$A,0)),"")</f>
        <v/>
      </c>
      <c r="H16" s="6" t="s">
        <v>121</v>
      </c>
      <c r="I16" s="9" t="str">
        <f>IFERROR(INDEX(SERVIZI!$AJ:$AJ,MATCH($C$5,SERVIZI!$A:$A,0)),"")</f>
        <v/>
      </c>
    </row>
    <row r="17" spans="2:9" x14ac:dyDescent="0.3">
      <c r="B17" s="6" t="s">
        <v>122</v>
      </c>
      <c r="C17" s="13">
        <f ca="1">IFERROR(COUNTIFS(FASI!$B:$B,$C$5,FASI!$H:$H,"&lt;"&amp;TODAY(),FASI!$L:$L,"&lt;1"),0)</f>
        <v>0</v>
      </c>
      <c r="E17" s="10" t="s">
        <v>123</v>
      </c>
      <c r="F17" s="14" t="str">
        <f>IFERROR(INDEX(SERVIZI!$AC:$AC,MATCH($C$5,SERVIZI!$A:$A,0)),"")</f>
        <v/>
      </c>
      <c r="H17" s="6" t="s">
        <v>124</v>
      </c>
      <c r="I17" s="9" t="str">
        <f>IFERROR(INDEX(SERVIZI!$AK:$AK,MATCH($C$5,SERVIZI!$A:$A,0)),"")</f>
        <v/>
      </c>
    </row>
    <row r="18" spans="2:9" x14ac:dyDescent="0.3">
      <c r="B18" s="10" t="s">
        <v>125</v>
      </c>
      <c r="C18" s="14">
        <f>IFERROR(SUMIFS(SAL!$H:$H,SAL!$B:$B,$C$5,SAL!$K:$K,"EMETTIBILE"),0)</f>
        <v>0</v>
      </c>
      <c r="E18" s="10" t="s">
        <v>126</v>
      </c>
      <c r="F18" s="14" t="str">
        <f>IFERROR(INDEX(SERVIZI!$AD:$AD,MATCH($C$5,SERVIZI!$A:$A,0)),"")</f>
        <v/>
      </c>
      <c r="H18" s="6" t="s">
        <v>127</v>
      </c>
      <c r="I18" s="9" t="str">
        <f>IFERROR(INDEX(SERVIZI!$AL:$AL,MATCH($C$5,SERVIZI!$A:$A,0)),"")</f>
        <v/>
      </c>
    </row>
    <row r="19" spans="2:9" x14ac:dyDescent="0.3">
      <c r="B19" s="6" t="s">
        <v>128</v>
      </c>
      <c r="C19" s="13">
        <f>IFERROR(COUNTIFS(ASSEGNAZIONI!$B:$B,$C$5),0)</f>
        <v>0</v>
      </c>
      <c r="E19" s="10" t="s">
        <v>129</v>
      </c>
      <c r="F19" s="15" t="str">
        <f>IFERROR(INDEX(SERVIZI!$AE:$AE,MATCH($C$5,SERVIZI!$A:$A,0)),"")</f>
        <v/>
      </c>
    </row>
    <row r="20" spans="2:9" x14ac:dyDescent="0.3">
      <c r="E20" s="6" t="s">
        <v>130</v>
      </c>
      <c r="F20" s="9" t="str">
        <f>IFERROR(INDEX(SERVIZI!$AF:$AF,MATCH($C$5,SERVIZI!$A:$A,0)),"")</f>
        <v/>
      </c>
    </row>
    <row r="21" spans="2:9" x14ac:dyDescent="0.3">
      <c r="B21" s="2" t="s">
        <v>131</v>
      </c>
      <c r="E21" s="6" t="s">
        <v>132</v>
      </c>
      <c r="F21" s="9" t="str">
        <f>IFERROR(INDEX(SERVIZI!$AG:$AG,MATCH($C$5,SERVIZI!$A:$A,0)),"")</f>
        <v/>
      </c>
    </row>
    <row r="22" spans="2:9" x14ac:dyDescent="0.3">
      <c r="E22" s="6" t="s">
        <v>133</v>
      </c>
      <c r="F22" s="9" t="str">
        <f>IFERROR(INDEX(SERVIZI!$AM:$AM,MATCH($C$5,SERVIZI!$A:$A,0)),"")</f>
        <v/>
      </c>
    </row>
    <row r="24" spans="2:9" ht="21.75" customHeight="1" x14ac:dyDescent="0.3">
      <c r="B24" s="3" t="s">
        <v>134</v>
      </c>
      <c r="C24" s="3"/>
      <c r="D24" s="3"/>
      <c r="E24" s="3"/>
      <c r="F24" s="3"/>
      <c r="G24" s="3"/>
      <c r="H24" s="3"/>
      <c r="I24" s="3"/>
    </row>
    <row r="25" spans="2:9" x14ac:dyDescent="0.3">
      <c r="B25" s="6" t="s">
        <v>135</v>
      </c>
      <c r="C25" s="7"/>
      <c r="E25" s="6" t="s">
        <v>136</v>
      </c>
      <c r="F25" s="8" t="str">
        <f>"ODA-"&amp;IFERROR(INDEX(SERVIZI!$B:$B,MATCH($C$26,SERVIZI!$A:$A,0)),"")&amp;"-"&amp;(COUNTIFS(ODA!$C:$C,INDEX(SERVIZI!$B:$B,MATCH($C$26,SERVIZI!$A:$A,0)),ODA!$X:$X,1)+1)</f>
        <v>ODA--1</v>
      </c>
      <c r="H25" s="6" t="s">
        <v>137</v>
      </c>
      <c r="I25" s="9">
        <f>IFERROR(SUMIFS(ODA!$R:$R,ODA!$B:$B,$C$26),0)</f>
        <v>0</v>
      </c>
    </row>
    <row r="26" spans="2:9" x14ac:dyDescent="0.3">
      <c r="B26" s="6" t="s">
        <v>138</v>
      </c>
      <c r="C26" s="7"/>
    </row>
    <row r="27" spans="2:9" x14ac:dyDescent="0.3">
      <c r="B27" s="6" t="s">
        <v>139</v>
      </c>
      <c r="C27" s="7"/>
      <c r="E27" s="10" t="s">
        <v>140</v>
      </c>
      <c r="F27" s="18" t="str">
        <f>IF($C$31="","",IFERROR($C$32/$C$31,0))</f>
        <v/>
      </c>
      <c r="H27" s="6" t="s">
        <v>141</v>
      </c>
      <c r="I27" s="9">
        <f>IFERROR(INDEX(SERVIZI!$J:$J,MATCH($C$26,SERVIZI!$A:$A,0)),0)</f>
        <v>0</v>
      </c>
    </row>
    <row r="28" spans="2:9" x14ac:dyDescent="0.3">
      <c r="B28" s="6" t="s">
        <v>142</v>
      </c>
      <c r="C28" s="7"/>
    </row>
    <row r="29" spans="2:9" x14ac:dyDescent="0.3">
      <c r="B29" s="6" t="s">
        <v>143</v>
      </c>
      <c r="C29" s="7"/>
      <c r="E29" s="10" t="s">
        <v>144</v>
      </c>
      <c r="F29" s="14" t="str">
        <f>IF($C$31="","",$C$32-$C$31)</f>
        <v/>
      </c>
      <c r="H29" s="10" t="s">
        <v>145</v>
      </c>
      <c r="I29" s="14" t="str">
        <f>IF($C$31="","",$I$27-$I$25-$C$31)</f>
        <v/>
      </c>
    </row>
    <row r="30" spans="2:9" x14ac:dyDescent="0.3">
      <c r="B30" s="6" t="s">
        <v>146</v>
      </c>
      <c r="C30" s="7"/>
    </row>
    <row r="31" spans="2:9" x14ac:dyDescent="0.3">
      <c r="B31" s="6" t="s">
        <v>147</v>
      </c>
      <c r="C31" s="19"/>
      <c r="E31" s="6" t="s">
        <v>148</v>
      </c>
      <c r="F31" s="12">
        <f>IFERROR(INDEX(SERVIZI!$K:$K,MATCH($C$26,SERVIZI!$A:$A,0)),0)</f>
        <v>0</v>
      </c>
      <c r="H31" s="6" t="s">
        <v>149</v>
      </c>
      <c r="I31" s="9">
        <f>IFERROR(INDEX(SERVIZI!$L:$L,MATCH($C$26,SERVIZI!$A:$A,0)),0)</f>
        <v>0</v>
      </c>
    </row>
    <row r="32" spans="2:9" x14ac:dyDescent="0.3">
      <c r="B32" s="6" t="s">
        <v>150</v>
      </c>
      <c r="C32" s="19"/>
    </row>
    <row r="33" spans="2:9" x14ac:dyDescent="0.3">
      <c r="B33" s="6" t="s">
        <v>107</v>
      </c>
      <c r="C33" s="7"/>
      <c r="E33" s="6" t="s">
        <v>151</v>
      </c>
      <c r="F33" s="17" t="str">
        <f>IF($C$31="","",IF($C$31&gt;SOGLIA_DIR,"DIREZIONE",IF($C$31&gt;SOGLIA_PM,"PROJECT MANAGER","AUTONOMO")))</f>
        <v/>
      </c>
    </row>
    <row r="34" spans="2:9" x14ac:dyDescent="0.3">
      <c r="B34" s="6" t="s">
        <v>152</v>
      </c>
      <c r="C34" s="20"/>
    </row>
    <row r="35" spans="2:9" x14ac:dyDescent="0.3">
      <c r="B35" s="6" t="s">
        <v>153</v>
      </c>
      <c r="C35" s="20"/>
      <c r="E35" s="2" t="s">
        <v>154</v>
      </c>
    </row>
    <row r="36" spans="2:9" x14ac:dyDescent="0.3">
      <c r="B36" s="6" t="s">
        <v>155</v>
      </c>
      <c r="C36" s="7"/>
    </row>
    <row r="37" spans="2:9" x14ac:dyDescent="0.3">
      <c r="B37" s="6" t="s">
        <v>156</v>
      </c>
      <c r="C37" s="19"/>
    </row>
    <row r="38" spans="2:9" x14ac:dyDescent="0.3">
      <c r="B38" s="6" t="s">
        <v>157</v>
      </c>
      <c r="C38" s="7"/>
    </row>
    <row r="40" spans="2:9" ht="21.75" customHeight="1" x14ac:dyDescent="0.3">
      <c r="B40" s="3" t="s">
        <v>158</v>
      </c>
      <c r="C40" s="3"/>
      <c r="D40" s="3"/>
      <c r="E40" s="3"/>
      <c r="F40" s="3"/>
      <c r="G40" s="3"/>
      <c r="H40" s="3"/>
      <c r="I40" s="3"/>
    </row>
    <row r="41" spans="2:9" x14ac:dyDescent="0.3">
      <c r="B41" s="6" t="s">
        <v>159</v>
      </c>
      <c r="C41" s="7"/>
      <c r="E41" s="6" t="s">
        <v>160</v>
      </c>
      <c r="F41" s="8" t="str">
        <f ca="1">TEXT(YEAR(TODAY())-2000,"00")&amp;"-"&amp;TEXT(COUNTA(COMMESSE!$A$2:$A$201)+1,"000")</f>
        <v>26-002</v>
      </c>
    </row>
    <row r="42" spans="2:9" x14ac:dyDescent="0.3">
      <c r="B42" s="6" t="s">
        <v>161</v>
      </c>
      <c r="C42" s="7"/>
    </row>
    <row r="43" spans="2:9" x14ac:dyDescent="0.3">
      <c r="B43" s="6" t="s">
        <v>162</v>
      </c>
      <c r="C43" s="7"/>
      <c r="E43" s="2" t="s">
        <v>163</v>
      </c>
    </row>
    <row r="44" spans="2:9" x14ac:dyDescent="0.3">
      <c r="B44" s="6" t="s">
        <v>164</v>
      </c>
      <c r="C44" s="7"/>
    </row>
    <row r="45" spans="2:9" x14ac:dyDescent="0.3">
      <c r="B45" s="6" t="s">
        <v>109</v>
      </c>
      <c r="C45" s="20"/>
      <c r="E45" s="2" t="s">
        <v>165</v>
      </c>
    </row>
    <row r="46" spans="2:9" x14ac:dyDescent="0.3">
      <c r="B46" s="6" t="s">
        <v>111</v>
      </c>
      <c r="C46" s="20"/>
    </row>
    <row r="47" spans="2:9" x14ac:dyDescent="0.3">
      <c r="B47" s="6" t="s">
        <v>107</v>
      </c>
      <c r="C47" s="7"/>
    </row>
    <row r="48" spans="2:9" x14ac:dyDescent="0.3">
      <c r="B48" s="6" t="s">
        <v>166</v>
      </c>
      <c r="C48" s="19"/>
    </row>
    <row r="50" spans="2:9" ht="21.75" customHeight="1" x14ac:dyDescent="0.3">
      <c r="B50" s="3" t="s">
        <v>167</v>
      </c>
      <c r="C50" s="3"/>
      <c r="D50" s="3"/>
      <c r="E50" s="3"/>
      <c r="F50" s="3"/>
      <c r="G50" s="3"/>
      <c r="H50" s="3"/>
      <c r="I50" s="3"/>
    </row>
    <row r="51" spans="2:9" x14ac:dyDescent="0.3">
      <c r="B51" s="6" t="s">
        <v>159</v>
      </c>
      <c r="C51" s="7"/>
      <c r="E51" s="6" t="s">
        <v>168</v>
      </c>
      <c r="F51" s="8" t="str">
        <f>IF($C$51="","",$C$51&amp;"-"&amp;CHAR(65+COUNTIFS(SERVIZI!$B:$B,$C$51)))</f>
        <v/>
      </c>
      <c r="H51" s="6" t="s">
        <v>169</v>
      </c>
      <c r="I51" s="13">
        <f>IF($C$56="",0,COUNTIFS(TEMPLATE_FASI!$A:$A,$C$56))</f>
        <v>0</v>
      </c>
    </row>
    <row r="52" spans="2:9" x14ac:dyDescent="0.3">
      <c r="B52" s="6" t="s">
        <v>138</v>
      </c>
      <c r="C52" s="7"/>
    </row>
    <row r="53" spans="2:9" x14ac:dyDescent="0.3">
      <c r="B53" s="6" t="s">
        <v>98</v>
      </c>
      <c r="C53" s="7"/>
      <c r="E53" s="10" t="s">
        <v>170</v>
      </c>
      <c r="F53" s="14" t="str">
        <f>IF($C$59="","",$C$59*IF($C$60="",MARKUP_DEF,$C$60))</f>
        <v/>
      </c>
      <c r="H53" s="2" t="s">
        <v>171</v>
      </c>
    </row>
    <row r="54" spans="2:9" x14ac:dyDescent="0.3">
      <c r="B54" s="6" t="s">
        <v>101</v>
      </c>
      <c r="C54" s="7"/>
    </row>
    <row r="55" spans="2:9" x14ac:dyDescent="0.3">
      <c r="B55" s="6" t="s">
        <v>104</v>
      </c>
      <c r="C55" s="7"/>
      <c r="E55" s="6" t="s">
        <v>172</v>
      </c>
      <c r="F55" s="9" t="str">
        <f>IF($C$59="","",$F$53-$C$59)</f>
        <v/>
      </c>
    </row>
    <row r="56" spans="2:9" x14ac:dyDescent="0.3">
      <c r="B56" s="6" t="s">
        <v>173</v>
      </c>
      <c r="C56" s="7"/>
      <c r="H56" s="2" t="s">
        <v>174</v>
      </c>
    </row>
    <row r="57" spans="2:9" x14ac:dyDescent="0.3">
      <c r="B57" s="6" t="s">
        <v>109</v>
      </c>
      <c r="C57" s="20"/>
      <c r="E57" s="6" t="s">
        <v>175</v>
      </c>
      <c r="F57" s="9">
        <f>IFERROR(INDEX(COMMESSE!$H:$H,MATCH($C$51,COMMESSE!$A:$A,0)),0)</f>
        <v>0</v>
      </c>
    </row>
    <row r="58" spans="2:9" x14ac:dyDescent="0.3">
      <c r="B58" s="6" t="s">
        <v>111</v>
      </c>
      <c r="C58" s="20"/>
    </row>
    <row r="59" spans="2:9" x14ac:dyDescent="0.3">
      <c r="B59" s="6" t="s">
        <v>176</v>
      </c>
      <c r="C59" s="19"/>
      <c r="E59" s="6" t="s">
        <v>177</v>
      </c>
      <c r="F59" s="9">
        <f>IFERROR(SUMIFS(SERVIZI!$Q:$Q,SERVIZI!$B:$B,$C$51),0)</f>
        <v>0</v>
      </c>
    </row>
    <row r="60" spans="2:9" x14ac:dyDescent="0.3">
      <c r="B60" s="6" t="s">
        <v>178</v>
      </c>
      <c r="C60" s="21"/>
    </row>
    <row r="61" spans="2:9" x14ac:dyDescent="0.3">
      <c r="B61" s="6" t="s">
        <v>179</v>
      </c>
      <c r="C61" s="19"/>
      <c r="E61" s="10" t="s">
        <v>180</v>
      </c>
      <c r="F61" s="14" t="str">
        <f>IF($C$51="","",$F$57-$F$59-IF($C$61="",0,$C$61))</f>
        <v/>
      </c>
    </row>
    <row r="63" spans="2:9" x14ac:dyDescent="0.3">
      <c r="E63" s="2" t="s">
        <v>181</v>
      </c>
    </row>
    <row r="65" spans="2:9" ht="21.75" customHeight="1" x14ac:dyDescent="0.3">
      <c r="B65" s="3" t="s">
        <v>182</v>
      </c>
      <c r="C65" s="3"/>
      <c r="D65" s="3"/>
      <c r="E65" s="3"/>
      <c r="F65" s="3"/>
      <c r="G65" s="3"/>
      <c r="H65" s="3"/>
      <c r="I65" s="3"/>
    </row>
    <row r="66" spans="2:9" x14ac:dyDescent="0.3">
      <c r="B66" s="6" t="s">
        <v>138</v>
      </c>
      <c r="C66" s="7"/>
      <c r="E66" s="6" t="s">
        <v>183</v>
      </c>
      <c r="F66" s="8" t="str">
        <f>IF($C$67="","",IFERROR(INDEX(TEAM!$B:$B,MATCH($C$67,TEAM!$A:$A,0)),""))</f>
        <v/>
      </c>
      <c r="H66" s="6" t="s">
        <v>184</v>
      </c>
      <c r="I66" s="13">
        <f>IFERROR(SUMIFS(ASSEGNAZIONI!$F:$F,ASSEGNAZIONI!$B:$B,$C$66),0)</f>
        <v>0</v>
      </c>
    </row>
    <row r="67" spans="2:9" x14ac:dyDescent="0.3">
      <c r="B67" s="6" t="s">
        <v>185</v>
      </c>
      <c r="C67" s="7"/>
      <c r="E67" s="6" t="s">
        <v>186</v>
      </c>
      <c r="F67" s="22" t="str">
        <f>IF($C$67="","",IFERROR(INDEX(TEAM!$C:$C,MATCH($C$67,TEAM!$A:$A,0)),0))</f>
        <v/>
      </c>
      <c r="H67" s="6" t="s">
        <v>187</v>
      </c>
      <c r="I67" s="9">
        <f>IFERROR(SUMIFS(ASSEGNAZIONI!$I:$I,ASSEGNAZIONI!$B:$B,$C$66),0)</f>
        <v>0</v>
      </c>
    </row>
    <row r="68" spans="2:9" x14ac:dyDescent="0.3">
      <c r="B68" s="6" t="s">
        <v>188</v>
      </c>
      <c r="C68" s="7"/>
      <c r="E68" s="6" t="s">
        <v>189</v>
      </c>
      <c r="F68" s="22" t="str">
        <f>IF($C$67="","",IFERROR(INDEX(TEAM!$D:$D,MATCH($C$67,TEAM!$A:$A,0)),0))</f>
        <v/>
      </c>
      <c r="H68" s="6" t="s">
        <v>190</v>
      </c>
      <c r="I68" s="9">
        <f>IFERROR(INDEX(SERVIZI!$L:$L,MATCH($C$66,SERVIZI!$A:$A,0)),0)</f>
        <v>0</v>
      </c>
    </row>
    <row r="69" spans="2:9" x14ac:dyDescent="0.3">
      <c r="B69" s="6" t="s">
        <v>191</v>
      </c>
      <c r="C69" s="23"/>
      <c r="E69" s="10" t="s">
        <v>192</v>
      </c>
      <c r="F69" s="14" t="str">
        <f>IF($C$69="","",$C$69*$F$68)</f>
        <v/>
      </c>
      <c r="H69" s="10" t="s">
        <v>193</v>
      </c>
      <c r="I69" s="14" t="str">
        <f>IF($C$66="","",$I$68+$I$67+IF($C$69="",0,$C$69*$F$68))</f>
        <v/>
      </c>
    </row>
    <row r="70" spans="2:9" x14ac:dyDescent="0.3">
      <c r="E70" s="6" t="s">
        <v>194</v>
      </c>
      <c r="F70" s="9" t="str">
        <f>IF($C$69="","",$C$69*$F$67)</f>
        <v/>
      </c>
      <c r="H70" s="6" t="s">
        <v>195</v>
      </c>
      <c r="I70" s="9">
        <f>IFERROR(INDEX(SERVIZI!$Q:$Q,MATCH($C$66,SERVIZI!$A:$A,0)),0)</f>
        <v>0</v>
      </c>
    </row>
    <row r="71" spans="2:9" x14ac:dyDescent="0.3">
      <c r="E71" s="10" t="s">
        <v>196</v>
      </c>
      <c r="F71" s="14" t="str">
        <f>IF($C$69="","",$F$69-$F$70)</f>
        <v/>
      </c>
      <c r="H71" s="10" t="s">
        <v>197</v>
      </c>
      <c r="I71" s="14" t="str">
        <f>IF($C$66="","",$I$70-$I$69)</f>
        <v/>
      </c>
    </row>
    <row r="72" spans="2:9" x14ac:dyDescent="0.3">
      <c r="H72" s="6" t="s">
        <v>198</v>
      </c>
      <c r="I72" s="13" t="str">
        <f>IF($C$67="","",IFERROR(SUMIFS(ASSEGNAZIONI!$F:$F,ASSEGNAZIONI!$C:$C,$C$67),0))</f>
        <v/>
      </c>
    </row>
    <row r="73" spans="2:9" x14ac:dyDescent="0.3">
      <c r="E73" s="2" t="s">
        <v>199</v>
      </c>
    </row>
    <row r="75" spans="2:9" ht="21.75" customHeight="1" x14ac:dyDescent="0.3">
      <c r="B75" s="3" t="s">
        <v>200</v>
      </c>
      <c r="C75" s="3"/>
      <c r="D75" s="3"/>
      <c r="E75" s="3"/>
      <c r="F75" s="3"/>
      <c r="G75" s="3"/>
      <c r="H75" s="3"/>
      <c r="I75" s="3"/>
    </row>
    <row r="76" spans="2:9" x14ac:dyDescent="0.3">
      <c r="B76" s="6" t="s">
        <v>138</v>
      </c>
      <c r="C76" s="7"/>
      <c r="E76" s="2" t="s">
        <v>201</v>
      </c>
    </row>
    <row r="77" spans="2:9" x14ac:dyDescent="0.3">
      <c r="B77" s="6" t="s">
        <v>202</v>
      </c>
      <c r="C77" s="7"/>
    </row>
    <row r="78" spans="2:9" x14ac:dyDescent="0.3">
      <c r="B78" s="6" t="s">
        <v>203</v>
      </c>
      <c r="C78" s="23"/>
      <c r="E78" s="2" t="s">
        <v>204</v>
      </c>
    </row>
    <row r="79" spans="2:9" x14ac:dyDescent="0.3">
      <c r="B79" s="6" t="s">
        <v>205</v>
      </c>
      <c r="C79" s="20"/>
    </row>
    <row r="81" spans="2:9" ht="21.75" customHeight="1" x14ac:dyDescent="0.3">
      <c r="B81" s="3" t="s">
        <v>206</v>
      </c>
      <c r="C81" s="3"/>
      <c r="D81" s="3"/>
      <c r="E81" s="3"/>
      <c r="F81" s="3"/>
      <c r="G81" s="3"/>
      <c r="H81" s="3"/>
      <c r="I81" s="3"/>
    </row>
    <row r="82" spans="2:9" x14ac:dyDescent="0.3">
      <c r="B82" s="6" t="s">
        <v>138</v>
      </c>
      <c r="C82" s="7"/>
      <c r="E82" s="6" t="s">
        <v>207</v>
      </c>
      <c r="F82" s="13" t="str">
        <f>IF($C$83="","",IFERROR(SUMIFS(ORE!$F:$F,ORE!$B:$B,$C$82,ORE!$E:$E,$C$83),0))</f>
        <v/>
      </c>
      <c r="H82" s="6" t="s">
        <v>208</v>
      </c>
      <c r="I82" s="13" t="str">
        <f>IF($C$82="","",IFERROR(INDEX(SERVIZI!$M:$M,MATCH($C$82,SERVIZI!$A:$A,0)),0))</f>
        <v/>
      </c>
    </row>
    <row r="83" spans="2:9" x14ac:dyDescent="0.3">
      <c r="B83" s="6" t="s">
        <v>185</v>
      </c>
      <c r="C83" s="7"/>
      <c r="E83" s="6" t="s">
        <v>209</v>
      </c>
      <c r="F83" s="13" t="str">
        <f>IF($C$83="","",IFERROR(SUMIFS(ASSEGNAZIONI!$F:$F,ASSEGNAZIONI!$B:$B,$C$82,ASSEGNAZIONI!$C:$C,$C$83),0))</f>
        <v/>
      </c>
      <c r="H83" s="6" t="s">
        <v>210</v>
      </c>
      <c r="I83" s="13" t="str">
        <f>IF($C$82="","",IFERROR(INDEX(SERVIZI!$Y:$Y,MATCH($C$82,SERVIZI!$A:$A,0)),0))</f>
        <v/>
      </c>
    </row>
    <row r="84" spans="2:9" x14ac:dyDescent="0.3">
      <c r="B84" s="6" t="s">
        <v>211</v>
      </c>
      <c r="C84" s="20"/>
      <c r="E84" s="10" t="s">
        <v>212</v>
      </c>
      <c r="F84" s="11" t="str">
        <f>IF($C$86="","",$F$82+$C$86)</f>
        <v/>
      </c>
      <c r="H84" s="6" t="s">
        <v>213</v>
      </c>
      <c r="I84" s="9" t="str">
        <f>IF($C$82="","",IFERROR(INDEX(SERVIZI!$N:$N,MATCH($C$82,SERVIZI!$A:$A,0)),0))</f>
        <v/>
      </c>
    </row>
    <row r="85" spans="2:9" x14ac:dyDescent="0.3">
      <c r="B85" s="6" t="s">
        <v>214</v>
      </c>
      <c r="C85" s="7"/>
      <c r="E85" s="10" t="s">
        <v>215</v>
      </c>
      <c r="F85" s="11" t="str">
        <f>IF($C$86="","",$F$84-$F$83)</f>
        <v/>
      </c>
      <c r="H85" s="10" t="s">
        <v>216</v>
      </c>
      <c r="I85" s="73" t="str">
        <f>IF($C$82="","",IFERROR(INDEX(SERVIZI!$N:$N,MATCH($C$82,SERVIZI!$A:$A,0))/INDEX(SERVIZI!$Y:$Y,MATCH($C$82,SERVIZI!$A:$A,0)),0))</f>
        <v/>
      </c>
    </row>
    <row r="86" spans="2:9" x14ac:dyDescent="0.3">
      <c r="B86" s="6" t="s">
        <v>217</v>
      </c>
      <c r="C86" s="23"/>
      <c r="E86" s="10" t="s">
        <v>218</v>
      </c>
      <c r="F86" s="14" t="str">
        <f>IF($C$86="","",-$F$85*IFERROR(INDEX(TEAM!$C:$C,MATCH($C$83,TEAM!$A:$A,0)),0))</f>
        <v/>
      </c>
      <c r="H86" s="6" t="s">
        <v>976</v>
      </c>
      <c r="I86" s="74" t="str">
        <f>IF($C$83="","",MAX(0,$F$83-$F$82))</f>
        <v/>
      </c>
    </row>
    <row r="87" spans="2:9" x14ac:dyDescent="0.3">
      <c r="B87" s="6" t="s">
        <v>219</v>
      </c>
      <c r="C87" s="7"/>
      <c r="H87" s="2" t="s">
        <v>220</v>
      </c>
    </row>
    <row r="88" spans="2:9" x14ac:dyDescent="0.3">
      <c r="B88" s="6" t="s">
        <v>157</v>
      </c>
      <c r="C88" s="7"/>
      <c r="E88" s="2" t="s">
        <v>221</v>
      </c>
    </row>
  </sheetData>
  <dataValidations count="9">
    <dataValidation type="list" allowBlank="1" sqref="C33" xr:uid="{00000000-0002-0000-0100-000004000000}">
      <formula1>L_STATO_ODA</formula1>
    </dataValidation>
    <dataValidation type="list" allowBlank="1" sqref="C87 C36 C55 C67 C83" xr:uid="{00000000-0002-0000-0100-000005000000}">
      <formula1>L_PERSONA</formula1>
    </dataValidation>
    <dataValidation type="list" allowBlank="1" sqref="C47" xr:uid="{00000000-0002-0000-0100-000006000000}">
      <formula1>L_STATO</formula1>
    </dataValidation>
    <dataValidation type="list" allowBlank="1" sqref="C53" xr:uid="{00000000-0002-0000-0100-000008000000}">
      <formula1>L_SERVIZIO</formula1>
    </dataValidation>
    <dataValidation type="list" allowBlank="1" sqref="C56" xr:uid="{00000000-0002-0000-0100-00000A000000}">
      <formula1>L_TEMPLATE</formula1>
    </dataValidation>
    <dataValidation type="list" allowBlank="1" sqref="C68" xr:uid="{00000000-0002-0000-0100-00000D000000}">
      <formula1>L_RUOLO</formula1>
    </dataValidation>
    <dataValidation type="list" allowBlank="1" sqref="C28" xr:uid="{00000000-0002-0000-0100-000003000000}">
      <formula1>CATEGORIE</formula1>
    </dataValidation>
    <dataValidation allowBlank="1" showInputMessage="1" showErrorMessage="1" promptTitle="ETC - Estimate To Complete" prompt="Stima per completare: quante ore servono ancora da oggi alla fine. È il numero che il PM stima guardando lo stato reale del progetto." sqref="C86" xr:uid="{E713732F-E0C4-4758-B049-CABF072DD0E9}"/>
    <dataValidation allowBlank="1" showInputMessage="1" showErrorMessage="1" promptTitle="EAC — Estimate at Completion" prompt="Stima a finire: il totale che il progetto costerà in tutto, cioè quello che hai già speso più quello che ti resta da spendere." sqref="F84" xr:uid="{6253047C-04EF-4008-B06A-2F74D7D40A5E}"/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lvaODA">
                <anchor moveWithCells="1" sizeWithCells="1">
                  <from>
                    <xdr:col>4</xdr:col>
                    <xdr:colOff>38100</xdr:colOff>
                    <xdr:row>34</xdr:row>
                    <xdr:rowOff>7620</xdr:rowOff>
                  </from>
                  <to>
                    <xdr:col>4</xdr:col>
                    <xdr:colOff>1623060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uovaCommessa">
                <anchor moveWithCells="1" sizeWithCells="1">
                  <from>
                    <xdr:col>4</xdr:col>
                    <xdr:colOff>30480</xdr:colOff>
                    <xdr:row>43</xdr:row>
                    <xdr:rowOff>160020</xdr:rowOff>
                  </from>
                  <to>
                    <xdr:col>4</xdr:col>
                    <xdr:colOff>1623060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uovoServizio">
                <anchor moveWithCells="1" sizeWithCells="1">
                  <from>
                    <xdr:col>4</xdr:col>
                    <xdr:colOff>38100</xdr:colOff>
                    <xdr:row>62</xdr:row>
                    <xdr:rowOff>30480</xdr:rowOff>
                  </from>
                  <to>
                    <xdr:col>4</xdr:col>
                    <xdr:colOff>1524000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alvaAssegnazione">
                <anchor moveWithCells="1" sizeWithCells="1">
                  <from>
                    <xdr:col>4</xdr:col>
                    <xdr:colOff>38100</xdr:colOff>
                    <xdr:row>72</xdr:row>
                    <xdr:rowOff>22860</xdr:rowOff>
                  </from>
                  <to>
                    <xdr:col>4</xdr:col>
                    <xdr:colOff>1546860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ggiornaFase">
                <anchor moveWithCells="1" sizeWithCells="1">
                  <from>
                    <xdr:col>4</xdr:col>
                    <xdr:colOff>38100</xdr:colOff>
                    <xdr:row>75</xdr:row>
                    <xdr:rowOff>38100</xdr:rowOff>
                  </from>
                  <to>
                    <xdr:col>4</xdr:col>
                    <xdr:colOff>1554480</xdr:colOff>
                    <xdr:row>75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alvaPrevisione">
                <anchor moveWithCells="1" sizeWithCells="1">
                  <from>
                    <xdr:col>4</xdr:col>
                    <xdr:colOff>38100</xdr:colOff>
                    <xdr:row>87</xdr:row>
                    <xdr:rowOff>7620</xdr:rowOff>
                  </from>
                  <to>
                    <xdr:col>4</xdr:col>
                    <xdr:colOff>1638300</xdr:colOff>
                    <xdr:row>87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100-000000000000}">
          <x14:formula1>
            <xm:f>SERVIZI!$A$2:$A$201</xm:f>
          </x14:formula1>
          <x14:formula2>
            <xm:f>0</xm:f>
          </x14:formula2>
          <xm:sqref>C5 C82 C76 C66 C26</xm:sqref>
        </x14:dataValidation>
        <x14:dataValidation type="list" allowBlank="1" xr:uid="{00000000-0002-0000-0100-000002000000}">
          <x14:formula1>
            <xm:f>FORNITORI!$B$2:$B$201</xm:f>
          </x14:formula1>
          <x14:formula2>
            <xm:f>0</xm:f>
          </x14:formula2>
          <xm:sqref>C27</xm:sqref>
        </x14:dataValidation>
        <x14:dataValidation type="list" allowBlank="1" xr:uid="{00000000-0002-0000-0100-000007000000}">
          <x14:formula1>
            <xm:f>COMMESSE!$A$2:$A$201</xm:f>
          </x14:formula1>
          <x14:formula2>
            <xm:f>0</xm:f>
          </x14:formula2>
          <xm:sqref>C51</xm:sqref>
        </x14:dataValidation>
        <x14:dataValidation type="list" allowBlank="1" xr:uid="{00000000-0002-0000-0100-00000F000000}">
          <x14:formula1>
            <xm:f>FASI!$D$2:$D$201</xm:f>
          </x14:formula1>
          <x14:formula2>
            <xm:f>0</xm:f>
          </x14:formula2>
          <xm:sqref>C77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rgb="FF1F3864"/>
  </sheetPr>
  <dimension ref="B1:H40"/>
  <sheetViews>
    <sheetView showGridLines="0" topLeftCell="A3" zoomScaleNormal="100" workbookViewId="0">
      <selection activeCell="B39" sqref="B39"/>
    </sheetView>
  </sheetViews>
  <sheetFormatPr defaultColWidth="8.6640625" defaultRowHeight="14.4" x14ac:dyDescent="0.3"/>
  <cols>
    <col min="1" max="1" width="3" customWidth="1"/>
    <col min="2" max="2" width="46" customWidth="1"/>
    <col min="3" max="3" width="18" customWidth="1"/>
    <col min="4" max="4" width="16" customWidth="1"/>
    <col min="5" max="5" width="46" customWidth="1"/>
    <col min="6" max="6" width="18" customWidth="1"/>
    <col min="7" max="7" width="14" customWidth="1"/>
    <col min="8" max="8" width="12" customWidth="1"/>
  </cols>
  <sheetData>
    <row r="1" spans="2:6" ht="21" x14ac:dyDescent="0.4">
      <c r="B1" s="1" t="s">
        <v>222</v>
      </c>
    </row>
    <row r="2" spans="2:6" x14ac:dyDescent="0.3">
      <c r="B2" s="2" t="s">
        <v>223</v>
      </c>
    </row>
    <row r="4" spans="2:6" x14ac:dyDescent="0.3">
      <c r="B4" s="24" t="s">
        <v>224</v>
      </c>
      <c r="E4" s="24" t="s">
        <v>225</v>
      </c>
    </row>
    <row r="5" spans="2:6" x14ac:dyDescent="0.3">
      <c r="B5" s="25" t="s">
        <v>226</v>
      </c>
      <c r="C5" s="26">
        <f>COUNTIFS(COMMESSE!$G:$G,"Attiva")</f>
        <v>1</v>
      </c>
      <c r="E5" s="25" t="s">
        <v>96</v>
      </c>
      <c r="F5" s="27">
        <f>SUMIFS(SERVIZI!$J:$J,SERVIZI!$I:$I,"Attiva")</f>
        <v>53500</v>
      </c>
    </row>
    <row r="6" spans="2:6" x14ac:dyDescent="0.3">
      <c r="B6" s="25" t="s">
        <v>227</v>
      </c>
      <c r="C6" s="26">
        <f>COUNTIFS(SERVIZI!$I:$I,"Attiva")</f>
        <v>2</v>
      </c>
      <c r="E6" s="25" t="s">
        <v>228</v>
      </c>
      <c r="F6" s="27">
        <f>SUMIFS(SERVIZI!$L:$L,SERVIZI!$I:$I,"Attiva")</f>
        <v>83138.464999999997</v>
      </c>
    </row>
    <row r="7" spans="2:6" x14ac:dyDescent="0.3">
      <c r="B7" s="25" t="s">
        <v>229</v>
      </c>
      <c r="C7" s="27">
        <f>SUMIFS(SERVIZI!$P:$P,SERVIZI!$I:$I,"Attiva")</f>
        <v>96999.584999999992</v>
      </c>
      <c r="E7" s="25" t="s">
        <v>230</v>
      </c>
      <c r="F7" s="28">
        <f>IFERROR($F$6/$F$5,0)</f>
        <v>1.55399</v>
      </c>
    </row>
    <row r="8" spans="2:6" x14ac:dyDescent="0.3">
      <c r="B8" s="25" t="s">
        <v>11</v>
      </c>
      <c r="C8" s="27">
        <f>SUMIFS(SERVIZI!$Q:$Q,SERVIZI!$I:$I,"Attiva")</f>
        <v>97000</v>
      </c>
      <c r="E8" s="25" t="s">
        <v>231</v>
      </c>
      <c r="F8" s="27">
        <f>SUM(ODA!$R$2:$R$201)</f>
        <v>0</v>
      </c>
    </row>
    <row r="9" spans="2:6" x14ac:dyDescent="0.3">
      <c r="B9" s="25" t="s">
        <v>232</v>
      </c>
      <c r="C9" s="27">
        <f>$C$8-$C$7</f>
        <v>0.41500000000814907</v>
      </c>
      <c r="E9" s="25" t="s">
        <v>233</v>
      </c>
      <c r="F9" s="27">
        <f>SUM(ODA!$I$2:$I$201)</f>
        <v>83139</v>
      </c>
    </row>
    <row r="10" spans="2:6" x14ac:dyDescent="0.3">
      <c r="B10" s="25" t="s">
        <v>234</v>
      </c>
      <c r="C10" s="29">
        <f>IFERROR($C$9/$C$7,0)</f>
        <v>4.2783688199093746E-6</v>
      </c>
      <c r="E10" s="25" t="s">
        <v>235</v>
      </c>
      <c r="F10" s="28">
        <f>IFERROR($F$9/$F$8,0)</f>
        <v>0</v>
      </c>
    </row>
    <row r="11" spans="2:6" x14ac:dyDescent="0.3">
      <c r="B11" s="25" t="s">
        <v>236</v>
      </c>
      <c r="C11" s="27">
        <f>SUMIFS(SERVIZI!$AD:$AD,SERVIZI!$I:$I,"Attiva")</f>
        <v>36052</v>
      </c>
      <c r="E11" s="25" t="s">
        <v>237</v>
      </c>
      <c r="F11" s="26">
        <f>COUNTIFS(ODA!$X:$X,1,ODA!$L:$L,"Richiesto")</f>
        <v>0</v>
      </c>
    </row>
    <row r="12" spans="2:6" x14ac:dyDescent="0.3">
      <c r="B12" s="25" t="s">
        <v>238</v>
      </c>
      <c r="C12" s="29">
        <f>IFERROR($C$11/$C$8,0)</f>
        <v>0.37167010309278353</v>
      </c>
    </row>
    <row r="13" spans="2:6" x14ac:dyDescent="0.3">
      <c r="B13" s="25" t="s">
        <v>130</v>
      </c>
      <c r="C13" s="27">
        <f>SUMIFS(SERVIZI!$AF:$AF,SERVIZI!$I:$I,"Attiva")</f>
        <v>6413.1200000000008</v>
      </c>
      <c r="E13" s="24" t="s">
        <v>239</v>
      </c>
    </row>
    <row r="14" spans="2:6" x14ac:dyDescent="0.3">
      <c r="B14" s="25" t="s">
        <v>132</v>
      </c>
      <c r="C14" s="27">
        <f>SUMIFS(SERVIZI!$AG:$AG,SERVIZI!$I:$I,"Attiva")</f>
        <v>29638.465</v>
      </c>
      <c r="E14" s="25" t="s">
        <v>240</v>
      </c>
      <c r="F14" s="26">
        <f>SUMIFS(TEAM!$F:$F,TEAM!$G:$G,"Sì")</f>
        <v>0</v>
      </c>
    </row>
    <row r="15" spans="2:6" x14ac:dyDescent="0.3">
      <c r="B15" s="25" t="s">
        <v>241</v>
      </c>
      <c r="C15" s="26">
        <f ca="1">COUNTIFS(SERVIZI!$AN:$AN,"MARGINE CRITICO")</f>
        <v>1</v>
      </c>
      <c r="E15" s="25" t="s">
        <v>242</v>
      </c>
      <c r="F15" s="26">
        <f>$C$22</f>
        <v>196</v>
      </c>
    </row>
    <row r="16" spans="2:6" x14ac:dyDescent="0.3">
      <c r="B16" s="25" t="s">
        <v>243</v>
      </c>
      <c r="C16" s="26">
        <f ca="1">COUNTIFS(SERVIZI!$AN:$AN,"SCONTO OLTRE SOGLIA")</f>
        <v>0</v>
      </c>
      <c r="E16" s="25" t="s">
        <v>244</v>
      </c>
      <c r="F16" s="29">
        <f>IFERROR($F$15/$F$14,0)</f>
        <v>0</v>
      </c>
    </row>
    <row r="17" spans="2:8" x14ac:dyDescent="0.3">
      <c r="E17" s="25" t="s">
        <v>245</v>
      </c>
      <c r="F17" s="26">
        <f>COUNTIFS(ASSEGNAZIONI!$S:$S,"SFORAMENTO OLTRE 15%")+COUNTIFS(ASSEGNAZIONI!$S:$S,"SOPRA LA STIMA")</f>
        <v>0</v>
      </c>
    </row>
    <row r="18" spans="2:8" x14ac:dyDescent="0.3">
      <c r="B18" s="24" t="s">
        <v>246</v>
      </c>
      <c r="E18" s="25" t="s">
        <v>247</v>
      </c>
      <c r="F18" s="26">
        <f>COUNTA(ASSEGNAZIONI!$A$2:$A$201)</f>
        <v>2</v>
      </c>
    </row>
    <row r="19" spans="2:8" x14ac:dyDescent="0.3">
      <c r="B19" s="25" t="s">
        <v>248</v>
      </c>
      <c r="C19" s="26">
        <f>SUMIFS(SERVIZI!$M:$M,SERVIZI!$I:$I,"Attiva")</f>
        <v>224</v>
      </c>
    </row>
    <row r="20" spans="2:8" x14ac:dyDescent="0.3">
      <c r="B20" s="25" t="s">
        <v>100</v>
      </c>
      <c r="C20" s="26">
        <f>SUMIFS(SERVIZI!$W:$W,SERVIZI!$I:$I,"Attiva")</f>
        <v>126</v>
      </c>
      <c r="E20" s="24" t="s">
        <v>249</v>
      </c>
    </row>
    <row r="21" spans="2:8" x14ac:dyDescent="0.3">
      <c r="B21" s="25" t="s">
        <v>108</v>
      </c>
      <c r="C21" s="26">
        <f>SUMIFS(SERVIZI!$X:$X,SERVIZI!$I:$I,"Attiva")</f>
        <v>70</v>
      </c>
      <c r="E21" s="25" t="s">
        <v>250</v>
      </c>
      <c r="F21" s="27">
        <f>SUMIFS(SAL!$H:$H,SAL!$K:$K,"EMETTIBILE")</f>
        <v>0</v>
      </c>
    </row>
    <row r="22" spans="2:8" x14ac:dyDescent="0.3">
      <c r="B22" s="25" t="s">
        <v>251</v>
      </c>
      <c r="C22" s="26">
        <f>SUMIFS(SERVIZI!$Y:$Y,SERVIZI!$I:$I,"Attiva")</f>
        <v>196</v>
      </c>
      <c r="E22" s="25" t="s">
        <v>252</v>
      </c>
      <c r="F22" s="26">
        <f>COUNTIFS(SAL!$K:$K,"EMETTIBILE")</f>
        <v>0</v>
      </c>
    </row>
    <row r="23" spans="2:8" x14ac:dyDescent="0.3">
      <c r="B23" s="25" t="s">
        <v>253</v>
      </c>
      <c r="C23" s="26">
        <f>$C$22-$C$19</f>
        <v>-28</v>
      </c>
      <c r="E23" s="25" t="s">
        <v>254</v>
      </c>
      <c r="F23" s="27">
        <f>SUMIFS(SAL!$H:$H,SAL!$O:$O,"Emessa")</f>
        <v>0</v>
      </c>
    </row>
    <row r="24" spans="2:8" x14ac:dyDescent="0.3">
      <c r="B24" s="25" t="s">
        <v>255</v>
      </c>
      <c r="C24" s="27">
        <f>SUMIFS(SERVIZI!$N:$N,SERVIZI!$I:$I,"Attiva")</f>
        <v>13861.12</v>
      </c>
      <c r="E24" s="25" t="s">
        <v>256</v>
      </c>
      <c r="F24" s="27">
        <f>SUMIFS(SAL!$H:$H,SAL!$O:$O,"Scaduta")</f>
        <v>0</v>
      </c>
    </row>
    <row r="25" spans="2:8" x14ac:dyDescent="0.3">
      <c r="B25" s="25" t="s">
        <v>117</v>
      </c>
      <c r="C25" s="27">
        <f>SUMIFS(SERVIZI!$AA:$AA,SERVIZI!$I:$I,"Attiva")</f>
        <v>7448</v>
      </c>
      <c r="E25" s="25" t="s">
        <v>257</v>
      </c>
      <c r="F25" s="27">
        <f>SUMIFS(SERVIZI!$AM:$AM,SERVIZI!$I:$I,"Attiva")</f>
        <v>0</v>
      </c>
    </row>
    <row r="26" spans="2:8" x14ac:dyDescent="0.3">
      <c r="B26" s="25" t="s">
        <v>258</v>
      </c>
      <c r="C26" s="30">
        <f>IFERROR($C$24/$C$22,0)</f>
        <v>70.72</v>
      </c>
    </row>
    <row r="27" spans="2:8" x14ac:dyDescent="0.3">
      <c r="B27" s="25" t="s">
        <v>259</v>
      </c>
      <c r="C27" s="26">
        <f>COUNTIFS(SERVIZI!$Z:$Z,"&gt;0")</f>
        <v>0</v>
      </c>
      <c r="E27" s="24" t="s">
        <v>260</v>
      </c>
    </row>
    <row r="28" spans="2:8" x14ac:dyDescent="0.3">
      <c r="B28" s="25" t="s">
        <v>261</v>
      </c>
      <c r="C28" s="26">
        <f ca="1">COUNTIFS(SERVIZI!$AN:$AN,"RISORSE NON ASSEGNATE")</f>
        <v>0</v>
      </c>
      <c r="E28" s="25" t="s">
        <v>122</v>
      </c>
      <c r="F28" s="26">
        <f ca="1">COUNTIFS(FASI!$Q:$Q,"IN RITARDO")</f>
        <v>2</v>
      </c>
    </row>
    <row r="29" spans="2:8" x14ac:dyDescent="0.3">
      <c r="E29" s="25" t="s">
        <v>262</v>
      </c>
      <c r="F29" s="26">
        <f ca="1">IFERROR(AVERAGEIFS(FASI!$R:$R,FASI!$R:$R,"&gt;0"),0)</f>
        <v>19.5</v>
      </c>
    </row>
    <row r="30" spans="2:8" x14ac:dyDescent="0.3">
      <c r="B30" s="24" t="s">
        <v>263</v>
      </c>
      <c r="E30" s="25" t="s">
        <v>264</v>
      </c>
      <c r="F30" s="27">
        <f>SUMIFS(OFFERTE!$F:$F,OFFERTE!$I:$I,"Inviata")+SUMIFS(OFFERTE!$F:$F,OFFERTE!$I:$I,"In negoziazione")</f>
        <v>0</v>
      </c>
    </row>
    <row r="31" spans="2:8" x14ac:dyDescent="0.3">
      <c r="B31" s="31" t="s">
        <v>98</v>
      </c>
      <c r="C31" s="31" t="s">
        <v>265</v>
      </c>
      <c r="D31" s="31" t="s">
        <v>266</v>
      </c>
      <c r="E31" s="31" t="s">
        <v>13</v>
      </c>
      <c r="F31" s="32" t="s">
        <v>129</v>
      </c>
      <c r="G31" s="31" t="s">
        <v>267</v>
      </c>
      <c r="H31" s="31" t="s">
        <v>268</v>
      </c>
    </row>
    <row r="32" spans="2:8" x14ac:dyDescent="0.3">
      <c r="B32" s="25" t="s">
        <v>891</v>
      </c>
      <c r="C32" s="33">
        <f>COUNTIFS(SERVIZI!$C:$C,$B32,SERVIZI!$I:$I,"Attiva")</f>
        <v>1</v>
      </c>
      <c r="D32" s="34">
        <f>SUMIFS(SERVIZI!$Q:$Q,SERVIZI!$C:$C,$B32,SERVIZI!$I:$I,"Attiva")</f>
        <v>32000</v>
      </c>
      <c r="E32" s="34">
        <f>SUMIFS(SERVIZI!$AD:$AD,SERVIZI!$C:$C,$B32,SERVIZI!$I:$I,"Attiva")</f>
        <v>-5756</v>
      </c>
      <c r="F32" s="35">
        <f t="shared" ref="F32:F40" si="0">IFERROR($E32/$D32,0)</f>
        <v>-0.17987500000000001</v>
      </c>
      <c r="G32" s="33">
        <f>SUMIFS(SERVIZI!$M:$M,SERVIZI!$C:$C,$B32,SERVIZI!$I:$I,"Attiva")</f>
        <v>112</v>
      </c>
      <c r="H32" s="33">
        <f>SUMIFS(SERVIZI!$Y:$Y,SERVIZI!$C:$C,$B32,SERVIZI!$I:$I,"Attiva")</f>
        <v>112</v>
      </c>
    </row>
    <row r="33" spans="2:8" x14ac:dyDescent="0.3">
      <c r="B33" s="25" t="s">
        <v>919</v>
      </c>
      <c r="C33" s="33">
        <f>COUNTIFS(SERVIZI!$C:$C,$B33,SERVIZI!$I:$I,"Attiva")</f>
        <v>1</v>
      </c>
      <c r="D33" s="34">
        <f>SUMIFS(SERVIZI!$Q:$Q,SERVIZI!$C:$C,$B33,SERVIZI!$I:$I,"Attiva")</f>
        <v>65000</v>
      </c>
      <c r="E33" s="34">
        <f>SUMIFS(SERVIZI!$AD:$AD,SERVIZI!$C:$C,$B33,SERVIZI!$I:$I,"Attiva")</f>
        <v>41808</v>
      </c>
      <c r="F33" s="35">
        <f t="shared" si="0"/>
        <v>0.64319999999999999</v>
      </c>
      <c r="G33" s="33">
        <f>SUMIFS(SERVIZI!$M:$M,SERVIZI!$C:$C,$B33,SERVIZI!$I:$I,"Attiva")</f>
        <v>112</v>
      </c>
      <c r="H33" s="33">
        <f>SUMIFS(SERVIZI!$Y:$Y,SERVIZI!$C:$C,$B33,SERVIZI!$I:$I,"Attiva")</f>
        <v>84</v>
      </c>
    </row>
    <row r="34" spans="2:8" x14ac:dyDescent="0.3">
      <c r="B34" s="25" t="s">
        <v>344</v>
      </c>
      <c r="C34" s="33">
        <f>COUNTIFS(SERVIZI!$C:$C,$B34,SERVIZI!$I:$I,"Attiva")</f>
        <v>0</v>
      </c>
      <c r="D34" s="34">
        <f>SUMIFS(SERVIZI!$Q:$Q,SERVIZI!$C:$C,$B34,SERVIZI!$I:$I,"Attiva")</f>
        <v>0</v>
      </c>
      <c r="E34" s="34">
        <f>SUMIFS(SERVIZI!$AD:$AD,SERVIZI!$C:$C,$B34,SERVIZI!$I:$I,"Attiva")</f>
        <v>0</v>
      </c>
      <c r="F34" s="35">
        <f t="shared" si="0"/>
        <v>0</v>
      </c>
      <c r="G34" s="33">
        <f>SUMIFS(SERVIZI!$M:$M,SERVIZI!$C:$C,$B34,SERVIZI!$I:$I,"Attiva")</f>
        <v>0</v>
      </c>
      <c r="H34" s="33">
        <f>SUMIFS(SERVIZI!$Y:$Y,SERVIZI!$C:$C,$B34,SERVIZI!$I:$I,"Attiva")</f>
        <v>0</v>
      </c>
    </row>
    <row r="35" spans="2:8" x14ac:dyDescent="0.3">
      <c r="B35" s="25" t="s">
        <v>269</v>
      </c>
      <c r="C35" s="33">
        <f>COUNTIFS(SERVIZI!$C:$C,$B35,SERVIZI!$I:$I,"Attiva")</f>
        <v>0</v>
      </c>
      <c r="D35" s="34">
        <f>SUMIFS(SERVIZI!$Q:$Q,SERVIZI!$C:$C,$B35,SERVIZI!$I:$I,"Attiva")</f>
        <v>0</v>
      </c>
      <c r="E35" s="34">
        <f>SUMIFS(SERVIZI!$AD:$AD,SERVIZI!$C:$C,$B35,SERVIZI!$I:$I,"Attiva")</f>
        <v>0</v>
      </c>
      <c r="F35" s="35">
        <f t="shared" si="0"/>
        <v>0</v>
      </c>
      <c r="G35" s="33">
        <f>SUMIFS(SERVIZI!$M:$M,SERVIZI!$C:$C,$B35,SERVIZI!$I:$I,"Attiva")</f>
        <v>0</v>
      </c>
      <c r="H35" s="33">
        <f>SUMIFS(SERVIZI!$Y:$Y,SERVIZI!$C:$C,$B35,SERVIZI!$I:$I,"Attiva")</f>
        <v>0</v>
      </c>
    </row>
    <row r="36" spans="2:8" x14ac:dyDescent="0.3">
      <c r="B36" s="25" t="s">
        <v>270</v>
      </c>
      <c r="C36" s="33">
        <f>COUNTIFS(SERVIZI!$C:$C,$B36,SERVIZI!$I:$I,"Attiva")</f>
        <v>0</v>
      </c>
      <c r="D36" s="34">
        <f>SUMIFS(SERVIZI!$Q:$Q,SERVIZI!$C:$C,$B36,SERVIZI!$I:$I,"Attiva")</f>
        <v>0</v>
      </c>
      <c r="E36" s="34">
        <f>SUMIFS(SERVIZI!$AD:$AD,SERVIZI!$C:$C,$B36,SERVIZI!$I:$I,"Attiva")</f>
        <v>0</v>
      </c>
      <c r="F36" s="35">
        <f t="shared" si="0"/>
        <v>0</v>
      </c>
      <c r="G36" s="33">
        <f>SUMIFS(SERVIZI!$M:$M,SERVIZI!$C:$C,$B36,SERVIZI!$I:$I,"Attiva")</f>
        <v>0</v>
      </c>
      <c r="H36" s="33">
        <f>SUMIFS(SERVIZI!$Y:$Y,SERVIZI!$C:$C,$B36,SERVIZI!$I:$I,"Attiva")</f>
        <v>0</v>
      </c>
    </row>
    <row r="37" spans="2:8" x14ac:dyDescent="0.3">
      <c r="B37" s="25" t="s">
        <v>271</v>
      </c>
      <c r="C37" s="33">
        <f>COUNTIFS(SERVIZI!$C:$C,$B37,SERVIZI!$I:$I,"Attiva")</f>
        <v>0</v>
      </c>
      <c r="D37" s="34">
        <f>SUMIFS(SERVIZI!$Q:$Q,SERVIZI!$C:$C,$B37,SERVIZI!$I:$I,"Attiva")</f>
        <v>0</v>
      </c>
      <c r="E37" s="34">
        <f>SUMIFS(SERVIZI!$AD:$AD,SERVIZI!$C:$C,$B37,SERVIZI!$I:$I,"Attiva")</f>
        <v>0</v>
      </c>
      <c r="F37" s="35">
        <f t="shared" si="0"/>
        <v>0</v>
      </c>
      <c r="G37" s="33">
        <f>SUMIFS(SERVIZI!$M:$M,SERVIZI!$C:$C,$B37,SERVIZI!$I:$I,"Attiva")</f>
        <v>0</v>
      </c>
      <c r="H37" s="33">
        <f>SUMIFS(SERVIZI!$Y:$Y,SERVIZI!$C:$C,$B37,SERVIZI!$I:$I,"Attiva")</f>
        <v>0</v>
      </c>
    </row>
    <row r="38" spans="2:8" x14ac:dyDescent="0.3">
      <c r="B38" s="25" t="s">
        <v>272</v>
      </c>
      <c r="C38" s="33">
        <f>COUNTIFS(SERVIZI!$C:$C,$B38,SERVIZI!$I:$I,"Attiva")</f>
        <v>0</v>
      </c>
      <c r="D38" s="34">
        <f>SUMIFS(SERVIZI!$Q:$Q,SERVIZI!$C:$C,$B38,SERVIZI!$I:$I,"Attiva")</f>
        <v>0</v>
      </c>
      <c r="E38" s="34">
        <f>SUMIFS(SERVIZI!$AD:$AD,SERVIZI!$C:$C,$B38,SERVIZI!$I:$I,"Attiva")</f>
        <v>0</v>
      </c>
      <c r="F38" s="35">
        <f t="shared" si="0"/>
        <v>0</v>
      </c>
      <c r="G38" s="33">
        <f>SUMIFS(SERVIZI!$M:$M,SERVIZI!$C:$C,$B38,SERVIZI!$I:$I,"Attiva")</f>
        <v>0</v>
      </c>
      <c r="H38" s="33">
        <f>SUMIFS(SERVIZI!$Y:$Y,SERVIZI!$C:$C,$B38,SERVIZI!$I:$I,"Attiva")</f>
        <v>0</v>
      </c>
    </row>
    <row r="39" spans="2:8" x14ac:dyDescent="0.3">
      <c r="B39" s="25" t="s">
        <v>273</v>
      </c>
      <c r="C39" s="33">
        <f>COUNTIFS(SERVIZI!$C:$C,$B39,SERVIZI!$I:$I,"Attiva")</f>
        <v>0</v>
      </c>
      <c r="D39" s="34">
        <f>SUMIFS(SERVIZI!$Q:$Q,SERVIZI!$C:$C,$B39,SERVIZI!$I:$I,"Attiva")</f>
        <v>0</v>
      </c>
      <c r="E39" s="34">
        <f>SUMIFS(SERVIZI!$AD:$AD,SERVIZI!$C:$C,$B39,SERVIZI!$I:$I,"Attiva")</f>
        <v>0</v>
      </c>
      <c r="F39" s="35">
        <f t="shared" si="0"/>
        <v>0</v>
      </c>
      <c r="G39" s="33">
        <f>SUMIFS(SERVIZI!$M:$M,SERVIZI!$C:$C,$B39,SERVIZI!$I:$I,"Attiva")</f>
        <v>0</v>
      </c>
      <c r="H39" s="33">
        <f>SUMIFS(SERVIZI!$Y:$Y,SERVIZI!$C:$C,$B39,SERVIZI!$I:$I,"Attiva")</f>
        <v>0</v>
      </c>
    </row>
    <row r="40" spans="2:8" x14ac:dyDescent="0.3">
      <c r="B40" s="25" t="s">
        <v>274</v>
      </c>
      <c r="C40" s="33">
        <f>COUNTIFS(SERVIZI!$C:$C,$B40,SERVIZI!$I:$I,"Attiva")</f>
        <v>0</v>
      </c>
      <c r="D40" s="34">
        <f>SUMIFS(SERVIZI!$Q:$Q,SERVIZI!$C:$C,$B40,SERVIZI!$I:$I,"Attiva")</f>
        <v>0</v>
      </c>
      <c r="E40" s="34">
        <f>SUMIFS(SERVIZI!$AD:$AD,SERVIZI!$C:$C,$B40,SERVIZI!$I:$I,"Attiva")</f>
        <v>0</v>
      </c>
      <c r="F40" s="35">
        <f t="shared" si="0"/>
        <v>0</v>
      </c>
      <c r="G40" s="33">
        <f>SUMIFS(SERVIZI!$M:$M,SERVIZI!$C:$C,$B40,SERVIZI!$I:$I,"Attiva")</f>
        <v>0</v>
      </c>
      <c r="H40" s="33">
        <f>SUMIFS(SERVIZI!$Y:$Y,SERVIZI!$C:$C,$B40,SERVIZI!$I:$I,"Attiva")</f>
        <v>0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tabColor rgb="FF7030A0"/>
  </sheetPr>
  <dimension ref="A1:Q124"/>
  <sheetViews>
    <sheetView showGridLines="0" zoomScaleNormal="100" workbookViewId="0">
      <selection activeCell="P14" sqref="P14"/>
    </sheetView>
  </sheetViews>
  <sheetFormatPr defaultColWidth="8.6640625" defaultRowHeight="14.4" x14ac:dyDescent="0.3"/>
  <cols>
    <col min="1" max="1" width="3" customWidth="1"/>
    <col min="2" max="2" width="16" customWidth="1"/>
    <col min="3" max="3" width="13" customWidth="1"/>
    <col min="4" max="4" width="18" customWidth="1"/>
    <col min="5" max="5" width="12" customWidth="1"/>
    <col min="6" max="6" width="11" customWidth="1"/>
    <col min="7" max="7" width="12" customWidth="1"/>
    <col min="8" max="8" width="11" customWidth="1"/>
    <col min="9" max="11" width="10" customWidth="1"/>
    <col min="12" max="12" width="12" customWidth="1"/>
    <col min="13" max="13" width="13" customWidth="1"/>
    <col min="14" max="14" width="14" customWidth="1"/>
    <col min="15" max="15" width="13" customWidth="1"/>
    <col min="16" max="16" width="36.44140625" customWidth="1"/>
    <col min="17" max="17" width="15" customWidth="1"/>
  </cols>
  <sheetData>
    <row r="1" spans="1:16" ht="21" x14ac:dyDescent="0.4">
      <c r="A1" s="1" t="s">
        <v>275</v>
      </c>
    </row>
    <row r="2" spans="1:16" x14ac:dyDescent="0.3">
      <c r="A2" s="2" t="s">
        <v>276</v>
      </c>
    </row>
    <row r="4" spans="1:16" x14ac:dyDescent="0.3">
      <c r="B4" s="24" t="s">
        <v>277</v>
      </c>
    </row>
    <row r="5" spans="1:16" ht="36" customHeight="1" x14ac:dyDescent="0.3">
      <c r="B5" s="31" t="s">
        <v>278</v>
      </c>
      <c r="C5" s="31" t="s">
        <v>98</v>
      </c>
      <c r="D5" s="31" t="s">
        <v>279</v>
      </c>
      <c r="E5" s="31" t="s">
        <v>280</v>
      </c>
      <c r="F5" s="31" t="s">
        <v>281</v>
      </c>
      <c r="G5" s="31" t="s">
        <v>282</v>
      </c>
      <c r="H5" s="31" t="s">
        <v>283</v>
      </c>
      <c r="I5" s="31" t="s">
        <v>284</v>
      </c>
      <c r="J5" s="31" t="s">
        <v>285</v>
      </c>
      <c r="K5" s="31" t="s">
        <v>286</v>
      </c>
      <c r="L5" s="31" t="s">
        <v>287</v>
      </c>
      <c r="M5" s="31" t="s">
        <v>288</v>
      </c>
      <c r="N5" s="31" t="s">
        <v>289</v>
      </c>
      <c r="O5" s="31" t="s">
        <v>290</v>
      </c>
      <c r="P5" s="31" t="s">
        <v>291</v>
      </c>
    </row>
    <row r="6" spans="1:16" x14ac:dyDescent="0.3">
      <c r="B6" s="36" t="str">
        <f>IF(SERVIZI!$A2="","",SERVIZI!$A2)</f>
        <v>26-017-A</v>
      </c>
      <c r="C6" s="36" t="str">
        <f>IF(SERVIZI!$A2="","",SERVIZI!$C2)</f>
        <v>LEED ID+C</v>
      </c>
      <c r="D6" s="36" t="str">
        <f>IF(SERVIZI!$A2="","",SERVIZI!$E2)</f>
        <v>Anna Vadacca</v>
      </c>
      <c r="E6" s="33">
        <f>IF(SERVIZI!$A2="","",SERVIZI!$M2)</f>
        <v>112</v>
      </c>
      <c r="F6" s="33">
        <f>IF(SERVIZI!$A2="","",SERVIZI!$W2)</f>
        <v>72</v>
      </c>
      <c r="G6" s="35">
        <f>IF(SERVIZI!$A2="","",SERVIZI!$AI2)</f>
        <v>0.6428571428571429</v>
      </c>
      <c r="H6" s="35">
        <f>IF(SERVIZI!$A2="","",SERVIZI!$AH2)</f>
        <v>0.39285714285714285</v>
      </c>
      <c r="I6" s="35">
        <f>IF(SERVIZI!$A2="","",SERVIZI!$AI2-SERVIZI!$AH2)</f>
        <v>0.25000000000000006</v>
      </c>
      <c r="J6" s="33">
        <f>IF(SERVIZI!$A2="","",SERVIZI!$X2)</f>
        <v>40</v>
      </c>
      <c r="K6" s="33">
        <f>IF(SERVIZI!$A2="","",SERVIZI!$Y2)</f>
        <v>112</v>
      </c>
      <c r="L6" s="33">
        <f>IF(SERVIZI!$A2="","",SERVIZI!$Z2)</f>
        <v>0</v>
      </c>
      <c r="M6" s="34">
        <f>IF(SERVIZI!$A2="","",SERVIZI!$N2)</f>
        <v>6930.56</v>
      </c>
      <c r="N6" s="34">
        <f>IF(SERVIZI!$A2="","",SERVIZI!$AA2)</f>
        <v>4256</v>
      </c>
      <c r="O6" s="34">
        <f>IF(SERVIZI!$A2="","",SERVIZI!$AF2)</f>
        <v>2674.5600000000004</v>
      </c>
      <c r="P6" s="36" t="str">
        <f>IF(SERVIZI!$A2="","",IF(SERVIZI!$AF2&lt;0,"MARGINE ORE NEGATIVO",IF(SERVIZI!$Z2&gt;0,"ORE OLTRE LA STIMA",IF(SERVIZI!$AI2-SERVIZI!$AH2&gt;0.15,"ORE SOPRA AVANZAMENTO",IF(SERVIZI!$AI2&gt;ALLERTA_ORE,"CONSUMO ELEVATO","OK")))))</f>
        <v>ORE SOPRA AVANZAMENTO</v>
      </c>
    </row>
    <row r="7" spans="1:16" x14ac:dyDescent="0.3">
      <c r="B7" s="36" t="str">
        <f>IF(SERVIZI!$A3="","",SERVIZI!$A3)</f>
        <v>26-017-B</v>
      </c>
      <c r="C7" s="36" t="str">
        <f>IF(SERVIZI!$A3="","",SERVIZI!$C3)</f>
        <v>WELL v.2</v>
      </c>
      <c r="D7" s="36" t="str">
        <f>IF(SERVIZI!$A3="","",SERVIZI!$E3)</f>
        <v>Giulia Dagradi</v>
      </c>
      <c r="E7" s="33">
        <f>IF(SERVIZI!$A3="","",SERVIZI!$M3)</f>
        <v>112</v>
      </c>
      <c r="F7" s="33">
        <f>IF(SERVIZI!$A3="","",SERVIZI!$W3)</f>
        <v>54</v>
      </c>
      <c r="G7" s="35">
        <f>IF(SERVIZI!$A3="","",SERVIZI!$AI3)</f>
        <v>0.48214285714285715</v>
      </c>
      <c r="H7" s="35">
        <f>IF(SERVIZI!$A3="","",SERVIZI!$AH3)</f>
        <v>0.43333333333333335</v>
      </c>
      <c r="I7" s="35">
        <f>IF(SERVIZI!$A3="","",SERVIZI!$AI3-SERVIZI!$AH3)</f>
        <v>4.8809523809523803E-2</v>
      </c>
      <c r="J7" s="33">
        <f>IF(SERVIZI!$A3="","",SERVIZI!$X3)</f>
        <v>30</v>
      </c>
      <c r="K7" s="33">
        <f>IF(SERVIZI!$A3="","",SERVIZI!$Y3)</f>
        <v>84</v>
      </c>
      <c r="L7" s="33">
        <f>IF(SERVIZI!$A3="","",SERVIZI!$Z3)</f>
        <v>-28</v>
      </c>
      <c r="M7" s="34">
        <f>IF(SERVIZI!$A3="","",SERVIZI!$N3)</f>
        <v>6930.56</v>
      </c>
      <c r="N7" s="34">
        <f>IF(SERVIZI!$A3="","",SERVIZI!$AA3)</f>
        <v>3192</v>
      </c>
      <c r="O7" s="34">
        <f>IF(SERVIZI!$A3="","",SERVIZI!$AF3)</f>
        <v>3738.5600000000004</v>
      </c>
      <c r="P7" s="36" t="str">
        <f>IF(SERVIZI!$A3="","",IF(SERVIZI!$AF3&lt;0,"MARGINE ORE NEGATIVO",IF(SERVIZI!$Z3&gt;0,"ORE OLTRE LA STIMA",IF(SERVIZI!$AI3-SERVIZI!$AH3&gt;0.15,"ORE SOPRA AVANZAMENTO",IF(SERVIZI!$AI3&gt;ALLERTA_ORE,"CONSUMO ELEVATO","OK")))))</f>
        <v>OK</v>
      </c>
    </row>
    <row r="8" spans="1:16" x14ac:dyDescent="0.3">
      <c r="B8" s="36" t="str">
        <f>IF(SERVIZI!$A4="","",SERVIZI!$A4)</f>
        <v/>
      </c>
      <c r="C8" s="36" t="str">
        <f>IF(SERVIZI!$A4="","",SERVIZI!$C4)</f>
        <v/>
      </c>
      <c r="D8" s="36" t="str">
        <f>IF(SERVIZI!$A4="","",SERVIZI!$E4)</f>
        <v/>
      </c>
      <c r="E8" s="33" t="str">
        <f>IF(SERVIZI!$A4="","",SERVIZI!$M4)</f>
        <v/>
      </c>
      <c r="F8" s="33" t="str">
        <f>IF(SERVIZI!$A4="","",SERVIZI!$W4)</f>
        <v/>
      </c>
      <c r="G8" s="35" t="str">
        <f>IF(SERVIZI!$A4="","",SERVIZI!$AI4)</f>
        <v/>
      </c>
      <c r="H8" s="35" t="str">
        <f>IF(SERVIZI!$A4="","",SERVIZI!$AH4)</f>
        <v/>
      </c>
      <c r="I8" s="35" t="str">
        <f>IF(SERVIZI!$A4="","",SERVIZI!$AI4-SERVIZI!$AH4)</f>
        <v/>
      </c>
      <c r="J8" s="33" t="str">
        <f>IF(SERVIZI!$A4="","",SERVIZI!$X4)</f>
        <v/>
      </c>
      <c r="K8" s="33" t="str">
        <f>IF(SERVIZI!$A4="","",SERVIZI!$Y4)</f>
        <v/>
      </c>
      <c r="L8" s="33" t="str">
        <f>IF(SERVIZI!$A4="","",SERVIZI!$Z4)</f>
        <v/>
      </c>
      <c r="M8" s="34" t="str">
        <f>IF(SERVIZI!$A4="","",SERVIZI!$N4)</f>
        <v/>
      </c>
      <c r="N8" s="34" t="str">
        <f>IF(SERVIZI!$A4="","",SERVIZI!$AA4)</f>
        <v/>
      </c>
      <c r="O8" s="34" t="str">
        <f>IF(SERVIZI!$A4="","",SERVIZI!$AF4)</f>
        <v/>
      </c>
      <c r="P8" s="36" t="str">
        <f>IF(SERVIZI!$A4="","",IF(SERVIZI!$AF4&lt;0,"MARGINE ORE NEGATIVO",IF(SERVIZI!$Z4&gt;0,"ORE OLTRE LA STIMA",IF(SERVIZI!$AI4-SERVIZI!$AH4&gt;0.15,"ORE SOPRA AVANZAMENTO",IF(SERVIZI!$AI4&gt;ALLERTA_ORE,"CONSUMO ELEVATO","OK")))))</f>
        <v/>
      </c>
    </row>
    <row r="9" spans="1:16" x14ac:dyDescent="0.3">
      <c r="B9" s="36" t="str">
        <f>IF(SERVIZI!$A5="","",SERVIZI!$A5)</f>
        <v/>
      </c>
      <c r="C9" s="36" t="str">
        <f>IF(SERVIZI!$A5="","",SERVIZI!$C5)</f>
        <v/>
      </c>
      <c r="D9" s="36" t="str">
        <f>IF(SERVIZI!$A5="","",SERVIZI!$E5)</f>
        <v/>
      </c>
      <c r="E9" s="33" t="str">
        <f>IF(SERVIZI!$A5="","",SERVIZI!$M5)</f>
        <v/>
      </c>
      <c r="F9" s="33" t="str">
        <f>IF(SERVIZI!$A5="","",SERVIZI!$W5)</f>
        <v/>
      </c>
      <c r="G9" s="35" t="str">
        <f>IF(SERVIZI!$A5="","",SERVIZI!$AI5)</f>
        <v/>
      </c>
      <c r="H9" s="35" t="str">
        <f>IF(SERVIZI!$A5="","",SERVIZI!$AH5)</f>
        <v/>
      </c>
      <c r="I9" s="35" t="str">
        <f>IF(SERVIZI!$A5="","",SERVIZI!$AI5-SERVIZI!$AH5)</f>
        <v/>
      </c>
      <c r="J9" s="33" t="str">
        <f>IF(SERVIZI!$A5="","",SERVIZI!$X5)</f>
        <v/>
      </c>
      <c r="K9" s="33" t="str">
        <f>IF(SERVIZI!$A5="","",SERVIZI!$Y5)</f>
        <v/>
      </c>
      <c r="L9" s="33" t="str">
        <f>IF(SERVIZI!$A5="","",SERVIZI!$Z5)</f>
        <v/>
      </c>
      <c r="M9" s="34" t="str">
        <f>IF(SERVIZI!$A5="","",SERVIZI!$N5)</f>
        <v/>
      </c>
      <c r="N9" s="34" t="str">
        <f>IF(SERVIZI!$A5="","",SERVIZI!$AA5)</f>
        <v/>
      </c>
      <c r="O9" s="34" t="str">
        <f>IF(SERVIZI!$A5="","",SERVIZI!$AF5)</f>
        <v/>
      </c>
      <c r="P9" s="36" t="str">
        <f>IF(SERVIZI!$A5="","",IF(SERVIZI!$AF5&lt;0,"MARGINE ORE NEGATIVO",IF(SERVIZI!$Z5&gt;0,"ORE OLTRE LA STIMA",IF(SERVIZI!$AI5-SERVIZI!$AH5&gt;0.15,"ORE SOPRA AVANZAMENTO",IF(SERVIZI!$AI5&gt;ALLERTA_ORE,"CONSUMO ELEVATO","OK")))))</f>
        <v/>
      </c>
    </row>
    <row r="10" spans="1:16" x14ac:dyDescent="0.3">
      <c r="B10" s="36" t="str">
        <f>IF(SERVIZI!$A6="","",SERVIZI!$A6)</f>
        <v/>
      </c>
      <c r="C10" s="36" t="str">
        <f>IF(SERVIZI!$A6="","",SERVIZI!$C6)</f>
        <v/>
      </c>
      <c r="D10" s="36" t="str">
        <f>IF(SERVIZI!$A6="","",SERVIZI!$E6)</f>
        <v/>
      </c>
      <c r="E10" s="33" t="str">
        <f>IF(SERVIZI!$A6="","",SERVIZI!$M6)</f>
        <v/>
      </c>
      <c r="F10" s="33" t="str">
        <f>IF(SERVIZI!$A6="","",SERVIZI!$W6)</f>
        <v/>
      </c>
      <c r="G10" s="35" t="str">
        <f>IF(SERVIZI!$A6="","",SERVIZI!$AI6)</f>
        <v/>
      </c>
      <c r="H10" s="35" t="str">
        <f>IF(SERVIZI!$A6="","",SERVIZI!$AH6)</f>
        <v/>
      </c>
      <c r="I10" s="35" t="str">
        <f>IF(SERVIZI!$A6="","",SERVIZI!$AI6-SERVIZI!$AH6)</f>
        <v/>
      </c>
      <c r="J10" s="33" t="str">
        <f>IF(SERVIZI!$A6="","",SERVIZI!$X6)</f>
        <v/>
      </c>
      <c r="K10" s="33" t="str">
        <f>IF(SERVIZI!$A6="","",SERVIZI!$Y6)</f>
        <v/>
      </c>
      <c r="L10" s="33" t="str">
        <f>IF(SERVIZI!$A6="","",SERVIZI!$Z6)</f>
        <v/>
      </c>
      <c r="M10" s="34" t="str">
        <f>IF(SERVIZI!$A6="","",SERVIZI!$N6)</f>
        <v/>
      </c>
      <c r="N10" s="34" t="str">
        <f>IF(SERVIZI!$A6="","",SERVIZI!$AA6)</f>
        <v/>
      </c>
      <c r="O10" s="34" t="str">
        <f>IF(SERVIZI!$A6="","",SERVIZI!$AF6)</f>
        <v/>
      </c>
      <c r="P10" s="36" t="str">
        <f>IF(SERVIZI!$A6="","",IF(SERVIZI!$AF6&lt;0,"MARGINE ORE NEGATIVO",IF(SERVIZI!$Z6&gt;0,"ORE OLTRE LA STIMA",IF(SERVIZI!$AI6-SERVIZI!$AH6&gt;0.15,"ORE SOPRA AVANZAMENTO",IF(SERVIZI!$AI6&gt;ALLERTA_ORE,"CONSUMO ELEVATO","OK")))))</f>
        <v/>
      </c>
    </row>
    <row r="11" spans="1:16" x14ac:dyDescent="0.3">
      <c r="B11" s="36" t="str">
        <f>IF(SERVIZI!$A7="","",SERVIZI!$A7)</f>
        <v/>
      </c>
      <c r="C11" s="36" t="str">
        <f>IF(SERVIZI!$A7="","",SERVIZI!$C7)</f>
        <v/>
      </c>
      <c r="D11" s="36" t="str">
        <f>IF(SERVIZI!$A7="","",SERVIZI!$E7)</f>
        <v/>
      </c>
      <c r="E11" s="33" t="str">
        <f>IF(SERVIZI!$A7="","",SERVIZI!$M7)</f>
        <v/>
      </c>
      <c r="F11" s="33" t="str">
        <f>IF(SERVIZI!$A7="","",SERVIZI!$W7)</f>
        <v/>
      </c>
      <c r="G11" s="35" t="str">
        <f>IF(SERVIZI!$A7="","",SERVIZI!$AI7)</f>
        <v/>
      </c>
      <c r="H11" s="35" t="str">
        <f>IF(SERVIZI!$A7="","",SERVIZI!$AH7)</f>
        <v/>
      </c>
      <c r="I11" s="35" t="str">
        <f>IF(SERVIZI!$A7="","",SERVIZI!$AI7-SERVIZI!$AH7)</f>
        <v/>
      </c>
      <c r="J11" s="33" t="str">
        <f>IF(SERVIZI!$A7="","",SERVIZI!$X7)</f>
        <v/>
      </c>
      <c r="K11" s="33" t="str">
        <f>IF(SERVIZI!$A7="","",SERVIZI!$Y7)</f>
        <v/>
      </c>
      <c r="L11" s="33" t="str">
        <f>IF(SERVIZI!$A7="","",SERVIZI!$Z7)</f>
        <v/>
      </c>
      <c r="M11" s="34" t="str">
        <f>IF(SERVIZI!$A7="","",SERVIZI!$N7)</f>
        <v/>
      </c>
      <c r="N11" s="34" t="str">
        <f>IF(SERVIZI!$A7="","",SERVIZI!$AA7)</f>
        <v/>
      </c>
      <c r="O11" s="34" t="str">
        <f>IF(SERVIZI!$A7="","",SERVIZI!$AF7)</f>
        <v/>
      </c>
      <c r="P11" s="36" t="str">
        <f>IF(SERVIZI!$A7="","",IF(SERVIZI!$AF7&lt;0,"MARGINE ORE NEGATIVO",IF(SERVIZI!$Z7&gt;0,"ORE OLTRE LA STIMA",IF(SERVIZI!$AI7-SERVIZI!$AH7&gt;0.15,"ORE SOPRA AVANZAMENTO",IF(SERVIZI!$AI7&gt;ALLERTA_ORE,"CONSUMO ELEVATO","OK")))))</f>
        <v/>
      </c>
    </row>
    <row r="12" spans="1:16" x14ac:dyDescent="0.3">
      <c r="B12" s="36" t="str">
        <f>IF(SERVIZI!$A8="","",SERVIZI!$A8)</f>
        <v/>
      </c>
      <c r="C12" s="36" t="str">
        <f>IF(SERVIZI!$A8="","",SERVIZI!$C8)</f>
        <v/>
      </c>
      <c r="D12" s="36" t="str">
        <f>IF(SERVIZI!$A8="","",SERVIZI!$E8)</f>
        <v/>
      </c>
      <c r="E12" s="33" t="str">
        <f>IF(SERVIZI!$A8="","",SERVIZI!$M8)</f>
        <v/>
      </c>
      <c r="F12" s="33" t="str">
        <f>IF(SERVIZI!$A8="","",SERVIZI!$W8)</f>
        <v/>
      </c>
      <c r="G12" s="35" t="str">
        <f>IF(SERVIZI!$A8="","",SERVIZI!$AI8)</f>
        <v/>
      </c>
      <c r="H12" s="35" t="str">
        <f>IF(SERVIZI!$A8="","",SERVIZI!$AH8)</f>
        <v/>
      </c>
      <c r="I12" s="35" t="str">
        <f>IF(SERVIZI!$A8="","",SERVIZI!$AI8-SERVIZI!$AH8)</f>
        <v/>
      </c>
      <c r="J12" s="33" t="str">
        <f>IF(SERVIZI!$A8="","",SERVIZI!$X8)</f>
        <v/>
      </c>
      <c r="K12" s="33" t="str">
        <f>IF(SERVIZI!$A8="","",SERVIZI!$Y8)</f>
        <v/>
      </c>
      <c r="L12" s="33" t="str">
        <f>IF(SERVIZI!$A8="","",SERVIZI!$Z8)</f>
        <v/>
      </c>
      <c r="M12" s="34" t="str">
        <f>IF(SERVIZI!$A8="","",SERVIZI!$N8)</f>
        <v/>
      </c>
      <c r="N12" s="34" t="str">
        <f>IF(SERVIZI!$A8="","",SERVIZI!$AA8)</f>
        <v/>
      </c>
      <c r="O12" s="34" t="str">
        <f>IF(SERVIZI!$A8="","",SERVIZI!$AF8)</f>
        <v/>
      </c>
      <c r="P12" s="36" t="str">
        <f>IF(SERVIZI!$A8="","",IF(SERVIZI!$AF8&lt;0,"MARGINE ORE NEGATIVO",IF(SERVIZI!$Z8&gt;0,"ORE OLTRE LA STIMA",IF(SERVIZI!$AI8-SERVIZI!$AH8&gt;0.15,"ORE SOPRA AVANZAMENTO",IF(SERVIZI!$AI8&gt;ALLERTA_ORE,"CONSUMO ELEVATO","OK")))))</f>
        <v/>
      </c>
    </row>
    <row r="13" spans="1:16" x14ac:dyDescent="0.3">
      <c r="B13" s="36" t="str">
        <f>IF(SERVIZI!$A9="","",SERVIZI!$A9)</f>
        <v/>
      </c>
      <c r="C13" s="36" t="str">
        <f>IF(SERVIZI!$A9="","",SERVIZI!$C9)</f>
        <v/>
      </c>
      <c r="D13" s="36" t="str">
        <f>IF(SERVIZI!$A9="","",SERVIZI!$E9)</f>
        <v/>
      </c>
      <c r="E13" s="33" t="str">
        <f>IF(SERVIZI!$A9="","",SERVIZI!$M9)</f>
        <v/>
      </c>
      <c r="F13" s="33" t="str">
        <f>IF(SERVIZI!$A9="","",SERVIZI!$W9)</f>
        <v/>
      </c>
      <c r="G13" s="35" t="str">
        <f>IF(SERVIZI!$A9="","",SERVIZI!$AI9)</f>
        <v/>
      </c>
      <c r="H13" s="35" t="str">
        <f>IF(SERVIZI!$A9="","",SERVIZI!$AH9)</f>
        <v/>
      </c>
      <c r="I13" s="35" t="str">
        <f>IF(SERVIZI!$A9="","",SERVIZI!$AI9-SERVIZI!$AH9)</f>
        <v/>
      </c>
      <c r="J13" s="33" t="str">
        <f>IF(SERVIZI!$A9="","",SERVIZI!$X9)</f>
        <v/>
      </c>
      <c r="K13" s="33" t="str">
        <f>IF(SERVIZI!$A9="","",SERVIZI!$Y9)</f>
        <v/>
      </c>
      <c r="L13" s="33" t="str">
        <f>IF(SERVIZI!$A9="","",SERVIZI!$Z9)</f>
        <v/>
      </c>
      <c r="M13" s="34" t="str">
        <f>IF(SERVIZI!$A9="","",SERVIZI!$N9)</f>
        <v/>
      </c>
      <c r="N13" s="34" t="str">
        <f>IF(SERVIZI!$A9="","",SERVIZI!$AA9)</f>
        <v/>
      </c>
      <c r="O13" s="34" t="str">
        <f>IF(SERVIZI!$A9="","",SERVIZI!$AF9)</f>
        <v/>
      </c>
      <c r="P13" s="36" t="str">
        <f>IF(SERVIZI!$A9="","",IF(SERVIZI!$AF9&lt;0,"MARGINE ORE NEGATIVO",IF(SERVIZI!$Z9&gt;0,"ORE OLTRE LA STIMA",IF(SERVIZI!$AI9-SERVIZI!$AH9&gt;0.15,"ORE SOPRA AVANZAMENTO",IF(SERVIZI!$AI9&gt;ALLERTA_ORE,"CONSUMO ELEVATO","OK")))))</f>
        <v/>
      </c>
    </row>
    <row r="14" spans="1:16" x14ac:dyDescent="0.3">
      <c r="B14" s="36" t="str">
        <f>IF(SERVIZI!$A10="","",SERVIZI!$A10)</f>
        <v/>
      </c>
      <c r="C14" s="36" t="str">
        <f>IF(SERVIZI!$A10="","",SERVIZI!$C10)</f>
        <v/>
      </c>
      <c r="D14" s="36" t="str">
        <f>IF(SERVIZI!$A10="","",SERVIZI!$E10)</f>
        <v/>
      </c>
      <c r="E14" s="33" t="str">
        <f>IF(SERVIZI!$A10="","",SERVIZI!$M10)</f>
        <v/>
      </c>
      <c r="F14" s="33" t="str">
        <f>IF(SERVIZI!$A10="","",SERVIZI!$W10)</f>
        <v/>
      </c>
      <c r="G14" s="35" t="str">
        <f>IF(SERVIZI!$A10="","",SERVIZI!$AI10)</f>
        <v/>
      </c>
      <c r="H14" s="35" t="str">
        <f>IF(SERVIZI!$A10="","",SERVIZI!$AH10)</f>
        <v/>
      </c>
      <c r="I14" s="35" t="str">
        <f>IF(SERVIZI!$A10="","",SERVIZI!$AI10-SERVIZI!$AH10)</f>
        <v/>
      </c>
      <c r="J14" s="33" t="str">
        <f>IF(SERVIZI!$A10="","",SERVIZI!$X10)</f>
        <v/>
      </c>
      <c r="K14" s="33" t="str">
        <f>IF(SERVIZI!$A10="","",SERVIZI!$Y10)</f>
        <v/>
      </c>
      <c r="L14" s="33" t="str">
        <f>IF(SERVIZI!$A10="","",SERVIZI!$Z10)</f>
        <v/>
      </c>
      <c r="M14" s="34" t="str">
        <f>IF(SERVIZI!$A10="","",SERVIZI!$N10)</f>
        <v/>
      </c>
      <c r="N14" s="34" t="str">
        <f>IF(SERVIZI!$A10="","",SERVIZI!$AA10)</f>
        <v/>
      </c>
      <c r="O14" s="34" t="str">
        <f>IF(SERVIZI!$A10="","",SERVIZI!$AF10)</f>
        <v/>
      </c>
      <c r="P14" s="36" t="str">
        <f>IF(SERVIZI!$A10="","",IF(SERVIZI!$AF10&lt;0,"MARGINE ORE NEGATIVO",IF(SERVIZI!$Z10&gt;0,"ORE OLTRE LA STIMA",IF(SERVIZI!$AI10-SERVIZI!$AH10&gt;0.15,"ORE SOPRA AVANZAMENTO",IF(SERVIZI!$AI10&gt;ALLERTA_ORE,"CONSUMO ELEVATO","OK")))))</f>
        <v/>
      </c>
    </row>
    <row r="15" spans="1:16" x14ac:dyDescent="0.3">
      <c r="B15" s="36" t="str">
        <f>IF(SERVIZI!$A11="","",SERVIZI!$A11)</f>
        <v/>
      </c>
      <c r="C15" s="36" t="str">
        <f>IF(SERVIZI!$A11="","",SERVIZI!$C11)</f>
        <v/>
      </c>
      <c r="D15" s="36" t="str">
        <f>IF(SERVIZI!$A11="","",SERVIZI!$E11)</f>
        <v/>
      </c>
      <c r="E15" s="33" t="str">
        <f>IF(SERVIZI!$A11="","",SERVIZI!$M11)</f>
        <v/>
      </c>
      <c r="F15" s="33" t="str">
        <f>IF(SERVIZI!$A11="","",SERVIZI!$W11)</f>
        <v/>
      </c>
      <c r="G15" s="35" t="str">
        <f>IF(SERVIZI!$A11="","",SERVIZI!$AI11)</f>
        <v/>
      </c>
      <c r="H15" s="35" t="str">
        <f>IF(SERVIZI!$A11="","",SERVIZI!$AH11)</f>
        <v/>
      </c>
      <c r="I15" s="35" t="str">
        <f>IF(SERVIZI!$A11="","",SERVIZI!$AI11-SERVIZI!$AH11)</f>
        <v/>
      </c>
      <c r="J15" s="33" t="str">
        <f>IF(SERVIZI!$A11="","",SERVIZI!$X11)</f>
        <v/>
      </c>
      <c r="K15" s="33" t="str">
        <f>IF(SERVIZI!$A11="","",SERVIZI!$Y11)</f>
        <v/>
      </c>
      <c r="L15" s="33" t="str">
        <f>IF(SERVIZI!$A11="","",SERVIZI!$Z11)</f>
        <v/>
      </c>
      <c r="M15" s="34" t="str">
        <f>IF(SERVIZI!$A11="","",SERVIZI!$N11)</f>
        <v/>
      </c>
      <c r="N15" s="34" t="str">
        <f>IF(SERVIZI!$A11="","",SERVIZI!$AA11)</f>
        <v/>
      </c>
      <c r="O15" s="34" t="str">
        <f>IF(SERVIZI!$A11="","",SERVIZI!$AF11)</f>
        <v/>
      </c>
      <c r="P15" s="36" t="str">
        <f>IF(SERVIZI!$A11="","",IF(SERVIZI!$AF11&lt;0,"MARGINE ORE NEGATIVO",IF(SERVIZI!$Z11&gt;0,"ORE OLTRE LA STIMA",IF(SERVIZI!$AI11-SERVIZI!$AH11&gt;0.15,"ORE SOPRA AVANZAMENTO",IF(SERVIZI!$AI11&gt;ALLERTA_ORE,"CONSUMO ELEVATO","OK")))))</f>
        <v/>
      </c>
    </row>
    <row r="16" spans="1:16" x14ac:dyDescent="0.3">
      <c r="B16" s="36" t="str">
        <f>IF(SERVIZI!$A12="","",SERVIZI!$A12)</f>
        <v/>
      </c>
      <c r="C16" s="36" t="str">
        <f>IF(SERVIZI!$A12="","",SERVIZI!$C12)</f>
        <v/>
      </c>
      <c r="D16" s="36" t="str">
        <f>IF(SERVIZI!$A12="","",SERVIZI!$E12)</f>
        <v/>
      </c>
      <c r="E16" s="33" t="str">
        <f>IF(SERVIZI!$A12="","",SERVIZI!$M12)</f>
        <v/>
      </c>
      <c r="F16" s="33" t="str">
        <f>IF(SERVIZI!$A12="","",SERVIZI!$W12)</f>
        <v/>
      </c>
      <c r="G16" s="35" t="str">
        <f>IF(SERVIZI!$A12="","",SERVIZI!$AI12)</f>
        <v/>
      </c>
      <c r="H16" s="35" t="str">
        <f>IF(SERVIZI!$A12="","",SERVIZI!$AH12)</f>
        <v/>
      </c>
      <c r="I16" s="35" t="str">
        <f>IF(SERVIZI!$A12="","",SERVIZI!$AI12-SERVIZI!$AH12)</f>
        <v/>
      </c>
      <c r="J16" s="33" t="str">
        <f>IF(SERVIZI!$A12="","",SERVIZI!$X12)</f>
        <v/>
      </c>
      <c r="K16" s="33" t="str">
        <f>IF(SERVIZI!$A12="","",SERVIZI!$Y12)</f>
        <v/>
      </c>
      <c r="L16" s="33" t="str">
        <f>IF(SERVIZI!$A12="","",SERVIZI!$Z12)</f>
        <v/>
      </c>
      <c r="M16" s="34" t="str">
        <f>IF(SERVIZI!$A12="","",SERVIZI!$N12)</f>
        <v/>
      </c>
      <c r="N16" s="34" t="str">
        <f>IF(SERVIZI!$A12="","",SERVIZI!$AA12)</f>
        <v/>
      </c>
      <c r="O16" s="34" t="str">
        <f>IF(SERVIZI!$A12="","",SERVIZI!$AF12)</f>
        <v/>
      </c>
      <c r="P16" s="36" t="str">
        <f>IF(SERVIZI!$A12="","",IF(SERVIZI!$AF12&lt;0,"MARGINE ORE NEGATIVO",IF(SERVIZI!$Z12&gt;0,"ORE OLTRE LA STIMA",IF(SERVIZI!$AI12-SERVIZI!$AH12&gt;0.15,"ORE SOPRA AVANZAMENTO",IF(SERVIZI!$AI12&gt;ALLERTA_ORE,"CONSUMO ELEVATO","OK")))))</f>
        <v/>
      </c>
    </row>
    <row r="17" spans="2:16" x14ac:dyDescent="0.3">
      <c r="B17" s="36" t="str">
        <f>IF(SERVIZI!$A13="","",SERVIZI!$A13)</f>
        <v/>
      </c>
      <c r="C17" s="36" t="str">
        <f>IF(SERVIZI!$A13="","",SERVIZI!$C13)</f>
        <v/>
      </c>
      <c r="D17" s="36" t="str">
        <f>IF(SERVIZI!$A13="","",SERVIZI!$E13)</f>
        <v/>
      </c>
      <c r="E17" s="33" t="str">
        <f>IF(SERVIZI!$A13="","",SERVIZI!$M13)</f>
        <v/>
      </c>
      <c r="F17" s="33" t="str">
        <f>IF(SERVIZI!$A13="","",SERVIZI!$W13)</f>
        <v/>
      </c>
      <c r="G17" s="35" t="str">
        <f>IF(SERVIZI!$A13="","",SERVIZI!$AI13)</f>
        <v/>
      </c>
      <c r="H17" s="35" t="str">
        <f>IF(SERVIZI!$A13="","",SERVIZI!$AH13)</f>
        <v/>
      </c>
      <c r="I17" s="35" t="str">
        <f>IF(SERVIZI!$A13="","",SERVIZI!$AI13-SERVIZI!$AH13)</f>
        <v/>
      </c>
      <c r="J17" s="33" t="str">
        <f>IF(SERVIZI!$A13="","",SERVIZI!$X13)</f>
        <v/>
      </c>
      <c r="K17" s="33" t="str">
        <f>IF(SERVIZI!$A13="","",SERVIZI!$Y13)</f>
        <v/>
      </c>
      <c r="L17" s="33" t="str">
        <f>IF(SERVIZI!$A13="","",SERVIZI!$Z13)</f>
        <v/>
      </c>
      <c r="M17" s="34" t="str">
        <f>IF(SERVIZI!$A13="","",SERVIZI!$N13)</f>
        <v/>
      </c>
      <c r="N17" s="34" t="str">
        <f>IF(SERVIZI!$A13="","",SERVIZI!$AA13)</f>
        <v/>
      </c>
      <c r="O17" s="34" t="str">
        <f>IF(SERVIZI!$A13="","",SERVIZI!$AF13)</f>
        <v/>
      </c>
      <c r="P17" s="36" t="str">
        <f>IF(SERVIZI!$A13="","",IF(SERVIZI!$AF13&lt;0,"MARGINE ORE NEGATIVO",IF(SERVIZI!$Z13&gt;0,"ORE OLTRE LA STIMA",IF(SERVIZI!$AI13-SERVIZI!$AH13&gt;0.15,"ORE SOPRA AVANZAMENTO",IF(SERVIZI!$AI13&gt;ALLERTA_ORE,"CONSUMO ELEVATO","OK")))))</f>
        <v/>
      </c>
    </row>
    <row r="18" spans="2:16" x14ac:dyDescent="0.3">
      <c r="B18" s="36" t="str">
        <f>IF(SERVIZI!$A14="","",SERVIZI!$A14)</f>
        <v/>
      </c>
      <c r="C18" s="36" t="str">
        <f>IF(SERVIZI!$A14="","",SERVIZI!$C14)</f>
        <v/>
      </c>
      <c r="D18" s="36" t="str">
        <f>IF(SERVIZI!$A14="","",SERVIZI!$E14)</f>
        <v/>
      </c>
      <c r="E18" s="33" t="str">
        <f>IF(SERVIZI!$A14="","",SERVIZI!$M14)</f>
        <v/>
      </c>
      <c r="F18" s="33" t="str">
        <f>IF(SERVIZI!$A14="","",SERVIZI!$W14)</f>
        <v/>
      </c>
      <c r="G18" s="35" t="str">
        <f>IF(SERVIZI!$A14="","",SERVIZI!$AI14)</f>
        <v/>
      </c>
      <c r="H18" s="35" t="str">
        <f>IF(SERVIZI!$A14="","",SERVIZI!$AH14)</f>
        <v/>
      </c>
      <c r="I18" s="35" t="str">
        <f>IF(SERVIZI!$A14="","",SERVIZI!$AI14-SERVIZI!$AH14)</f>
        <v/>
      </c>
      <c r="J18" s="33" t="str">
        <f>IF(SERVIZI!$A14="","",SERVIZI!$X14)</f>
        <v/>
      </c>
      <c r="K18" s="33" t="str">
        <f>IF(SERVIZI!$A14="","",SERVIZI!$Y14)</f>
        <v/>
      </c>
      <c r="L18" s="33" t="str">
        <f>IF(SERVIZI!$A14="","",SERVIZI!$Z14)</f>
        <v/>
      </c>
      <c r="M18" s="34" t="str">
        <f>IF(SERVIZI!$A14="","",SERVIZI!$N14)</f>
        <v/>
      </c>
      <c r="N18" s="34" t="str">
        <f>IF(SERVIZI!$A14="","",SERVIZI!$AA14)</f>
        <v/>
      </c>
      <c r="O18" s="34" t="str">
        <f>IF(SERVIZI!$A14="","",SERVIZI!$AF14)</f>
        <v/>
      </c>
      <c r="P18" s="36" t="str">
        <f>IF(SERVIZI!$A14="","",IF(SERVIZI!$AF14&lt;0,"MARGINE ORE NEGATIVO",IF(SERVIZI!$Z14&gt;0,"ORE OLTRE LA STIMA",IF(SERVIZI!$AI14-SERVIZI!$AH14&gt;0.15,"ORE SOPRA AVANZAMENTO",IF(SERVIZI!$AI14&gt;ALLERTA_ORE,"CONSUMO ELEVATO","OK")))))</f>
        <v/>
      </c>
    </row>
    <row r="19" spans="2:16" x14ac:dyDescent="0.3">
      <c r="B19" s="36" t="str">
        <f>IF(SERVIZI!$A15="","",SERVIZI!$A15)</f>
        <v/>
      </c>
      <c r="C19" s="36" t="str">
        <f>IF(SERVIZI!$A15="","",SERVIZI!$C15)</f>
        <v/>
      </c>
      <c r="D19" s="36" t="str">
        <f>IF(SERVIZI!$A15="","",SERVIZI!$E15)</f>
        <v/>
      </c>
      <c r="E19" s="33" t="str">
        <f>IF(SERVIZI!$A15="","",SERVIZI!$M15)</f>
        <v/>
      </c>
      <c r="F19" s="33" t="str">
        <f>IF(SERVIZI!$A15="","",SERVIZI!$W15)</f>
        <v/>
      </c>
      <c r="G19" s="35" t="str">
        <f>IF(SERVIZI!$A15="","",SERVIZI!$AI15)</f>
        <v/>
      </c>
      <c r="H19" s="35" t="str">
        <f>IF(SERVIZI!$A15="","",SERVIZI!$AH15)</f>
        <v/>
      </c>
      <c r="I19" s="35" t="str">
        <f>IF(SERVIZI!$A15="","",SERVIZI!$AI15-SERVIZI!$AH15)</f>
        <v/>
      </c>
      <c r="J19" s="33" t="str">
        <f>IF(SERVIZI!$A15="","",SERVIZI!$X15)</f>
        <v/>
      </c>
      <c r="K19" s="33" t="str">
        <f>IF(SERVIZI!$A15="","",SERVIZI!$Y15)</f>
        <v/>
      </c>
      <c r="L19" s="33" t="str">
        <f>IF(SERVIZI!$A15="","",SERVIZI!$Z15)</f>
        <v/>
      </c>
      <c r="M19" s="34" t="str">
        <f>IF(SERVIZI!$A15="","",SERVIZI!$N15)</f>
        <v/>
      </c>
      <c r="N19" s="34" t="str">
        <f>IF(SERVIZI!$A15="","",SERVIZI!$AA15)</f>
        <v/>
      </c>
      <c r="O19" s="34" t="str">
        <f>IF(SERVIZI!$A15="","",SERVIZI!$AF15)</f>
        <v/>
      </c>
      <c r="P19" s="36" t="str">
        <f>IF(SERVIZI!$A15="","",IF(SERVIZI!$AF15&lt;0,"MARGINE ORE NEGATIVO",IF(SERVIZI!$Z15&gt;0,"ORE OLTRE LA STIMA",IF(SERVIZI!$AI15-SERVIZI!$AH15&gt;0.15,"ORE SOPRA AVANZAMENTO",IF(SERVIZI!$AI15&gt;ALLERTA_ORE,"CONSUMO ELEVATO","OK")))))</f>
        <v/>
      </c>
    </row>
    <row r="20" spans="2:16" x14ac:dyDescent="0.3">
      <c r="B20" s="36" t="str">
        <f>IF(SERVIZI!$A16="","",SERVIZI!$A16)</f>
        <v/>
      </c>
      <c r="C20" s="36" t="str">
        <f>IF(SERVIZI!$A16="","",SERVIZI!$C16)</f>
        <v/>
      </c>
      <c r="D20" s="36" t="str">
        <f>IF(SERVIZI!$A16="","",SERVIZI!$E16)</f>
        <v/>
      </c>
      <c r="E20" s="33" t="str">
        <f>IF(SERVIZI!$A16="","",SERVIZI!$M16)</f>
        <v/>
      </c>
      <c r="F20" s="33" t="str">
        <f>IF(SERVIZI!$A16="","",SERVIZI!$W16)</f>
        <v/>
      </c>
      <c r="G20" s="35" t="str">
        <f>IF(SERVIZI!$A16="","",SERVIZI!$AI16)</f>
        <v/>
      </c>
      <c r="H20" s="35" t="str">
        <f>IF(SERVIZI!$A16="","",SERVIZI!$AH16)</f>
        <v/>
      </c>
      <c r="I20" s="35" t="str">
        <f>IF(SERVIZI!$A16="","",SERVIZI!$AI16-SERVIZI!$AH16)</f>
        <v/>
      </c>
      <c r="J20" s="33" t="str">
        <f>IF(SERVIZI!$A16="","",SERVIZI!$X16)</f>
        <v/>
      </c>
      <c r="K20" s="33" t="str">
        <f>IF(SERVIZI!$A16="","",SERVIZI!$Y16)</f>
        <v/>
      </c>
      <c r="L20" s="33" t="str">
        <f>IF(SERVIZI!$A16="","",SERVIZI!$Z16)</f>
        <v/>
      </c>
      <c r="M20" s="34" t="str">
        <f>IF(SERVIZI!$A16="","",SERVIZI!$N16)</f>
        <v/>
      </c>
      <c r="N20" s="34" t="str">
        <f>IF(SERVIZI!$A16="","",SERVIZI!$AA16)</f>
        <v/>
      </c>
      <c r="O20" s="34" t="str">
        <f>IF(SERVIZI!$A16="","",SERVIZI!$AF16)</f>
        <v/>
      </c>
      <c r="P20" s="36" t="str">
        <f>IF(SERVIZI!$A16="","",IF(SERVIZI!$AF16&lt;0,"MARGINE ORE NEGATIVO",IF(SERVIZI!$Z16&gt;0,"ORE OLTRE LA STIMA",IF(SERVIZI!$AI16-SERVIZI!$AH16&gt;0.15,"ORE SOPRA AVANZAMENTO",IF(SERVIZI!$AI16&gt;ALLERTA_ORE,"CONSUMO ELEVATO","OK")))))</f>
        <v/>
      </c>
    </row>
    <row r="21" spans="2:16" x14ac:dyDescent="0.3">
      <c r="B21" s="36" t="str">
        <f>IF(SERVIZI!$A17="","",SERVIZI!$A17)</f>
        <v/>
      </c>
      <c r="C21" s="36" t="str">
        <f>IF(SERVIZI!$A17="","",SERVIZI!$C17)</f>
        <v/>
      </c>
      <c r="D21" s="36" t="str">
        <f>IF(SERVIZI!$A17="","",SERVIZI!$E17)</f>
        <v/>
      </c>
      <c r="E21" s="33" t="str">
        <f>IF(SERVIZI!$A17="","",SERVIZI!$M17)</f>
        <v/>
      </c>
      <c r="F21" s="33" t="str">
        <f>IF(SERVIZI!$A17="","",SERVIZI!$W17)</f>
        <v/>
      </c>
      <c r="G21" s="35" t="str">
        <f>IF(SERVIZI!$A17="","",SERVIZI!$AI17)</f>
        <v/>
      </c>
      <c r="H21" s="35" t="str">
        <f>IF(SERVIZI!$A17="","",SERVIZI!$AH17)</f>
        <v/>
      </c>
      <c r="I21" s="35" t="str">
        <f>IF(SERVIZI!$A17="","",SERVIZI!$AI17-SERVIZI!$AH17)</f>
        <v/>
      </c>
      <c r="J21" s="33" t="str">
        <f>IF(SERVIZI!$A17="","",SERVIZI!$X17)</f>
        <v/>
      </c>
      <c r="K21" s="33" t="str">
        <f>IF(SERVIZI!$A17="","",SERVIZI!$Y17)</f>
        <v/>
      </c>
      <c r="L21" s="33" t="str">
        <f>IF(SERVIZI!$A17="","",SERVIZI!$Z17)</f>
        <v/>
      </c>
      <c r="M21" s="34" t="str">
        <f>IF(SERVIZI!$A17="","",SERVIZI!$N17)</f>
        <v/>
      </c>
      <c r="N21" s="34" t="str">
        <f>IF(SERVIZI!$A17="","",SERVIZI!$AA17)</f>
        <v/>
      </c>
      <c r="O21" s="34" t="str">
        <f>IF(SERVIZI!$A17="","",SERVIZI!$AF17)</f>
        <v/>
      </c>
      <c r="P21" s="36" t="str">
        <f>IF(SERVIZI!$A17="","",IF(SERVIZI!$AF17&lt;0,"MARGINE ORE NEGATIVO",IF(SERVIZI!$Z17&gt;0,"ORE OLTRE LA STIMA",IF(SERVIZI!$AI17-SERVIZI!$AH17&gt;0.15,"ORE SOPRA AVANZAMENTO",IF(SERVIZI!$AI17&gt;ALLERTA_ORE,"CONSUMO ELEVATO","OK")))))</f>
        <v/>
      </c>
    </row>
    <row r="22" spans="2:16" x14ac:dyDescent="0.3">
      <c r="B22" s="36" t="str">
        <f>IF(SERVIZI!$A18="","",SERVIZI!$A18)</f>
        <v/>
      </c>
      <c r="C22" s="36" t="str">
        <f>IF(SERVIZI!$A18="","",SERVIZI!$C18)</f>
        <v/>
      </c>
      <c r="D22" s="36" t="str">
        <f>IF(SERVIZI!$A18="","",SERVIZI!$E18)</f>
        <v/>
      </c>
      <c r="E22" s="33" t="str">
        <f>IF(SERVIZI!$A18="","",SERVIZI!$M18)</f>
        <v/>
      </c>
      <c r="F22" s="33" t="str">
        <f>IF(SERVIZI!$A18="","",SERVIZI!$W18)</f>
        <v/>
      </c>
      <c r="G22" s="35" t="str">
        <f>IF(SERVIZI!$A18="","",SERVIZI!$AI18)</f>
        <v/>
      </c>
      <c r="H22" s="35" t="str">
        <f>IF(SERVIZI!$A18="","",SERVIZI!$AH18)</f>
        <v/>
      </c>
      <c r="I22" s="35" t="str">
        <f>IF(SERVIZI!$A18="","",SERVIZI!$AI18-SERVIZI!$AH18)</f>
        <v/>
      </c>
      <c r="J22" s="33" t="str">
        <f>IF(SERVIZI!$A18="","",SERVIZI!$X18)</f>
        <v/>
      </c>
      <c r="K22" s="33" t="str">
        <f>IF(SERVIZI!$A18="","",SERVIZI!$Y18)</f>
        <v/>
      </c>
      <c r="L22" s="33" t="str">
        <f>IF(SERVIZI!$A18="","",SERVIZI!$Z18)</f>
        <v/>
      </c>
      <c r="M22" s="34" t="str">
        <f>IF(SERVIZI!$A18="","",SERVIZI!$N18)</f>
        <v/>
      </c>
      <c r="N22" s="34" t="str">
        <f>IF(SERVIZI!$A18="","",SERVIZI!$AA18)</f>
        <v/>
      </c>
      <c r="O22" s="34" t="str">
        <f>IF(SERVIZI!$A18="","",SERVIZI!$AF18)</f>
        <v/>
      </c>
      <c r="P22" s="36" t="str">
        <f>IF(SERVIZI!$A18="","",IF(SERVIZI!$AF18&lt;0,"MARGINE ORE NEGATIVO",IF(SERVIZI!$Z18&gt;0,"ORE OLTRE LA STIMA",IF(SERVIZI!$AI18-SERVIZI!$AH18&gt;0.15,"ORE SOPRA AVANZAMENTO",IF(SERVIZI!$AI18&gt;ALLERTA_ORE,"CONSUMO ELEVATO","OK")))))</f>
        <v/>
      </c>
    </row>
    <row r="23" spans="2:16" x14ac:dyDescent="0.3">
      <c r="B23" s="36" t="str">
        <f>IF(SERVIZI!$A19="","",SERVIZI!$A19)</f>
        <v/>
      </c>
      <c r="C23" s="36" t="str">
        <f>IF(SERVIZI!$A19="","",SERVIZI!$C19)</f>
        <v/>
      </c>
      <c r="D23" s="36" t="str">
        <f>IF(SERVIZI!$A19="","",SERVIZI!$E19)</f>
        <v/>
      </c>
      <c r="E23" s="33" t="str">
        <f>IF(SERVIZI!$A19="","",SERVIZI!$M19)</f>
        <v/>
      </c>
      <c r="F23" s="33" t="str">
        <f>IF(SERVIZI!$A19="","",SERVIZI!$W19)</f>
        <v/>
      </c>
      <c r="G23" s="35" t="str">
        <f>IF(SERVIZI!$A19="","",SERVIZI!$AI19)</f>
        <v/>
      </c>
      <c r="H23" s="35" t="str">
        <f>IF(SERVIZI!$A19="","",SERVIZI!$AH19)</f>
        <v/>
      </c>
      <c r="I23" s="35" t="str">
        <f>IF(SERVIZI!$A19="","",SERVIZI!$AI19-SERVIZI!$AH19)</f>
        <v/>
      </c>
      <c r="J23" s="33" t="str">
        <f>IF(SERVIZI!$A19="","",SERVIZI!$X19)</f>
        <v/>
      </c>
      <c r="K23" s="33" t="str">
        <f>IF(SERVIZI!$A19="","",SERVIZI!$Y19)</f>
        <v/>
      </c>
      <c r="L23" s="33" t="str">
        <f>IF(SERVIZI!$A19="","",SERVIZI!$Z19)</f>
        <v/>
      </c>
      <c r="M23" s="34" t="str">
        <f>IF(SERVIZI!$A19="","",SERVIZI!$N19)</f>
        <v/>
      </c>
      <c r="N23" s="34" t="str">
        <f>IF(SERVIZI!$A19="","",SERVIZI!$AA19)</f>
        <v/>
      </c>
      <c r="O23" s="34" t="str">
        <f>IF(SERVIZI!$A19="","",SERVIZI!$AF19)</f>
        <v/>
      </c>
      <c r="P23" s="36" t="str">
        <f>IF(SERVIZI!$A19="","",IF(SERVIZI!$AF19&lt;0,"MARGINE ORE NEGATIVO",IF(SERVIZI!$Z19&gt;0,"ORE OLTRE LA STIMA",IF(SERVIZI!$AI19-SERVIZI!$AH19&gt;0.15,"ORE SOPRA AVANZAMENTO",IF(SERVIZI!$AI19&gt;ALLERTA_ORE,"CONSUMO ELEVATO","OK")))))</f>
        <v/>
      </c>
    </row>
    <row r="24" spans="2:16" x14ac:dyDescent="0.3">
      <c r="B24" s="36" t="str">
        <f>IF(SERVIZI!$A20="","",SERVIZI!$A20)</f>
        <v/>
      </c>
      <c r="C24" s="36" t="str">
        <f>IF(SERVIZI!$A20="","",SERVIZI!$C20)</f>
        <v/>
      </c>
      <c r="D24" s="36" t="str">
        <f>IF(SERVIZI!$A20="","",SERVIZI!$E20)</f>
        <v/>
      </c>
      <c r="E24" s="33" t="str">
        <f>IF(SERVIZI!$A20="","",SERVIZI!$M20)</f>
        <v/>
      </c>
      <c r="F24" s="33" t="str">
        <f>IF(SERVIZI!$A20="","",SERVIZI!$W20)</f>
        <v/>
      </c>
      <c r="G24" s="35" t="str">
        <f>IF(SERVIZI!$A20="","",SERVIZI!$AI20)</f>
        <v/>
      </c>
      <c r="H24" s="35" t="str">
        <f>IF(SERVIZI!$A20="","",SERVIZI!$AH20)</f>
        <v/>
      </c>
      <c r="I24" s="35" t="str">
        <f>IF(SERVIZI!$A20="","",SERVIZI!$AI20-SERVIZI!$AH20)</f>
        <v/>
      </c>
      <c r="J24" s="33" t="str">
        <f>IF(SERVIZI!$A20="","",SERVIZI!$X20)</f>
        <v/>
      </c>
      <c r="K24" s="33" t="str">
        <f>IF(SERVIZI!$A20="","",SERVIZI!$Y20)</f>
        <v/>
      </c>
      <c r="L24" s="33" t="str">
        <f>IF(SERVIZI!$A20="","",SERVIZI!$Z20)</f>
        <v/>
      </c>
      <c r="M24" s="34" t="str">
        <f>IF(SERVIZI!$A20="","",SERVIZI!$N20)</f>
        <v/>
      </c>
      <c r="N24" s="34" t="str">
        <f>IF(SERVIZI!$A20="","",SERVIZI!$AA20)</f>
        <v/>
      </c>
      <c r="O24" s="34" t="str">
        <f>IF(SERVIZI!$A20="","",SERVIZI!$AF20)</f>
        <v/>
      </c>
      <c r="P24" s="36" t="str">
        <f>IF(SERVIZI!$A20="","",IF(SERVIZI!$AF20&lt;0,"MARGINE ORE NEGATIVO",IF(SERVIZI!$Z20&gt;0,"ORE OLTRE LA STIMA",IF(SERVIZI!$AI20-SERVIZI!$AH20&gt;0.15,"ORE SOPRA AVANZAMENTO",IF(SERVIZI!$AI20&gt;ALLERTA_ORE,"CONSUMO ELEVATO","OK")))))</f>
        <v/>
      </c>
    </row>
    <row r="25" spans="2:16" x14ac:dyDescent="0.3">
      <c r="B25" s="36" t="str">
        <f>IF(SERVIZI!$A21="","",SERVIZI!$A21)</f>
        <v/>
      </c>
      <c r="C25" s="36" t="str">
        <f>IF(SERVIZI!$A21="","",SERVIZI!$C21)</f>
        <v/>
      </c>
      <c r="D25" s="36" t="str">
        <f>IF(SERVIZI!$A21="","",SERVIZI!$E21)</f>
        <v/>
      </c>
      <c r="E25" s="33" t="str">
        <f>IF(SERVIZI!$A21="","",SERVIZI!$M21)</f>
        <v/>
      </c>
      <c r="F25" s="33" t="str">
        <f>IF(SERVIZI!$A21="","",SERVIZI!$W21)</f>
        <v/>
      </c>
      <c r="G25" s="35" t="str">
        <f>IF(SERVIZI!$A21="","",SERVIZI!$AI21)</f>
        <v/>
      </c>
      <c r="H25" s="35" t="str">
        <f>IF(SERVIZI!$A21="","",SERVIZI!$AH21)</f>
        <v/>
      </c>
      <c r="I25" s="35" t="str">
        <f>IF(SERVIZI!$A21="","",SERVIZI!$AI21-SERVIZI!$AH21)</f>
        <v/>
      </c>
      <c r="J25" s="33" t="str">
        <f>IF(SERVIZI!$A21="","",SERVIZI!$X21)</f>
        <v/>
      </c>
      <c r="K25" s="33" t="str">
        <f>IF(SERVIZI!$A21="","",SERVIZI!$Y21)</f>
        <v/>
      </c>
      <c r="L25" s="33" t="str">
        <f>IF(SERVIZI!$A21="","",SERVIZI!$Z21)</f>
        <v/>
      </c>
      <c r="M25" s="34" t="str">
        <f>IF(SERVIZI!$A21="","",SERVIZI!$N21)</f>
        <v/>
      </c>
      <c r="N25" s="34" t="str">
        <f>IF(SERVIZI!$A21="","",SERVIZI!$AA21)</f>
        <v/>
      </c>
      <c r="O25" s="34" t="str">
        <f>IF(SERVIZI!$A21="","",SERVIZI!$AF21)</f>
        <v/>
      </c>
      <c r="P25" s="36" t="str">
        <f>IF(SERVIZI!$A21="","",IF(SERVIZI!$AF21&lt;0,"MARGINE ORE NEGATIVO",IF(SERVIZI!$Z21&gt;0,"ORE OLTRE LA STIMA",IF(SERVIZI!$AI21-SERVIZI!$AH21&gt;0.15,"ORE SOPRA AVANZAMENTO",IF(SERVIZI!$AI21&gt;ALLERTA_ORE,"CONSUMO ELEVATO","OK")))))</f>
        <v/>
      </c>
    </row>
    <row r="26" spans="2:16" x14ac:dyDescent="0.3">
      <c r="B26" s="36" t="str">
        <f>IF(SERVIZI!$A22="","",SERVIZI!$A22)</f>
        <v/>
      </c>
      <c r="C26" s="36" t="str">
        <f>IF(SERVIZI!$A22="","",SERVIZI!$C22)</f>
        <v/>
      </c>
      <c r="D26" s="36" t="str">
        <f>IF(SERVIZI!$A22="","",SERVIZI!$E22)</f>
        <v/>
      </c>
      <c r="E26" s="33" t="str">
        <f>IF(SERVIZI!$A22="","",SERVIZI!$M22)</f>
        <v/>
      </c>
      <c r="F26" s="33" t="str">
        <f>IF(SERVIZI!$A22="","",SERVIZI!$W22)</f>
        <v/>
      </c>
      <c r="G26" s="35" t="str">
        <f>IF(SERVIZI!$A22="","",SERVIZI!$AI22)</f>
        <v/>
      </c>
      <c r="H26" s="35" t="str">
        <f>IF(SERVIZI!$A22="","",SERVIZI!$AH22)</f>
        <v/>
      </c>
      <c r="I26" s="35" t="str">
        <f>IF(SERVIZI!$A22="","",SERVIZI!$AI22-SERVIZI!$AH22)</f>
        <v/>
      </c>
      <c r="J26" s="33" t="str">
        <f>IF(SERVIZI!$A22="","",SERVIZI!$X22)</f>
        <v/>
      </c>
      <c r="K26" s="33" t="str">
        <f>IF(SERVIZI!$A22="","",SERVIZI!$Y22)</f>
        <v/>
      </c>
      <c r="L26" s="33" t="str">
        <f>IF(SERVIZI!$A22="","",SERVIZI!$Z22)</f>
        <v/>
      </c>
      <c r="M26" s="34" t="str">
        <f>IF(SERVIZI!$A22="","",SERVIZI!$N22)</f>
        <v/>
      </c>
      <c r="N26" s="34" t="str">
        <f>IF(SERVIZI!$A22="","",SERVIZI!$AA22)</f>
        <v/>
      </c>
      <c r="O26" s="34" t="str">
        <f>IF(SERVIZI!$A22="","",SERVIZI!$AF22)</f>
        <v/>
      </c>
      <c r="P26" s="36" t="str">
        <f>IF(SERVIZI!$A22="","",IF(SERVIZI!$AF22&lt;0,"MARGINE ORE NEGATIVO",IF(SERVIZI!$Z22&gt;0,"ORE OLTRE LA STIMA",IF(SERVIZI!$AI22-SERVIZI!$AH22&gt;0.15,"ORE SOPRA AVANZAMENTO",IF(SERVIZI!$AI22&gt;ALLERTA_ORE,"CONSUMO ELEVATO","OK")))))</f>
        <v/>
      </c>
    </row>
    <row r="27" spans="2:16" x14ac:dyDescent="0.3">
      <c r="B27" s="36" t="str">
        <f>IF(SERVIZI!$A23="","",SERVIZI!$A23)</f>
        <v/>
      </c>
      <c r="C27" s="36" t="str">
        <f>IF(SERVIZI!$A23="","",SERVIZI!$C23)</f>
        <v/>
      </c>
      <c r="D27" s="36" t="str">
        <f>IF(SERVIZI!$A23="","",SERVIZI!$E23)</f>
        <v/>
      </c>
      <c r="E27" s="33" t="str">
        <f>IF(SERVIZI!$A23="","",SERVIZI!$M23)</f>
        <v/>
      </c>
      <c r="F27" s="33" t="str">
        <f>IF(SERVIZI!$A23="","",SERVIZI!$W23)</f>
        <v/>
      </c>
      <c r="G27" s="35" t="str">
        <f>IF(SERVIZI!$A23="","",SERVIZI!$AI23)</f>
        <v/>
      </c>
      <c r="H27" s="35" t="str">
        <f>IF(SERVIZI!$A23="","",SERVIZI!$AH23)</f>
        <v/>
      </c>
      <c r="I27" s="35" t="str">
        <f>IF(SERVIZI!$A23="","",SERVIZI!$AI23-SERVIZI!$AH23)</f>
        <v/>
      </c>
      <c r="J27" s="33" t="str">
        <f>IF(SERVIZI!$A23="","",SERVIZI!$X23)</f>
        <v/>
      </c>
      <c r="K27" s="33" t="str">
        <f>IF(SERVIZI!$A23="","",SERVIZI!$Y23)</f>
        <v/>
      </c>
      <c r="L27" s="33" t="str">
        <f>IF(SERVIZI!$A23="","",SERVIZI!$Z23)</f>
        <v/>
      </c>
      <c r="M27" s="34" t="str">
        <f>IF(SERVIZI!$A23="","",SERVIZI!$N23)</f>
        <v/>
      </c>
      <c r="N27" s="34" t="str">
        <f>IF(SERVIZI!$A23="","",SERVIZI!$AA23)</f>
        <v/>
      </c>
      <c r="O27" s="34" t="str">
        <f>IF(SERVIZI!$A23="","",SERVIZI!$AF23)</f>
        <v/>
      </c>
      <c r="P27" s="36" t="str">
        <f>IF(SERVIZI!$A23="","",IF(SERVIZI!$AF23&lt;0,"MARGINE ORE NEGATIVO",IF(SERVIZI!$Z23&gt;0,"ORE OLTRE LA STIMA",IF(SERVIZI!$AI23-SERVIZI!$AH23&gt;0.15,"ORE SOPRA AVANZAMENTO",IF(SERVIZI!$AI23&gt;ALLERTA_ORE,"CONSUMO ELEVATO","OK")))))</f>
        <v/>
      </c>
    </row>
    <row r="28" spans="2:16" x14ac:dyDescent="0.3">
      <c r="B28" s="36" t="str">
        <f>IF(SERVIZI!$A24="","",SERVIZI!$A24)</f>
        <v/>
      </c>
      <c r="C28" s="36" t="str">
        <f>IF(SERVIZI!$A24="","",SERVIZI!$C24)</f>
        <v/>
      </c>
      <c r="D28" s="36" t="str">
        <f>IF(SERVIZI!$A24="","",SERVIZI!$E24)</f>
        <v/>
      </c>
      <c r="E28" s="33" t="str">
        <f>IF(SERVIZI!$A24="","",SERVIZI!$M24)</f>
        <v/>
      </c>
      <c r="F28" s="33" t="str">
        <f>IF(SERVIZI!$A24="","",SERVIZI!$W24)</f>
        <v/>
      </c>
      <c r="G28" s="35" t="str">
        <f>IF(SERVIZI!$A24="","",SERVIZI!$AI24)</f>
        <v/>
      </c>
      <c r="H28" s="35" t="str">
        <f>IF(SERVIZI!$A24="","",SERVIZI!$AH24)</f>
        <v/>
      </c>
      <c r="I28" s="35" t="str">
        <f>IF(SERVIZI!$A24="","",SERVIZI!$AI24-SERVIZI!$AH24)</f>
        <v/>
      </c>
      <c r="J28" s="33" t="str">
        <f>IF(SERVIZI!$A24="","",SERVIZI!$X24)</f>
        <v/>
      </c>
      <c r="K28" s="33" t="str">
        <f>IF(SERVIZI!$A24="","",SERVIZI!$Y24)</f>
        <v/>
      </c>
      <c r="L28" s="33" t="str">
        <f>IF(SERVIZI!$A24="","",SERVIZI!$Z24)</f>
        <v/>
      </c>
      <c r="M28" s="34" t="str">
        <f>IF(SERVIZI!$A24="","",SERVIZI!$N24)</f>
        <v/>
      </c>
      <c r="N28" s="34" t="str">
        <f>IF(SERVIZI!$A24="","",SERVIZI!$AA24)</f>
        <v/>
      </c>
      <c r="O28" s="34" t="str">
        <f>IF(SERVIZI!$A24="","",SERVIZI!$AF24)</f>
        <v/>
      </c>
      <c r="P28" s="36" t="str">
        <f>IF(SERVIZI!$A24="","",IF(SERVIZI!$AF24&lt;0,"MARGINE ORE NEGATIVO",IF(SERVIZI!$Z24&gt;0,"ORE OLTRE LA STIMA",IF(SERVIZI!$AI24-SERVIZI!$AH24&gt;0.15,"ORE SOPRA AVANZAMENTO",IF(SERVIZI!$AI24&gt;ALLERTA_ORE,"CONSUMO ELEVATO","OK")))))</f>
        <v/>
      </c>
    </row>
    <row r="29" spans="2:16" x14ac:dyDescent="0.3">
      <c r="B29" s="36" t="str">
        <f>IF(SERVIZI!$A25="","",SERVIZI!$A25)</f>
        <v/>
      </c>
      <c r="C29" s="36" t="str">
        <f>IF(SERVIZI!$A25="","",SERVIZI!$C25)</f>
        <v/>
      </c>
      <c r="D29" s="36" t="str">
        <f>IF(SERVIZI!$A25="","",SERVIZI!$E25)</f>
        <v/>
      </c>
      <c r="E29" s="33" t="str">
        <f>IF(SERVIZI!$A25="","",SERVIZI!$M25)</f>
        <v/>
      </c>
      <c r="F29" s="33" t="str">
        <f>IF(SERVIZI!$A25="","",SERVIZI!$W25)</f>
        <v/>
      </c>
      <c r="G29" s="35" t="str">
        <f>IF(SERVIZI!$A25="","",SERVIZI!$AI25)</f>
        <v/>
      </c>
      <c r="H29" s="35" t="str">
        <f>IF(SERVIZI!$A25="","",SERVIZI!$AH25)</f>
        <v/>
      </c>
      <c r="I29" s="35" t="str">
        <f>IF(SERVIZI!$A25="","",SERVIZI!$AI25-SERVIZI!$AH25)</f>
        <v/>
      </c>
      <c r="J29" s="33" t="str">
        <f>IF(SERVIZI!$A25="","",SERVIZI!$X25)</f>
        <v/>
      </c>
      <c r="K29" s="33" t="str">
        <f>IF(SERVIZI!$A25="","",SERVIZI!$Y25)</f>
        <v/>
      </c>
      <c r="L29" s="33" t="str">
        <f>IF(SERVIZI!$A25="","",SERVIZI!$Z25)</f>
        <v/>
      </c>
      <c r="M29" s="34" t="str">
        <f>IF(SERVIZI!$A25="","",SERVIZI!$N25)</f>
        <v/>
      </c>
      <c r="N29" s="34" t="str">
        <f>IF(SERVIZI!$A25="","",SERVIZI!$AA25)</f>
        <v/>
      </c>
      <c r="O29" s="34" t="str">
        <f>IF(SERVIZI!$A25="","",SERVIZI!$AF25)</f>
        <v/>
      </c>
      <c r="P29" s="36" t="str">
        <f>IF(SERVIZI!$A25="","",IF(SERVIZI!$AF25&lt;0,"MARGINE ORE NEGATIVO",IF(SERVIZI!$Z25&gt;0,"ORE OLTRE LA STIMA",IF(SERVIZI!$AI25-SERVIZI!$AH25&gt;0.15,"ORE SOPRA AVANZAMENTO",IF(SERVIZI!$AI25&gt;ALLERTA_ORE,"CONSUMO ELEVATO","OK")))))</f>
        <v/>
      </c>
    </row>
    <row r="30" spans="2:16" x14ac:dyDescent="0.3">
      <c r="B30" s="36" t="str">
        <f>IF(SERVIZI!$A26="","",SERVIZI!$A26)</f>
        <v/>
      </c>
      <c r="C30" s="36" t="str">
        <f>IF(SERVIZI!$A26="","",SERVIZI!$C26)</f>
        <v/>
      </c>
      <c r="D30" s="36" t="str">
        <f>IF(SERVIZI!$A26="","",SERVIZI!$E26)</f>
        <v/>
      </c>
      <c r="E30" s="33" t="str">
        <f>IF(SERVIZI!$A26="","",SERVIZI!$M26)</f>
        <v/>
      </c>
      <c r="F30" s="33" t="str">
        <f>IF(SERVIZI!$A26="","",SERVIZI!$W26)</f>
        <v/>
      </c>
      <c r="G30" s="35" t="str">
        <f>IF(SERVIZI!$A26="","",SERVIZI!$AI26)</f>
        <v/>
      </c>
      <c r="H30" s="35" t="str">
        <f>IF(SERVIZI!$A26="","",SERVIZI!$AH26)</f>
        <v/>
      </c>
      <c r="I30" s="35" t="str">
        <f>IF(SERVIZI!$A26="","",SERVIZI!$AI26-SERVIZI!$AH26)</f>
        <v/>
      </c>
      <c r="J30" s="33" t="str">
        <f>IF(SERVIZI!$A26="","",SERVIZI!$X26)</f>
        <v/>
      </c>
      <c r="K30" s="33" t="str">
        <f>IF(SERVIZI!$A26="","",SERVIZI!$Y26)</f>
        <v/>
      </c>
      <c r="L30" s="33" t="str">
        <f>IF(SERVIZI!$A26="","",SERVIZI!$Z26)</f>
        <v/>
      </c>
      <c r="M30" s="34" t="str">
        <f>IF(SERVIZI!$A26="","",SERVIZI!$N26)</f>
        <v/>
      </c>
      <c r="N30" s="34" t="str">
        <f>IF(SERVIZI!$A26="","",SERVIZI!$AA26)</f>
        <v/>
      </c>
      <c r="O30" s="34" t="str">
        <f>IF(SERVIZI!$A26="","",SERVIZI!$AF26)</f>
        <v/>
      </c>
      <c r="P30" s="36" t="str">
        <f>IF(SERVIZI!$A26="","",IF(SERVIZI!$AF26&lt;0,"MARGINE ORE NEGATIVO",IF(SERVIZI!$Z26&gt;0,"ORE OLTRE LA STIMA",IF(SERVIZI!$AI26-SERVIZI!$AH26&gt;0.15,"ORE SOPRA AVANZAMENTO",IF(SERVIZI!$AI26&gt;ALLERTA_ORE,"CONSUMO ELEVATO","OK")))))</f>
        <v/>
      </c>
    </row>
    <row r="31" spans="2:16" x14ac:dyDescent="0.3">
      <c r="B31" s="36" t="str">
        <f>IF(SERVIZI!$A27="","",SERVIZI!$A27)</f>
        <v/>
      </c>
      <c r="C31" s="36" t="str">
        <f>IF(SERVIZI!$A27="","",SERVIZI!$C27)</f>
        <v/>
      </c>
      <c r="D31" s="36" t="str">
        <f>IF(SERVIZI!$A27="","",SERVIZI!$E27)</f>
        <v/>
      </c>
      <c r="E31" s="33" t="str">
        <f>IF(SERVIZI!$A27="","",SERVIZI!$M27)</f>
        <v/>
      </c>
      <c r="F31" s="33" t="str">
        <f>IF(SERVIZI!$A27="","",SERVIZI!$W27)</f>
        <v/>
      </c>
      <c r="G31" s="35" t="str">
        <f>IF(SERVIZI!$A27="","",SERVIZI!$AI27)</f>
        <v/>
      </c>
      <c r="H31" s="35" t="str">
        <f>IF(SERVIZI!$A27="","",SERVIZI!$AH27)</f>
        <v/>
      </c>
      <c r="I31" s="35" t="str">
        <f>IF(SERVIZI!$A27="","",SERVIZI!$AI27-SERVIZI!$AH27)</f>
        <v/>
      </c>
      <c r="J31" s="33" t="str">
        <f>IF(SERVIZI!$A27="","",SERVIZI!$X27)</f>
        <v/>
      </c>
      <c r="K31" s="33" t="str">
        <f>IF(SERVIZI!$A27="","",SERVIZI!$Y27)</f>
        <v/>
      </c>
      <c r="L31" s="33" t="str">
        <f>IF(SERVIZI!$A27="","",SERVIZI!$Z27)</f>
        <v/>
      </c>
      <c r="M31" s="34" t="str">
        <f>IF(SERVIZI!$A27="","",SERVIZI!$N27)</f>
        <v/>
      </c>
      <c r="N31" s="34" t="str">
        <f>IF(SERVIZI!$A27="","",SERVIZI!$AA27)</f>
        <v/>
      </c>
      <c r="O31" s="34" t="str">
        <f>IF(SERVIZI!$A27="","",SERVIZI!$AF27)</f>
        <v/>
      </c>
      <c r="P31" s="36" t="str">
        <f>IF(SERVIZI!$A27="","",IF(SERVIZI!$AF27&lt;0,"MARGINE ORE NEGATIVO",IF(SERVIZI!$Z27&gt;0,"ORE OLTRE LA STIMA",IF(SERVIZI!$AI27-SERVIZI!$AH27&gt;0.15,"ORE SOPRA AVANZAMENTO",IF(SERVIZI!$AI27&gt;ALLERTA_ORE,"CONSUMO ELEVATO","OK")))))</f>
        <v/>
      </c>
    </row>
    <row r="32" spans="2:16" x14ac:dyDescent="0.3">
      <c r="B32" s="36" t="str">
        <f>IF(SERVIZI!$A28="","",SERVIZI!$A28)</f>
        <v/>
      </c>
      <c r="C32" s="36" t="str">
        <f>IF(SERVIZI!$A28="","",SERVIZI!$C28)</f>
        <v/>
      </c>
      <c r="D32" s="36" t="str">
        <f>IF(SERVIZI!$A28="","",SERVIZI!$E28)</f>
        <v/>
      </c>
      <c r="E32" s="33" t="str">
        <f>IF(SERVIZI!$A28="","",SERVIZI!$M28)</f>
        <v/>
      </c>
      <c r="F32" s="33" t="str">
        <f>IF(SERVIZI!$A28="","",SERVIZI!$W28)</f>
        <v/>
      </c>
      <c r="G32" s="35" t="str">
        <f>IF(SERVIZI!$A28="","",SERVIZI!$AI28)</f>
        <v/>
      </c>
      <c r="H32" s="35" t="str">
        <f>IF(SERVIZI!$A28="","",SERVIZI!$AH28)</f>
        <v/>
      </c>
      <c r="I32" s="35" t="str">
        <f>IF(SERVIZI!$A28="","",SERVIZI!$AI28-SERVIZI!$AH28)</f>
        <v/>
      </c>
      <c r="J32" s="33" t="str">
        <f>IF(SERVIZI!$A28="","",SERVIZI!$X28)</f>
        <v/>
      </c>
      <c r="K32" s="33" t="str">
        <f>IF(SERVIZI!$A28="","",SERVIZI!$Y28)</f>
        <v/>
      </c>
      <c r="L32" s="33" t="str">
        <f>IF(SERVIZI!$A28="","",SERVIZI!$Z28)</f>
        <v/>
      </c>
      <c r="M32" s="34" t="str">
        <f>IF(SERVIZI!$A28="","",SERVIZI!$N28)</f>
        <v/>
      </c>
      <c r="N32" s="34" t="str">
        <f>IF(SERVIZI!$A28="","",SERVIZI!$AA28)</f>
        <v/>
      </c>
      <c r="O32" s="34" t="str">
        <f>IF(SERVIZI!$A28="","",SERVIZI!$AF28)</f>
        <v/>
      </c>
      <c r="P32" s="36" t="str">
        <f>IF(SERVIZI!$A28="","",IF(SERVIZI!$AF28&lt;0,"MARGINE ORE NEGATIVO",IF(SERVIZI!$Z28&gt;0,"ORE OLTRE LA STIMA",IF(SERVIZI!$AI28-SERVIZI!$AH28&gt;0.15,"ORE SOPRA AVANZAMENTO",IF(SERVIZI!$AI28&gt;ALLERTA_ORE,"CONSUMO ELEVATO","OK")))))</f>
        <v/>
      </c>
    </row>
    <row r="33" spans="2:16" x14ac:dyDescent="0.3">
      <c r="B33" s="36" t="str">
        <f>IF(SERVIZI!$A29="","",SERVIZI!$A29)</f>
        <v/>
      </c>
      <c r="C33" s="36" t="str">
        <f>IF(SERVIZI!$A29="","",SERVIZI!$C29)</f>
        <v/>
      </c>
      <c r="D33" s="36" t="str">
        <f>IF(SERVIZI!$A29="","",SERVIZI!$E29)</f>
        <v/>
      </c>
      <c r="E33" s="33" t="str">
        <f>IF(SERVIZI!$A29="","",SERVIZI!$M29)</f>
        <v/>
      </c>
      <c r="F33" s="33" t="str">
        <f>IF(SERVIZI!$A29="","",SERVIZI!$W29)</f>
        <v/>
      </c>
      <c r="G33" s="35" t="str">
        <f>IF(SERVIZI!$A29="","",SERVIZI!$AI29)</f>
        <v/>
      </c>
      <c r="H33" s="35" t="str">
        <f>IF(SERVIZI!$A29="","",SERVIZI!$AH29)</f>
        <v/>
      </c>
      <c r="I33" s="35" t="str">
        <f>IF(SERVIZI!$A29="","",SERVIZI!$AI29-SERVIZI!$AH29)</f>
        <v/>
      </c>
      <c r="J33" s="33" t="str">
        <f>IF(SERVIZI!$A29="","",SERVIZI!$X29)</f>
        <v/>
      </c>
      <c r="K33" s="33" t="str">
        <f>IF(SERVIZI!$A29="","",SERVIZI!$Y29)</f>
        <v/>
      </c>
      <c r="L33" s="33" t="str">
        <f>IF(SERVIZI!$A29="","",SERVIZI!$Z29)</f>
        <v/>
      </c>
      <c r="M33" s="34" t="str">
        <f>IF(SERVIZI!$A29="","",SERVIZI!$N29)</f>
        <v/>
      </c>
      <c r="N33" s="34" t="str">
        <f>IF(SERVIZI!$A29="","",SERVIZI!$AA29)</f>
        <v/>
      </c>
      <c r="O33" s="34" t="str">
        <f>IF(SERVIZI!$A29="","",SERVIZI!$AF29)</f>
        <v/>
      </c>
      <c r="P33" s="36" t="str">
        <f>IF(SERVIZI!$A29="","",IF(SERVIZI!$AF29&lt;0,"MARGINE ORE NEGATIVO",IF(SERVIZI!$Z29&gt;0,"ORE OLTRE LA STIMA",IF(SERVIZI!$AI29-SERVIZI!$AH29&gt;0.15,"ORE SOPRA AVANZAMENTO",IF(SERVIZI!$AI29&gt;ALLERTA_ORE,"CONSUMO ELEVATO","OK")))))</f>
        <v/>
      </c>
    </row>
    <row r="34" spans="2:16" x14ac:dyDescent="0.3">
      <c r="B34" s="36" t="str">
        <f>IF(SERVIZI!$A30="","",SERVIZI!$A30)</f>
        <v/>
      </c>
      <c r="C34" s="36" t="str">
        <f>IF(SERVIZI!$A30="","",SERVIZI!$C30)</f>
        <v/>
      </c>
      <c r="D34" s="36" t="str">
        <f>IF(SERVIZI!$A30="","",SERVIZI!$E30)</f>
        <v/>
      </c>
      <c r="E34" s="33" t="str">
        <f>IF(SERVIZI!$A30="","",SERVIZI!$M30)</f>
        <v/>
      </c>
      <c r="F34" s="33" t="str">
        <f>IF(SERVIZI!$A30="","",SERVIZI!$W30)</f>
        <v/>
      </c>
      <c r="G34" s="35" t="str">
        <f>IF(SERVIZI!$A30="","",SERVIZI!$AI30)</f>
        <v/>
      </c>
      <c r="H34" s="35" t="str">
        <f>IF(SERVIZI!$A30="","",SERVIZI!$AH30)</f>
        <v/>
      </c>
      <c r="I34" s="35" t="str">
        <f>IF(SERVIZI!$A30="","",SERVIZI!$AI30-SERVIZI!$AH30)</f>
        <v/>
      </c>
      <c r="J34" s="33" t="str">
        <f>IF(SERVIZI!$A30="","",SERVIZI!$X30)</f>
        <v/>
      </c>
      <c r="K34" s="33" t="str">
        <f>IF(SERVIZI!$A30="","",SERVIZI!$Y30)</f>
        <v/>
      </c>
      <c r="L34" s="33" t="str">
        <f>IF(SERVIZI!$A30="","",SERVIZI!$Z30)</f>
        <v/>
      </c>
      <c r="M34" s="34" t="str">
        <f>IF(SERVIZI!$A30="","",SERVIZI!$N30)</f>
        <v/>
      </c>
      <c r="N34" s="34" t="str">
        <f>IF(SERVIZI!$A30="","",SERVIZI!$AA30)</f>
        <v/>
      </c>
      <c r="O34" s="34" t="str">
        <f>IF(SERVIZI!$A30="","",SERVIZI!$AF30)</f>
        <v/>
      </c>
      <c r="P34" s="36" t="str">
        <f>IF(SERVIZI!$A30="","",IF(SERVIZI!$AF30&lt;0,"MARGINE ORE NEGATIVO",IF(SERVIZI!$Z30&gt;0,"ORE OLTRE LA STIMA",IF(SERVIZI!$AI30-SERVIZI!$AH30&gt;0.15,"ORE SOPRA AVANZAMENTO",IF(SERVIZI!$AI30&gt;ALLERTA_ORE,"CONSUMO ELEVATO","OK")))))</f>
        <v/>
      </c>
    </row>
    <row r="35" spans="2:16" x14ac:dyDescent="0.3">
      <c r="B35" s="36" t="str">
        <f>IF(SERVIZI!$A31="","",SERVIZI!$A31)</f>
        <v/>
      </c>
      <c r="C35" s="36" t="str">
        <f>IF(SERVIZI!$A31="","",SERVIZI!$C31)</f>
        <v/>
      </c>
      <c r="D35" s="36" t="str">
        <f>IF(SERVIZI!$A31="","",SERVIZI!$E31)</f>
        <v/>
      </c>
      <c r="E35" s="33" t="str">
        <f>IF(SERVIZI!$A31="","",SERVIZI!$M31)</f>
        <v/>
      </c>
      <c r="F35" s="33" t="str">
        <f>IF(SERVIZI!$A31="","",SERVIZI!$W31)</f>
        <v/>
      </c>
      <c r="G35" s="35" t="str">
        <f>IF(SERVIZI!$A31="","",SERVIZI!$AI31)</f>
        <v/>
      </c>
      <c r="H35" s="35" t="str">
        <f>IF(SERVIZI!$A31="","",SERVIZI!$AH31)</f>
        <v/>
      </c>
      <c r="I35" s="35" t="str">
        <f>IF(SERVIZI!$A31="","",SERVIZI!$AI31-SERVIZI!$AH31)</f>
        <v/>
      </c>
      <c r="J35" s="33" t="str">
        <f>IF(SERVIZI!$A31="","",SERVIZI!$X31)</f>
        <v/>
      </c>
      <c r="K35" s="33" t="str">
        <f>IF(SERVIZI!$A31="","",SERVIZI!$Y31)</f>
        <v/>
      </c>
      <c r="L35" s="33" t="str">
        <f>IF(SERVIZI!$A31="","",SERVIZI!$Z31)</f>
        <v/>
      </c>
      <c r="M35" s="34" t="str">
        <f>IF(SERVIZI!$A31="","",SERVIZI!$N31)</f>
        <v/>
      </c>
      <c r="N35" s="34" t="str">
        <f>IF(SERVIZI!$A31="","",SERVIZI!$AA31)</f>
        <v/>
      </c>
      <c r="O35" s="34" t="str">
        <f>IF(SERVIZI!$A31="","",SERVIZI!$AF31)</f>
        <v/>
      </c>
      <c r="P35" s="36" t="str">
        <f>IF(SERVIZI!$A31="","",IF(SERVIZI!$AF31&lt;0,"MARGINE ORE NEGATIVO",IF(SERVIZI!$Z31&gt;0,"ORE OLTRE LA STIMA",IF(SERVIZI!$AI31-SERVIZI!$AH31&gt;0.15,"ORE SOPRA AVANZAMENTO",IF(SERVIZI!$AI31&gt;ALLERTA_ORE,"CONSUMO ELEVATO","OK")))))</f>
        <v/>
      </c>
    </row>
    <row r="38" spans="2:16" x14ac:dyDescent="0.3">
      <c r="B38" s="24" t="s">
        <v>292</v>
      </c>
    </row>
    <row r="39" spans="2:16" ht="33.75" customHeight="1" x14ac:dyDescent="0.3">
      <c r="B39" s="31" t="s">
        <v>98</v>
      </c>
      <c r="C39" s="31" t="s">
        <v>185</v>
      </c>
      <c r="D39" s="31" t="s">
        <v>293</v>
      </c>
      <c r="E39" s="31" t="s">
        <v>280</v>
      </c>
      <c r="F39" s="31" t="s">
        <v>281</v>
      </c>
      <c r="G39" s="31" t="s">
        <v>285</v>
      </c>
      <c r="H39" s="31" t="s">
        <v>286</v>
      </c>
      <c r="I39" s="31" t="s">
        <v>294</v>
      </c>
      <c r="J39" s="31" t="s">
        <v>282</v>
      </c>
      <c r="K39" s="31" t="s">
        <v>295</v>
      </c>
      <c r="L39" s="31" t="s">
        <v>296</v>
      </c>
      <c r="M39" s="31" t="s">
        <v>13</v>
      </c>
      <c r="N39" s="31" t="s">
        <v>297</v>
      </c>
    </row>
    <row r="40" spans="2:16" x14ac:dyDescent="0.3">
      <c r="B40" s="36" t="str">
        <f>IF(ASSEGNAZIONI!$A2="","",ASSEGNAZIONI!$B2)</f>
        <v>26-017-A</v>
      </c>
      <c r="C40" s="36" t="str">
        <f>IF(ASSEGNAZIONI!$A2="","",ASSEGNAZIONI!$C2)</f>
        <v>Anna Vadacca</v>
      </c>
      <c r="D40" s="36" t="str">
        <f>IF(ASSEGNAZIONI!$A2="","",ASSEGNAZIONI!$D2)</f>
        <v>Senior</v>
      </c>
      <c r="E40" s="33">
        <f>IF(ASSEGNAZIONI!$A2="","",ASSEGNAZIONI!$F2)</f>
        <v>112</v>
      </c>
      <c r="F40" s="33">
        <f>IF(ASSEGNAZIONI!$A2="","",ASSEGNAZIONI!$L2)</f>
        <v>72</v>
      </c>
      <c r="G40" s="33">
        <f>IF(ASSEGNAZIONI!$A2="","",ASSEGNAZIONI!$M2)</f>
        <v>40</v>
      </c>
      <c r="H40" s="33">
        <f>IF(ASSEGNAZIONI!$A2="","",ASSEGNAZIONI!$N2)</f>
        <v>112</v>
      </c>
      <c r="I40" s="33">
        <f>IF(ASSEGNAZIONI!$A2="","",ASSEGNAZIONI!$O2)</f>
        <v>0</v>
      </c>
      <c r="J40" s="35">
        <f>IF(ASSEGNAZIONI!$A2="","",ASSEGNAZIONI!$R2)</f>
        <v>0.6428571428571429</v>
      </c>
      <c r="K40" s="34">
        <f>IF(ASSEGNAZIONI!$A2="","",ASSEGNAZIONI!$I2)</f>
        <v>6930.56</v>
      </c>
      <c r="L40" s="34">
        <f>IF(ASSEGNAZIONI!$A2="","",ASSEGNAZIONI!$P2)</f>
        <v>4256</v>
      </c>
      <c r="M40" s="34">
        <f>IF(ASSEGNAZIONI!$A2="","",ASSEGNAZIONI!$I2-ASSEGNAZIONI!$P2)</f>
        <v>2674.5600000000004</v>
      </c>
      <c r="N40" s="36" t="str">
        <f>IF(ASSEGNAZIONI!$A2="","",ASSEGNAZIONI!$S2)</f>
        <v>OK</v>
      </c>
    </row>
    <row r="41" spans="2:16" x14ac:dyDescent="0.3">
      <c r="B41" s="36" t="str">
        <f>IF(ASSEGNAZIONI!$A3="","",ASSEGNAZIONI!$B3)</f>
        <v>26-017-B</v>
      </c>
      <c r="C41" s="36" t="str">
        <f>IF(ASSEGNAZIONI!$A3="","",ASSEGNAZIONI!$C3)</f>
        <v>Giulia Dagradi</v>
      </c>
      <c r="D41" s="36" t="str">
        <f>IF(ASSEGNAZIONI!$A3="","",ASSEGNAZIONI!$D3)</f>
        <v>Senior</v>
      </c>
      <c r="E41" s="33">
        <f>IF(ASSEGNAZIONI!$A3="","",ASSEGNAZIONI!$F3)</f>
        <v>112</v>
      </c>
      <c r="F41" s="33">
        <f>IF(ASSEGNAZIONI!$A3="","",ASSEGNAZIONI!$L3)</f>
        <v>54</v>
      </c>
      <c r="G41" s="33">
        <f>IF(ASSEGNAZIONI!$A3="","",ASSEGNAZIONI!$M3)</f>
        <v>30</v>
      </c>
      <c r="H41" s="33">
        <f>IF(ASSEGNAZIONI!$A3="","",ASSEGNAZIONI!$N3)</f>
        <v>84</v>
      </c>
      <c r="I41" s="33">
        <f>IF(ASSEGNAZIONI!$A3="","",ASSEGNAZIONI!$O3)</f>
        <v>-28</v>
      </c>
      <c r="J41" s="35">
        <f>IF(ASSEGNAZIONI!$A3="","",ASSEGNAZIONI!$R3)</f>
        <v>0.48214285714285715</v>
      </c>
      <c r="K41" s="34">
        <f>IF(ASSEGNAZIONI!$A3="","",ASSEGNAZIONI!$I3)</f>
        <v>6930.56</v>
      </c>
      <c r="L41" s="34">
        <f>IF(ASSEGNAZIONI!$A3="","",ASSEGNAZIONI!$P3)</f>
        <v>3192</v>
      </c>
      <c r="M41" s="34">
        <f>IF(ASSEGNAZIONI!$A3="","",ASSEGNAZIONI!$I3-ASSEGNAZIONI!$P3)</f>
        <v>3738.5600000000004</v>
      </c>
      <c r="N41" s="36" t="str">
        <f>IF(ASSEGNAZIONI!$A3="","",ASSEGNAZIONI!$S3)</f>
        <v>OK</v>
      </c>
    </row>
    <row r="42" spans="2:16" x14ac:dyDescent="0.3">
      <c r="B42" s="36" t="str">
        <f>IF(ASSEGNAZIONI!$A4="","",ASSEGNAZIONI!$B4)</f>
        <v/>
      </c>
      <c r="C42" s="36" t="str">
        <f>IF(ASSEGNAZIONI!$A4="","",ASSEGNAZIONI!$C4)</f>
        <v/>
      </c>
      <c r="D42" s="36" t="str">
        <f>IF(ASSEGNAZIONI!$A4="","",ASSEGNAZIONI!$D4)</f>
        <v/>
      </c>
      <c r="E42" s="33" t="str">
        <f>IF(ASSEGNAZIONI!$A4="","",ASSEGNAZIONI!$F4)</f>
        <v/>
      </c>
      <c r="F42" s="33" t="str">
        <f>IF(ASSEGNAZIONI!$A4="","",ASSEGNAZIONI!$L4)</f>
        <v/>
      </c>
      <c r="G42" s="33" t="str">
        <f>IF(ASSEGNAZIONI!$A4="","",ASSEGNAZIONI!$M4)</f>
        <v/>
      </c>
      <c r="H42" s="33" t="str">
        <f>IF(ASSEGNAZIONI!$A4="","",ASSEGNAZIONI!$N4)</f>
        <v/>
      </c>
      <c r="I42" s="33" t="str">
        <f>IF(ASSEGNAZIONI!$A4="","",ASSEGNAZIONI!$O4)</f>
        <v/>
      </c>
      <c r="J42" s="35" t="str">
        <f>IF(ASSEGNAZIONI!$A4="","",ASSEGNAZIONI!$R4)</f>
        <v/>
      </c>
      <c r="K42" s="34" t="str">
        <f>IF(ASSEGNAZIONI!$A4="","",ASSEGNAZIONI!$I4)</f>
        <v/>
      </c>
      <c r="L42" s="34" t="str">
        <f>IF(ASSEGNAZIONI!$A4="","",ASSEGNAZIONI!$P4)</f>
        <v/>
      </c>
      <c r="M42" s="34" t="str">
        <f>IF(ASSEGNAZIONI!$A4="","",ASSEGNAZIONI!$I4-ASSEGNAZIONI!$P4)</f>
        <v/>
      </c>
      <c r="N42" s="36" t="str">
        <f>IF(ASSEGNAZIONI!$A4="","",ASSEGNAZIONI!$S4)</f>
        <v/>
      </c>
    </row>
    <row r="43" spans="2:16" x14ac:dyDescent="0.3">
      <c r="B43" s="36" t="str">
        <f>IF(ASSEGNAZIONI!$A5="","",ASSEGNAZIONI!$B5)</f>
        <v/>
      </c>
      <c r="C43" s="36" t="str">
        <f>IF(ASSEGNAZIONI!$A5="","",ASSEGNAZIONI!$C5)</f>
        <v/>
      </c>
      <c r="D43" s="36" t="str">
        <f>IF(ASSEGNAZIONI!$A5="","",ASSEGNAZIONI!$D5)</f>
        <v/>
      </c>
      <c r="E43" s="33" t="str">
        <f>IF(ASSEGNAZIONI!$A5="","",ASSEGNAZIONI!$F5)</f>
        <v/>
      </c>
      <c r="F43" s="33" t="str">
        <f>IF(ASSEGNAZIONI!$A5="","",ASSEGNAZIONI!$L5)</f>
        <v/>
      </c>
      <c r="G43" s="33" t="str">
        <f>IF(ASSEGNAZIONI!$A5="","",ASSEGNAZIONI!$M5)</f>
        <v/>
      </c>
      <c r="H43" s="33" t="str">
        <f>IF(ASSEGNAZIONI!$A5="","",ASSEGNAZIONI!$N5)</f>
        <v/>
      </c>
      <c r="I43" s="33" t="str">
        <f>IF(ASSEGNAZIONI!$A5="","",ASSEGNAZIONI!$O5)</f>
        <v/>
      </c>
      <c r="J43" s="35" t="str">
        <f>IF(ASSEGNAZIONI!$A5="","",ASSEGNAZIONI!$R5)</f>
        <v/>
      </c>
      <c r="K43" s="34" t="str">
        <f>IF(ASSEGNAZIONI!$A5="","",ASSEGNAZIONI!$I5)</f>
        <v/>
      </c>
      <c r="L43" s="34" t="str">
        <f>IF(ASSEGNAZIONI!$A5="","",ASSEGNAZIONI!$P5)</f>
        <v/>
      </c>
      <c r="M43" s="34" t="str">
        <f>IF(ASSEGNAZIONI!$A5="","",ASSEGNAZIONI!$I5-ASSEGNAZIONI!$P5)</f>
        <v/>
      </c>
      <c r="N43" s="36" t="str">
        <f>IF(ASSEGNAZIONI!$A5="","",ASSEGNAZIONI!$S5)</f>
        <v/>
      </c>
    </row>
    <row r="44" spans="2:16" x14ac:dyDescent="0.3">
      <c r="B44" s="36" t="str">
        <f>IF(ASSEGNAZIONI!$A6="","",ASSEGNAZIONI!$B6)</f>
        <v/>
      </c>
      <c r="C44" s="36" t="str">
        <f>IF(ASSEGNAZIONI!$A6="","",ASSEGNAZIONI!$C6)</f>
        <v/>
      </c>
      <c r="D44" s="36" t="str">
        <f>IF(ASSEGNAZIONI!$A6="","",ASSEGNAZIONI!$D6)</f>
        <v/>
      </c>
      <c r="E44" s="33" t="str">
        <f>IF(ASSEGNAZIONI!$A6="","",ASSEGNAZIONI!$F6)</f>
        <v/>
      </c>
      <c r="F44" s="33" t="str">
        <f>IF(ASSEGNAZIONI!$A6="","",ASSEGNAZIONI!$L6)</f>
        <v/>
      </c>
      <c r="G44" s="33" t="str">
        <f>IF(ASSEGNAZIONI!$A6="","",ASSEGNAZIONI!$M6)</f>
        <v/>
      </c>
      <c r="H44" s="33" t="str">
        <f>IF(ASSEGNAZIONI!$A6="","",ASSEGNAZIONI!$N6)</f>
        <v/>
      </c>
      <c r="I44" s="33" t="str">
        <f>IF(ASSEGNAZIONI!$A6="","",ASSEGNAZIONI!$O6)</f>
        <v/>
      </c>
      <c r="J44" s="35" t="str">
        <f>IF(ASSEGNAZIONI!$A6="","",ASSEGNAZIONI!$R6)</f>
        <v/>
      </c>
      <c r="K44" s="34" t="str">
        <f>IF(ASSEGNAZIONI!$A6="","",ASSEGNAZIONI!$I6)</f>
        <v/>
      </c>
      <c r="L44" s="34" t="str">
        <f>IF(ASSEGNAZIONI!$A6="","",ASSEGNAZIONI!$P6)</f>
        <v/>
      </c>
      <c r="M44" s="34" t="str">
        <f>IF(ASSEGNAZIONI!$A6="","",ASSEGNAZIONI!$I6-ASSEGNAZIONI!$P6)</f>
        <v/>
      </c>
      <c r="N44" s="36" t="str">
        <f>IF(ASSEGNAZIONI!$A6="","",ASSEGNAZIONI!$S6)</f>
        <v/>
      </c>
    </row>
    <row r="45" spans="2:16" x14ac:dyDescent="0.3">
      <c r="B45" s="36" t="str">
        <f>IF(ASSEGNAZIONI!$A7="","",ASSEGNAZIONI!$B7)</f>
        <v/>
      </c>
      <c r="C45" s="36" t="str">
        <f>IF(ASSEGNAZIONI!$A7="","",ASSEGNAZIONI!$C7)</f>
        <v/>
      </c>
      <c r="D45" s="36" t="str">
        <f>IF(ASSEGNAZIONI!$A7="","",ASSEGNAZIONI!$D7)</f>
        <v/>
      </c>
      <c r="E45" s="33" t="str">
        <f>IF(ASSEGNAZIONI!$A7="","",ASSEGNAZIONI!$F7)</f>
        <v/>
      </c>
      <c r="F45" s="33" t="str">
        <f>IF(ASSEGNAZIONI!$A7="","",ASSEGNAZIONI!$L7)</f>
        <v/>
      </c>
      <c r="G45" s="33" t="str">
        <f>IF(ASSEGNAZIONI!$A7="","",ASSEGNAZIONI!$M7)</f>
        <v/>
      </c>
      <c r="H45" s="33" t="str">
        <f>IF(ASSEGNAZIONI!$A7="","",ASSEGNAZIONI!$N7)</f>
        <v/>
      </c>
      <c r="I45" s="33" t="str">
        <f>IF(ASSEGNAZIONI!$A7="","",ASSEGNAZIONI!$O7)</f>
        <v/>
      </c>
      <c r="J45" s="35" t="str">
        <f>IF(ASSEGNAZIONI!$A7="","",ASSEGNAZIONI!$R7)</f>
        <v/>
      </c>
      <c r="K45" s="34" t="str">
        <f>IF(ASSEGNAZIONI!$A7="","",ASSEGNAZIONI!$I7)</f>
        <v/>
      </c>
      <c r="L45" s="34" t="str">
        <f>IF(ASSEGNAZIONI!$A7="","",ASSEGNAZIONI!$P7)</f>
        <v/>
      </c>
      <c r="M45" s="34" t="str">
        <f>IF(ASSEGNAZIONI!$A7="","",ASSEGNAZIONI!$I7-ASSEGNAZIONI!$P7)</f>
        <v/>
      </c>
      <c r="N45" s="36" t="str">
        <f>IF(ASSEGNAZIONI!$A7="","",ASSEGNAZIONI!$S7)</f>
        <v/>
      </c>
    </row>
    <row r="46" spans="2:16" x14ac:dyDescent="0.3">
      <c r="B46" s="36" t="str">
        <f>IF(ASSEGNAZIONI!$A8="","",ASSEGNAZIONI!$B8)</f>
        <v/>
      </c>
      <c r="C46" s="36" t="str">
        <f>IF(ASSEGNAZIONI!$A8="","",ASSEGNAZIONI!$C8)</f>
        <v/>
      </c>
      <c r="D46" s="36" t="str">
        <f>IF(ASSEGNAZIONI!$A8="","",ASSEGNAZIONI!$D8)</f>
        <v/>
      </c>
      <c r="E46" s="33" t="str">
        <f>IF(ASSEGNAZIONI!$A8="","",ASSEGNAZIONI!$F8)</f>
        <v/>
      </c>
      <c r="F46" s="33" t="str">
        <f>IF(ASSEGNAZIONI!$A8="","",ASSEGNAZIONI!$L8)</f>
        <v/>
      </c>
      <c r="G46" s="33" t="str">
        <f>IF(ASSEGNAZIONI!$A8="","",ASSEGNAZIONI!$M8)</f>
        <v/>
      </c>
      <c r="H46" s="33" t="str">
        <f>IF(ASSEGNAZIONI!$A8="","",ASSEGNAZIONI!$N8)</f>
        <v/>
      </c>
      <c r="I46" s="33" t="str">
        <f>IF(ASSEGNAZIONI!$A8="","",ASSEGNAZIONI!$O8)</f>
        <v/>
      </c>
      <c r="J46" s="35" t="str">
        <f>IF(ASSEGNAZIONI!$A8="","",ASSEGNAZIONI!$R8)</f>
        <v/>
      </c>
      <c r="K46" s="34" t="str">
        <f>IF(ASSEGNAZIONI!$A8="","",ASSEGNAZIONI!$I8)</f>
        <v/>
      </c>
      <c r="L46" s="34" t="str">
        <f>IF(ASSEGNAZIONI!$A8="","",ASSEGNAZIONI!$P8)</f>
        <v/>
      </c>
      <c r="M46" s="34" t="str">
        <f>IF(ASSEGNAZIONI!$A8="","",ASSEGNAZIONI!$I8-ASSEGNAZIONI!$P8)</f>
        <v/>
      </c>
      <c r="N46" s="36" t="str">
        <f>IF(ASSEGNAZIONI!$A8="","",ASSEGNAZIONI!$S8)</f>
        <v/>
      </c>
    </row>
    <row r="47" spans="2:16" x14ac:dyDescent="0.3">
      <c r="B47" s="36" t="str">
        <f>IF(ASSEGNAZIONI!$A9="","",ASSEGNAZIONI!$B9)</f>
        <v/>
      </c>
      <c r="C47" s="36" t="str">
        <f>IF(ASSEGNAZIONI!$A9="","",ASSEGNAZIONI!$C9)</f>
        <v/>
      </c>
      <c r="D47" s="36" t="str">
        <f>IF(ASSEGNAZIONI!$A9="","",ASSEGNAZIONI!$D9)</f>
        <v/>
      </c>
      <c r="E47" s="33" t="str">
        <f>IF(ASSEGNAZIONI!$A9="","",ASSEGNAZIONI!$F9)</f>
        <v/>
      </c>
      <c r="F47" s="33" t="str">
        <f>IF(ASSEGNAZIONI!$A9="","",ASSEGNAZIONI!$L9)</f>
        <v/>
      </c>
      <c r="G47" s="33" t="str">
        <f>IF(ASSEGNAZIONI!$A9="","",ASSEGNAZIONI!$M9)</f>
        <v/>
      </c>
      <c r="H47" s="33" t="str">
        <f>IF(ASSEGNAZIONI!$A9="","",ASSEGNAZIONI!$N9)</f>
        <v/>
      </c>
      <c r="I47" s="33" t="str">
        <f>IF(ASSEGNAZIONI!$A9="","",ASSEGNAZIONI!$O9)</f>
        <v/>
      </c>
      <c r="J47" s="35" t="str">
        <f>IF(ASSEGNAZIONI!$A9="","",ASSEGNAZIONI!$R9)</f>
        <v/>
      </c>
      <c r="K47" s="34" t="str">
        <f>IF(ASSEGNAZIONI!$A9="","",ASSEGNAZIONI!$I9)</f>
        <v/>
      </c>
      <c r="L47" s="34" t="str">
        <f>IF(ASSEGNAZIONI!$A9="","",ASSEGNAZIONI!$P9)</f>
        <v/>
      </c>
      <c r="M47" s="34" t="str">
        <f>IF(ASSEGNAZIONI!$A9="","",ASSEGNAZIONI!$I9-ASSEGNAZIONI!$P9)</f>
        <v/>
      </c>
      <c r="N47" s="36" t="str">
        <f>IF(ASSEGNAZIONI!$A9="","",ASSEGNAZIONI!$S9)</f>
        <v/>
      </c>
    </row>
    <row r="48" spans="2:16" x14ac:dyDescent="0.3">
      <c r="B48" s="36" t="str">
        <f>IF(ASSEGNAZIONI!$A10="","",ASSEGNAZIONI!$B10)</f>
        <v/>
      </c>
      <c r="C48" s="36" t="str">
        <f>IF(ASSEGNAZIONI!$A10="","",ASSEGNAZIONI!$C10)</f>
        <v/>
      </c>
      <c r="D48" s="36" t="str">
        <f>IF(ASSEGNAZIONI!$A10="","",ASSEGNAZIONI!$D10)</f>
        <v/>
      </c>
      <c r="E48" s="33" t="str">
        <f>IF(ASSEGNAZIONI!$A10="","",ASSEGNAZIONI!$F10)</f>
        <v/>
      </c>
      <c r="F48" s="33" t="str">
        <f>IF(ASSEGNAZIONI!$A10="","",ASSEGNAZIONI!$L10)</f>
        <v/>
      </c>
      <c r="G48" s="33" t="str">
        <f>IF(ASSEGNAZIONI!$A10="","",ASSEGNAZIONI!$M10)</f>
        <v/>
      </c>
      <c r="H48" s="33" t="str">
        <f>IF(ASSEGNAZIONI!$A10="","",ASSEGNAZIONI!$N10)</f>
        <v/>
      </c>
      <c r="I48" s="33" t="str">
        <f>IF(ASSEGNAZIONI!$A10="","",ASSEGNAZIONI!$O10)</f>
        <v/>
      </c>
      <c r="J48" s="35" t="str">
        <f>IF(ASSEGNAZIONI!$A10="","",ASSEGNAZIONI!$R10)</f>
        <v/>
      </c>
      <c r="K48" s="34" t="str">
        <f>IF(ASSEGNAZIONI!$A10="","",ASSEGNAZIONI!$I10)</f>
        <v/>
      </c>
      <c r="L48" s="34" t="str">
        <f>IF(ASSEGNAZIONI!$A10="","",ASSEGNAZIONI!$P10)</f>
        <v/>
      </c>
      <c r="M48" s="34" t="str">
        <f>IF(ASSEGNAZIONI!$A10="","",ASSEGNAZIONI!$I10-ASSEGNAZIONI!$P10)</f>
        <v/>
      </c>
      <c r="N48" s="36" t="str">
        <f>IF(ASSEGNAZIONI!$A10="","",ASSEGNAZIONI!$S10)</f>
        <v/>
      </c>
    </row>
    <row r="49" spans="2:14" x14ac:dyDescent="0.3">
      <c r="B49" s="36" t="str">
        <f>IF(ASSEGNAZIONI!$A11="","",ASSEGNAZIONI!$B11)</f>
        <v/>
      </c>
      <c r="C49" s="36" t="str">
        <f>IF(ASSEGNAZIONI!$A11="","",ASSEGNAZIONI!$C11)</f>
        <v/>
      </c>
      <c r="D49" s="36" t="str">
        <f>IF(ASSEGNAZIONI!$A11="","",ASSEGNAZIONI!$D11)</f>
        <v/>
      </c>
      <c r="E49" s="33" t="str">
        <f>IF(ASSEGNAZIONI!$A11="","",ASSEGNAZIONI!$F11)</f>
        <v/>
      </c>
      <c r="F49" s="33" t="str">
        <f>IF(ASSEGNAZIONI!$A11="","",ASSEGNAZIONI!$L11)</f>
        <v/>
      </c>
      <c r="G49" s="33" t="str">
        <f>IF(ASSEGNAZIONI!$A11="","",ASSEGNAZIONI!$M11)</f>
        <v/>
      </c>
      <c r="H49" s="33" t="str">
        <f>IF(ASSEGNAZIONI!$A11="","",ASSEGNAZIONI!$N11)</f>
        <v/>
      </c>
      <c r="I49" s="33" t="str">
        <f>IF(ASSEGNAZIONI!$A11="","",ASSEGNAZIONI!$O11)</f>
        <v/>
      </c>
      <c r="J49" s="35" t="str">
        <f>IF(ASSEGNAZIONI!$A11="","",ASSEGNAZIONI!$R11)</f>
        <v/>
      </c>
      <c r="K49" s="34" t="str">
        <f>IF(ASSEGNAZIONI!$A11="","",ASSEGNAZIONI!$I11)</f>
        <v/>
      </c>
      <c r="L49" s="34" t="str">
        <f>IF(ASSEGNAZIONI!$A11="","",ASSEGNAZIONI!$P11)</f>
        <v/>
      </c>
      <c r="M49" s="34" t="str">
        <f>IF(ASSEGNAZIONI!$A11="","",ASSEGNAZIONI!$I11-ASSEGNAZIONI!$P11)</f>
        <v/>
      </c>
      <c r="N49" s="36" t="str">
        <f>IF(ASSEGNAZIONI!$A11="","",ASSEGNAZIONI!$S11)</f>
        <v/>
      </c>
    </row>
    <row r="50" spans="2:14" x14ac:dyDescent="0.3">
      <c r="B50" s="36" t="str">
        <f>IF(ASSEGNAZIONI!$A12="","",ASSEGNAZIONI!$B12)</f>
        <v/>
      </c>
      <c r="C50" s="36" t="str">
        <f>IF(ASSEGNAZIONI!$A12="","",ASSEGNAZIONI!$C12)</f>
        <v/>
      </c>
      <c r="D50" s="36" t="str">
        <f>IF(ASSEGNAZIONI!$A12="","",ASSEGNAZIONI!$D12)</f>
        <v/>
      </c>
      <c r="E50" s="33" t="str">
        <f>IF(ASSEGNAZIONI!$A12="","",ASSEGNAZIONI!$F12)</f>
        <v/>
      </c>
      <c r="F50" s="33" t="str">
        <f>IF(ASSEGNAZIONI!$A12="","",ASSEGNAZIONI!$L12)</f>
        <v/>
      </c>
      <c r="G50" s="33" t="str">
        <f>IF(ASSEGNAZIONI!$A12="","",ASSEGNAZIONI!$M12)</f>
        <v/>
      </c>
      <c r="H50" s="33" t="str">
        <f>IF(ASSEGNAZIONI!$A12="","",ASSEGNAZIONI!$N12)</f>
        <v/>
      </c>
      <c r="I50" s="33" t="str">
        <f>IF(ASSEGNAZIONI!$A12="","",ASSEGNAZIONI!$O12)</f>
        <v/>
      </c>
      <c r="J50" s="35" t="str">
        <f>IF(ASSEGNAZIONI!$A12="","",ASSEGNAZIONI!$R12)</f>
        <v/>
      </c>
      <c r="K50" s="34" t="str">
        <f>IF(ASSEGNAZIONI!$A12="","",ASSEGNAZIONI!$I12)</f>
        <v/>
      </c>
      <c r="L50" s="34" t="str">
        <f>IF(ASSEGNAZIONI!$A12="","",ASSEGNAZIONI!$P12)</f>
        <v/>
      </c>
      <c r="M50" s="34" t="str">
        <f>IF(ASSEGNAZIONI!$A12="","",ASSEGNAZIONI!$I12-ASSEGNAZIONI!$P12)</f>
        <v/>
      </c>
      <c r="N50" s="36" t="str">
        <f>IF(ASSEGNAZIONI!$A12="","",ASSEGNAZIONI!$S12)</f>
        <v/>
      </c>
    </row>
    <row r="51" spans="2:14" x14ac:dyDescent="0.3">
      <c r="B51" s="36" t="str">
        <f>IF(ASSEGNAZIONI!$A13="","",ASSEGNAZIONI!$B13)</f>
        <v/>
      </c>
      <c r="C51" s="36" t="str">
        <f>IF(ASSEGNAZIONI!$A13="","",ASSEGNAZIONI!$C13)</f>
        <v/>
      </c>
      <c r="D51" s="36" t="str">
        <f>IF(ASSEGNAZIONI!$A13="","",ASSEGNAZIONI!$D13)</f>
        <v/>
      </c>
      <c r="E51" s="33" t="str">
        <f>IF(ASSEGNAZIONI!$A13="","",ASSEGNAZIONI!$F13)</f>
        <v/>
      </c>
      <c r="F51" s="33" t="str">
        <f>IF(ASSEGNAZIONI!$A13="","",ASSEGNAZIONI!$L13)</f>
        <v/>
      </c>
      <c r="G51" s="33" t="str">
        <f>IF(ASSEGNAZIONI!$A13="","",ASSEGNAZIONI!$M13)</f>
        <v/>
      </c>
      <c r="H51" s="33" t="str">
        <f>IF(ASSEGNAZIONI!$A13="","",ASSEGNAZIONI!$N13)</f>
        <v/>
      </c>
      <c r="I51" s="33" t="str">
        <f>IF(ASSEGNAZIONI!$A13="","",ASSEGNAZIONI!$O13)</f>
        <v/>
      </c>
      <c r="J51" s="35" t="str">
        <f>IF(ASSEGNAZIONI!$A13="","",ASSEGNAZIONI!$R13)</f>
        <v/>
      </c>
      <c r="K51" s="34" t="str">
        <f>IF(ASSEGNAZIONI!$A13="","",ASSEGNAZIONI!$I13)</f>
        <v/>
      </c>
      <c r="L51" s="34" t="str">
        <f>IF(ASSEGNAZIONI!$A13="","",ASSEGNAZIONI!$P13)</f>
        <v/>
      </c>
      <c r="M51" s="34" t="str">
        <f>IF(ASSEGNAZIONI!$A13="","",ASSEGNAZIONI!$I13-ASSEGNAZIONI!$P13)</f>
        <v/>
      </c>
      <c r="N51" s="36" t="str">
        <f>IF(ASSEGNAZIONI!$A13="","",ASSEGNAZIONI!$S13)</f>
        <v/>
      </c>
    </row>
    <row r="52" spans="2:14" x14ac:dyDescent="0.3">
      <c r="B52" s="36" t="str">
        <f>IF(ASSEGNAZIONI!$A14="","",ASSEGNAZIONI!$B14)</f>
        <v/>
      </c>
      <c r="C52" s="36" t="str">
        <f>IF(ASSEGNAZIONI!$A14="","",ASSEGNAZIONI!$C14)</f>
        <v/>
      </c>
      <c r="D52" s="36" t="str">
        <f>IF(ASSEGNAZIONI!$A14="","",ASSEGNAZIONI!$D14)</f>
        <v/>
      </c>
      <c r="E52" s="33" t="str">
        <f>IF(ASSEGNAZIONI!$A14="","",ASSEGNAZIONI!$F14)</f>
        <v/>
      </c>
      <c r="F52" s="33" t="str">
        <f>IF(ASSEGNAZIONI!$A14="","",ASSEGNAZIONI!$L14)</f>
        <v/>
      </c>
      <c r="G52" s="33" t="str">
        <f>IF(ASSEGNAZIONI!$A14="","",ASSEGNAZIONI!$M14)</f>
        <v/>
      </c>
      <c r="H52" s="33" t="str">
        <f>IF(ASSEGNAZIONI!$A14="","",ASSEGNAZIONI!$N14)</f>
        <v/>
      </c>
      <c r="I52" s="33" t="str">
        <f>IF(ASSEGNAZIONI!$A14="","",ASSEGNAZIONI!$O14)</f>
        <v/>
      </c>
      <c r="J52" s="35" t="str">
        <f>IF(ASSEGNAZIONI!$A14="","",ASSEGNAZIONI!$R14)</f>
        <v/>
      </c>
      <c r="K52" s="34" t="str">
        <f>IF(ASSEGNAZIONI!$A14="","",ASSEGNAZIONI!$I14)</f>
        <v/>
      </c>
      <c r="L52" s="34" t="str">
        <f>IF(ASSEGNAZIONI!$A14="","",ASSEGNAZIONI!$P14)</f>
        <v/>
      </c>
      <c r="M52" s="34" t="str">
        <f>IF(ASSEGNAZIONI!$A14="","",ASSEGNAZIONI!$I14-ASSEGNAZIONI!$P14)</f>
        <v/>
      </c>
      <c r="N52" s="36" t="str">
        <f>IF(ASSEGNAZIONI!$A14="","",ASSEGNAZIONI!$S14)</f>
        <v/>
      </c>
    </row>
    <row r="53" spans="2:14" x14ac:dyDescent="0.3">
      <c r="B53" s="36" t="str">
        <f>IF(ASSEGNAZIONI!$A15="","",ASSEGNAZIONI!$B15)</f>
        <v/>
      </c>
      <c r="C53" s="36" t="str">
        <f>IF(ASSEGNAZIONI!$A15="","",ASSEGNAZIONI!$C15)</f>
        <v/>
      </c>
      <c r="D53" s="36" t="str">
        <f>IF(ASSEGNAZIONI!$A15="","",ASSEGNAZIONI!$D15)</f>
        <v/>
      </c>
      <c r="E53" s="33" t="str">
        <f>IF(ASSEGNAZIONI!$A15="","",ASSEGNAZIONI!$F15)</f>
        <v/>
      </c>
      <c r="F53" s="33" t="str">
        <f>IF(ASSEGNAZIONI!$A15="","",ASSEGNAZIONI!$L15)</f>
        <v/>
      </c>
      <c r="G53" s="33" t="str">
        <f>IF(ASSEGNAZIONI!$A15="","",ASSEGNAZIONI!$M15)</f>
        <v/>
      </c>
      <c r="H53" s="33" t="str">
        <f>IF(ASSEGNAZIONI!$A15="","",ASSEGNAZIONI!$N15)</f>
        <v/>
      </c>
      <c r="I53" s="33" t="str">
        <f>IF(ASSEGNAZIONI!$A15="","",ASSEGNAZIONI!$O15)</f>
        <v/>
      </c>
      <c r="J53" s="35" t="str">
        <f>IF(ASSEGNAZIONI!$A15="","",ASSEGNAZIONI!$R15)</f>
        <v/>
      </c>
      <c r="K53" s="34" t="str">
        <f>IF(ASSEGNAZIONI!$A15="","",ASSEGNAZIONI!$I15)</f>
        <v/>
      </c>
      <c r="L53" s="34" t="str">
        <f>IF(ASSEGNAZIONI!$A15="","",ASSEGNAZIONI!$P15)</f>
        <v/>
      </c>
      <c r="M53" s="34" t="str">
        <f>IF(ASSEGNAZIONI!$A15="","",ASSEGNAZIONI!$I15-ASSEGNAZIONI!$P15)</f>
        <v/>
      </c>
      <c r="N53" s="36" t="str">
        <f>IF(ASSEGNAZIONI!$A15="","",ASSEGNAZIONI!$S15)</f>
        <v/>
      </c>
    </row>
    <row r="54" spans="2:14" x14ac:dyDescent="0.3">
      <c r="B54" s="36" t="str">
        <f>IF(ASSEGNAZIONI!$A16="","",ASSEGNAZIONI!$B16)</f>
        <v/>
      </c>
      <c r="C54" s="36" t="str">
        <f>IF(ASSEGNAZIONI!$A16="","",ASSEGNAZIONI!$C16)</f>
        <v/>
      </c>
      <c r="D54" s="36" t="str">
        <f>IF(ASSEGNAZIONI!$A16="","",ASSEGNAZIONI!$D16)</f>
        <v/>
      </c>
      <c r="E54" s="33" t="str">
        <f>IF(ASSEGNAZIONI!$A16="","",ASSEGNAZIONI!$F16)</f>
        <v/>
      </c>
      <c r="F54" s="33" t="str">
        <f>IF(ASSEGNAZIONI!$A16="","",ASSEGNAZIONI!$L16)</f>
        <v/>
      </c>
      <c r="G54" s="33" t="str">
        <f>IF(ASSEGNAZIONI!$A16="","",ASSEGNAZIONI!$M16)</f>
        <v/>
      </c>
      <c r="H54" s="33" t="str">
        <f>IF(ASSEGNAZIONI!$A16="","",ASSEGNAZIONI!$N16)</f>
        <v/>
      </c>
      <c r="I54" s="33" t="str">
        <f>IF(ASSEGNAZIONI!$A16="","",ASSEGNAZIONI!$O16)</f>
        <v/>
      </c>
      <c r="J54" s="35" t="str">
        <f>IF(ASSEGNAZIONI!$A16="","",ASSEGNAZIONI!$R16)</f>
        <v/>
      </c>
      <c r="K54" s="34" t="str">
        <f>IF(ASSEGNAZIONI!$A16="","",ASSEGNAZIONI!$I16)</f>
        <v/>
      </c>
      <c r="L54" s="34" t="str">
        <f>IF(ASSEGNAZIONI!$A16="","",ASSEGNAZIONI!$P16)</f>
        <v/>
      </c>
      <c r="M54" s="34" t="str">
        <f>IF(ASSEGNAZIONI!$A16="","",ASSEGNAZIONI!$I16-ASSEGNAZIONI!$P16)</f>
        <v/>
      </c>
      <c r="N54" s="36" t="str">
        <f>IF(ASSEGNAZIONI!$A16="","",ASSEGNAZIONI!$S16)</f>
        <v/>
      </c>
    </row>
    <row r="55" spans="2:14" x14ac:dyDescent="0.3">
      <c r="B55" s="36" t="str">
        <f>IF(ASSEGNAZIONI!$A17="","",ASSEGNAZIONI!$B17)</f>
        <v/>
      </c>
      <c r="C55" s="36" t="str">
        <f>IF(ASSEGNAZIONI!$A17="","",ASSEGNAZIONI!$C17)</f>
        <v/>
      </c>
      <c r="D55" s="36" t="str">
        <f>IF(ASSEGNAZIONI!$A17="","",ASSEGNAZIONI!$D17)</f>
        <v/>
      </c>
      <c r="E55" s="33" t="str">
        <f>IF(ASSEGNAZIONI!$A17="","",ASSEGNAZIONI!$F17)</f>
        <v/>
      </c>
      <c r="F55" s="33" t="str">
        <f>IF(ASSEGNAZIONI!$A17="","",ASSEGNAZIONI!$L17)</f>
        <v/>
      </c>
      <c r="G55" s="33" t="str">
        <f>IF(ASSEGNAZIONI!$A17="","",ASSEGNAZIONI!$M17)</f>
        <v/>
      </c>
      <c r="H55" s="33" t="str">
        <f>IF(ASSEGNAZIONI!$A17="","",ASSEGNAZIONI!$N17)</f>
        <v/>
      </c>
      <c r="I55" s="33" t="str">
        <f>IF(ASSEGNAZIONI!$A17="","",ASSEGNAZIONI!$O17)</f>
        <v/>
      </c>
      <c r="J55" s="35" t="str">
        <f>IF(ASSEGNAZIONI!$A17="","",ASSEGNAZIONI!$R17)</f>
        <v/>
      </c>
      <c r="K55" s="34" t="str">
        <f>IF(ASSEGNAZIONI!$A17="","",ASSEGNAZIONI!$I17)</f>
        <v/>
      </c>
      <c r="L55" s="34" t="str">
        <f>IF(ASSEGNAZIONI!$A17="","",ASSEGNAZIONI!$P17)</f>
        <v/>
      </c>
      <c r="M55" s="34" t="str">
        <f>IF(ASSEGNAZIONI!$A17="","",ASSEGNAZIONI!$I17-ASSEGNAZIONI!$P17)</f>
        <v/>
      </c>
      <c r="N55" s="36" t="str">
        <f>IF(ASSEGNAZIONI!$A17="","",ASSEGNAZIONI!$S17)</f>
        <v/>
      </c>
    </row>
    <row r="56" spans="2:14" x14ac:dyDescent="0.3">
      <c r="B56" s="36" t="str">
        <f>IF(ASSEGNAZIONI!$A18="","",ASSEGNAZIONI!$B18)</f>
        <v/>
      </c>
      <c r="C56" s="36" t="str">
        <f>IF(ASSEGNAZIONI!$A18="","",ASSEGNAZIONI!$C18)</f>
        <v/>
      </c>
      <c r="D56" s="36" t="str">
        <f>IF(ASSEGNAZIONI!$A18="","",ASSEGNAZIONI!$D18)</f>
        <v/>
      </c>
      <c r="E56" s="33" t="str">
        <f>IF(ASSEGNAZIONI!$A18="","",ASSEGNAZIONI!$F18)</f>
        <v/>
      </c>
      <c r="F56" s="33" t="str">
        <f>IF(ASSEGNAZIONI!$A18="","",ASSEGNAZIONI!$L18)</f>
        <v/>
      </c>
      <c r="G56" s="33" t="str">
        <f>IF(ASSEGNAZIONI!$A18="","",ASSEGNAZIONI!$M18)</f>
        <v/>
      </c>
      <c r="H56" s="33" t="str">
        <f>IF(ASSEGNAZIONI!$A18="","",ASSEGNAZIONI!$N18)</f>
        <v/>
      </c>
      <c r="I56" s="33" t="str">
        <f>IF(ASSEGNAZIONI!$A18="","",ASSEGNAZIONI!$O18)</f>
        <v/>
      </c>
      <c r="J56" s="35" t="str">
        <f>IF(ASSEGNAZIONI!$A18="","",ASSEGNAZIONI!$R18)</f>
        <v/>
      </c>
      <c r="K56" s="34" t="str">
        <f>IF(ASSEGNAZIONI!$A18="","",ASSEGNAZIONI!$I18)</f>
        <v/>
      </c>
      <c r="L56" s="34" t="str">
        <f>IF(ASSEGNAZIONI!$A18="","",ASSEGNAZIONI!$P18)</f>
        <v/>
      </c>
      <c r="M56" s="34" t="str">
        <f>IF(ASSEGNAZIONI!$A18="","",ASSEGNAZIONI!$I18-ASSEGNAZIONI!$P18)</f>
        <v/>
      </c>
      <c r="N56" s="36" t="str">
        <f>IF(ASSEGNAZIONI!$A18="","",ASSEGNAZIONI!$S18)</f>
        <v/>
      </c>
    </row>
    <row r="57" spans="2:14" x14ac:dyDescent="0.3">
      <c r="B57" s="36" t="str">
        <f>IF(ASSEGNAZIONI!$A19="","",ASSEGNAZIONI!$B19)</f>
        <v/>
      </c>
      <c r="C57" s="36" t="str">
        <f>IF(ASSEGNAZIONI!$A19="","",ASSEGNAZIONI!$C19)</f>
        <v/>
      </c>
      <c r="D57" s="36" t="str">
        <f>IF(ASSEGNAZIONI!$A19="","",ASSEGNAZIONI!$D19)</f>
        <v/>
      </c>
      <c r="E57" s="33" t="str">
        <f>IF(ASSEGNAZIONI!$A19="","",ASSEGNAZIONI!$F19)</f>
        <v/>
      </c>
      <c r="F57" s="33" t="str">
        <f>IF(ASSEGNAZIONI!$A19="","",ASSEGNAZIONI!$L19)</f>
        <v/>
      </c>
      <c r="G57" s="33" t="str">
        <f>IF(ASSEGNAZIONI!$A19="","",ASSEGNAZIONI!$M19)</f>
        <v/>
      </c>
      <c r="H57" s="33" t="str">
        <f>IF(ASSEGNAZIONI!$A19="","",ASSEGNAZIONI!$N19)</f>
        <v/>
      </c>
      <c r="I57" s="33" t="str">
        <f>IF(ASSEGNAZIONI!$A19="","",ASSEGNAZIONI!$O19)</f>
        <v/>
      </c>
      <c r="J57" s="35" t="str">
        <f>IF(ASSEGNAZIONI!$A19="","",ASSEGNAZIONI!$R19)</f>
        <v/>
      </c>
      <c r="K57" s="34" t="str">
        <f>IF(ASSEGNAZIONI!$A19="","",ASSEGNAZIONI!$I19)</f>
        <v/>
      </c>
      <c r="L57" s="34" t="str">
        <f>IF(ASSEGNAZIONI!$A19="","",ASSEGNAZIONI!$P19)</f>
        <v/>
      </c>
      <c r="M57" s="34" t="str">
        <f>IF(ASSEGNAZIONI!$A19="","",ASSEGNAZIONI!$I19-ASSEGNAZIONI!$P19)</f>
        <v/>
      </c>
      <c r="N57" s="36" t="str">
        <f>IF(ASSEGNAZIONI!$A19="","",ASSEGNAZIONI!$S19)</f>
        <v/>
      </c>
    </row>
    <row r="58" spans="2:14" x14ac:dyDescent="0.3">
      <c r="B58" s="36" t="str">
        <f>IF(ASSEGNAZIONI!$A20="","",ASSEGNAZIONI!$B20)</f>
        <v/>
      </c>
      <c r="C58" s="36" t="str">
        <f>IF(ASSEGNAZIONI!$A20="","",ASSEGNAZIONI!$C20)</f>
        <v/>
      </c>
      <c r="D58" s="36" t="str">
        <f>IF(ASSEGNAZIONI!$A20="","",ASSEGNAZIONI!$D20)</f>
        <v/>
      </c>
      <c r="E58" s="33" t="str">
        <f>IF(ASSEGNAZIONI!$A20="","",ASSEGNAZIONI!$F20)</f>
        <v/>
      </c>
      <c r="F58" s="33" t="str">
        <f>IF(ASSEGNAZIONI!$A20="","",ASSEGNAZIONI!$L20)</f>
        <v/>
      </c>
      <c r="G58" s="33" t="str">
        <f>IF(ASSEGNAZIONI!$A20="","",ASSEGNAZIONI!$M20)</f>
        <v/>
      </c>
      <c r="H58" s="33" t="str">
        <f>IF(ASSEGNAZIONI!$A20="","",ASSEGNAZIONI!$N20)</f>
        <v/>
      </c>
      <c r="I58" s="33" t="str">
        <f>IF(ASSEGNAZIONI!$A20="","",ASSEGNAZIONI!$O20)</f>
        <v/>
      </c>
      <c r="J58" s="35" t="str">
        <f>IF(ASSEGNAZIONI!$A20="","",ASSEGNAZIONI!$R20)</f>
        <v/>
      </c>
      <c r="K58" s="34" t="str">
        <f>IF(ASSEGNAZIONI!$A20="","",ASSEGNAZIONI!$I20)</f>
        <v/>
      </c>
      <c r="L58" s="34" t="str">
        <f>IF(ASSEGNAZIONI!$A20="","",ASSEGNAZIONI!$P20)</f>
        <v/>
      </c>
      <c r="M58" s="34" t="str">
        <f>IF(ASSEGNAZIONI!$A20="","",ASSEGNAZIONI!$I20-ASSEGNAZIONI!$P20)</f>
        <v/>
      </c>
      <c r="N58" s="36" t="str">
        <f>IF(ASSEGNAZIONI!$A20="","",ASSEGNAZIONI!$S20)</f>
        <v/>
      </c>
    </row>
    <row r="59" spans="2:14" x14ac:dyDescent="0.3">
      <c r="B59" s="36" t="str">
        <f>IF(ASSEGNAZIONI!$A21="","",ASSEGNAZIONI!$B21)</f>
        <v/>
      </c>
      <c r="C59" s="36" t="str">
        <f>IF(ASSEGNAZIONI!$A21="","",ASSEGNAZIONI!$C21)</f>
        <v/>
      </c>
      <c r="D59" s="36" t="str">
        <f>IF(ASSEGNAZIONI!$A21="","",ASSEGNAZIONI!$D21)</f>
        <v/>
      </c>
      <c r="E59" s="33" t="str">
        <f>IF(ASSEGNAZIONI!$A21="","",ASSEGNAZIONI!$F21)</f>
        <v/>
      </c>
      <c r="F59" s="33" t="str">
        <f>IF(ASSEGNAZIONI!$A21="","",ASSEGNAZIONI!$L21)</f>
        <v/>
      </c>
      <c r="G59" s="33" t="str">
        <f>IF(ASSEGNAZIONI!$A21="","",ASSEGNAZIONI!$M21)</f>
        <v/>
      </c>
      <c r="H59" s="33" t="str">
        <f>IF(ASSEGNAZIONI!$A21="","",ASSEGNAZIONI!$N21)</f>
        <v/>
      </c>
      <c r="I59" s="33" t="str">
        <f>IF(ASSEGNAZIONI!$A21="","",ASSEGNAZIONI!$O21)</f>
        <v/>
      </c>
      <c r="J59" s="35" t="str">
        <f>IF(ASSEGNAZIONI!$A21="","",ASSEGNAZIONI!$R21)</f>
        <v/>
      </c>
      <c r="K59" s="34" t="str">
        <f>IF(ASSEGNAZIONI!$A21="","",ASSEGNAZIONI!$I21)</f>
        <v/>
      </c>
      <c r="L59" s="34" t="str">
        <f>IF(ASSEGNAZIONI!$A21="","",ASSEGNAZIONI!$P21)</f>
        <v/>
      </c>
      <c r="M59" s="34" t="str">
        <f>IF(ASSEGNAZIONI!$A21="","",ASSEGNAZIONI!$I21-ASSEGNAZIONI!$P21)</f>
        <v/>
      </c>
      <c r="N59" s="36" t="str">
        <f>IF(ASSEGNAZIONI!$A21="","",ASSEGNAZIONI!$S21)</f>
        <v/>
      </c>
    </row>
    <row r="60" spans="2:14" x14ac:dyDescent="0.3">
      <c r="B60" s="36" t="str">
        <f>IF(ASSEGNAZIONI!$A22="","",ASSEGNAZIONI!$B22)</f>
        <v/>
      </c>
      <c r="C60" s="36" t="str">
        <f>IF(ASSEGNAZIONI!$A22="","",ASSEGNAZIONI!$C22)</f>
        <v/>
      </c>
      <c r="D60" s="36" t="str">
        <f>IF(ASSEGNAZIONI!$A22="","",ASSEGNAZIONI!$D22)</f>
        <v/>
      </c>
      <c r="E60" s="33" t="str">
        <f>IF(ASSEGNAZIONI!$A22="","",ASSEGNAZIONI!$F22)</f>
        <v/>
      </c>
      <c r="F60" s="33" t="str">
        <f>IF(ASSEGNAZIONI!$A22="","",ASSEGNAZIONI!$L22)</f>
        <v/>
      </c>
      <c r="G60" s="33" t="str">
        <f>IF(ASSEGNAZIONI!$A22="","",ASSEGNAZIONI!$M22)</f>
        <v/>
      </c>
      <c r="H60" s="33" t="str">
        <f>IF(ASSEGNAZIONI!$A22="","",ASSEGNAZIONI!$N22)</f>
        <v/>
      </c>
      <c r="I60" s="33" t="str">
        <f>IF(ASSEGNAZIONI!$A22="","",ASSEGNAZIONI!$O22)</f>
        <v/>
      </c>
      <c r="J60" s="35" t="str">
        <f>IF(ASSEGNAZIONI!$A22="","",ASSEGNAZIONI!$R22)</f>
        <v/>
      </c>
      <c r="K60" s="34" t="str">
        <f>IF(ASSEGNAZIONI!$A22="","",ASSEGNAZIONI!$I22)</f>
        <v/>
      </c>
      <c r="L60" s="34" t="str">
        <f>IF(ASSEGNAZIONI!$A22="","",ASSEGNAZIONI!$P22)</f>
        <v/>
      </c>
      <c r="M60" s="34" t="str">
        <f>IF(ASSEGNAZIONI!$A22="","",ASSEGNAZIONI!$I22-ASSEGNAZIONI!$P22)</f>
        <v/>
      </c>
      <c r="N60" s="36" t="str">
        <f>IF(ASSEGNAZIONI!$A22="","",ASSEGNAZIONI!$S22)</f>
        <v/>
      </c>
    </row>
    <row r="61" spans="2:14" x14ac:dyDescent="0.3">
      <c r="B61" s="36" t="str">
        <f>IF(ASSEGNAZIONI!$A23="","",ASSEGNAZIONI!$B23)</f>
        <v/>
      </c>
      <c r="C61" s="36" t="str">
        <f>IF(ASSEGNAZIONI!$A23="","",ASSEGNAZIONI!$C23)</f>
        <v/>
      </c>
      <c r="D61" s="36" t="str">
        <f>IF(ASSEGNAZIONI!$A23="","",ASSEGNAZIONI!$D23)</f>
        <v/>
      </c>
      <c r="E61" s="33" t="str">
        <f>IF(ASSEGNAZIONI!$A23="","",ASSEGNAZIONI!$F23)</f>
        <v/>
      </c>
      <c r="F61" s="33" t="str">
        <f>IF(ASSEGNAZIONI!$A23="","",ASSEGNAZIONI!$L23)</f>
        <v/>
      </c>
      <c r="G61" s="33" t="str">
        <f>IF(ASSEGNAZIONI!$A23="","",ASSEGNAZIONI!$M23)</f>
        <v/>
      </c>
      <c r="H61" s="33" t="str">
        <f>IF(ASSEGNAZIONI!$A23="","",ASSEGNAZIONI!$N23)</f>
        <v/>
      </c>
      <c r="I61" s="33" t="str">
        <f>IF(ASSEGNAZIONI!$A23="","",ASSEGNAZIONI!$O23)</f>
        <v/>
      </c>
      <c r="J61" s="35" t="str">
        <f>IF(ASSEGNAZIONI!$A23="","",ASSEGNAZIONI!$R23)</f>
        <v/>
      </c>
      <c r="K61" s="34" t="str">
        <f>IF(ASSEGNAZIONI!$A23="","",ASSEGNAZIONI!$I23)</f>
        <v/>
      </c>
      <c r="L61" s="34" t="str">
        <f>IF(ASSEGNAZIONI!$A23="","",ASSEGNAZIONI!$P23)</f>
        <v/>
      </c>
      <c r="M61" s="34" t="str">
        <f>IF(ASSEGNAZIONI!$A23="","",ASSEGNAZIONI!$I23-ASSEGNAZIONI!$P23)</f>
        <v/>
      </c>
      <c r="N61" s="36" t="str">
        <f>IF(ASSEGNAZIONI!$A23="","",ASSEGNAZIONI!$S23)</f>
        <v/>
      </c>
    </row>
    <row r="62" spans="2:14" x14ac:dyDescent="0.3">
      <c r="B62" s="36" t="str">
        <f>IF(ASSEGNAZIONI!$A24="","",ASSEGNAZIONI!$B24)</f>
        <v/>
      </c>
      <c r="C62" s="36" t="str">
        <f>IF(ASSEGNAZIONI!$A24="","",ASSEGNAZIONI!$C24)</f>
        <v/>
      </c>
      <c r="D62" s="36" t="str">
        <f>IF(ASSEGNAZIONI!$A24="","",ASSEGNAZIONI!$D24)</f>
        <v/>
      </c>
      <c r="E62" s="33" t="str">
        <f>IF(ASSEGNAZIONI!$A24="","",ASSEGNAZIONI!$F24)</f>
        <v/>
      </c>
      <c r="F62" s="33" t="str">
        <f>IF(ASSEGNAZIONI!$A24="","",ASSEGNAZIONI!$L24)</f>
        <v/>
      </c>
      <c r="G62" s="33" t="str">
        <f>IF(ASSEGNAZIONI!$A24="","",ASSEGNAZIONI!$M24)</f>
        <v/>
      </c>
      <c r="H62" s="33" t="str">
        <f>IF(ASSEGNAZIONI!$A24="","",ASSEGNAZIONI!$N24)</f>
        <v/>
      </c>
      <c r="I62" s="33" t="str">
        <f>IF(ASSEGNAZIONI!$A24="","",ASSEGNAZIONI!$O24)</f>
        <v/>
      </c>
      <c r="J62" s="35" t="str">
        <f>IF(ASSEGNAZIONI!$A24="","",ASSEGNAZIONI!$R24)</f>
        <v/>
      </c>
      <c r="K62" s="34" t="str">
        <f>IF(ASSEGNAZIONI!$A24="","",ASSEGNAZIONI!$I24)</f>
        <v/>
      </c>
      <c r="L62" s="34" t="str">
        <f>IF(ASSEGNAZIONI!$A24="","",ASSEGNAZIONI!$P24)</f>
        <v/>
      </c>
      <c r="M62" s="34" t="str">
        <f>IF(ASSEGNAZIONI!$A24="","",ASSEGNAZIONI!$I24-ASSEGNAZIONI!$P24)</f>
        <v/>
      </c>
      <c r="N62" s="36" t="str">
        <f>IF(ASSEGNAZIONI!$A24="","",ASSEGNAZIONI!$S24)</f>
        <v/>
      </c>
    </row>
    <row r="63" spans="2:14" x14ac:dyDescent="0.3">
      <c r="B63" s="36" t="str">
        <f>IF(ASSEGNAZIONI!$A25="","",ASSEGNAZIONI!$B25)</f>
        <v/>
      </c>
      <c r="C63" s="36" t="str">
        <f>IF(ASSEGNAZIONI!$A25="","",ASSEGNAZIONI!$C25)</f>
        <v/>
      </c>
      <c r="D63" s="36" t="str">
        <f>IF(ASSEGNAZIONI!$A25="","",ASSEGNAZIONI!$D25)</f>
        <v/>
      </c>
      <c r="E63" s="33" t="str">
        <f>IF(ASSEGNAZIONI!$A25="","",ASSEGNAZIONI!$F25)</f>
        <v/>
      </c>
      <c r="F63" s="33" t="str">
        <f>IF(ASSEGNAZIONI!$A25="","",ASSEGNAZIONI!$L25)</f>
        <v/>
      </c>
      <c r="G63" s="33" t="str">
        <f>IF(ASSEGNAZIONI!$A25="","",ASSEGNAZIONI!$M25)</f>
        <v/>
      </c>
      <c r="H63" s="33" t="str">
        <f>IF(ASSEGNAZIONI!$A25="","",ASSEGNAZIONI!$N25)</f>
        <v/>
      </c>
      <c r="I63" s="33" t="str">
        <f>IF(ASSEGNAZIONI!$A25="","",ASSEGNAZIONI!$O25)</f>
        <v/>
      </c>
      <c r="J63" s="35" t="str">
        <f>IF(ASSEGNAZIONI!$A25="","",ASSEGNAZIONI!$R25)</f>
        <v/>
      </c>
      <c r="K63" s="34" t="str">
        <f>IF(ASSEGNAZIONI!$A25="","",ASSEGNAZIONI!$I25)</f>
        <v/>
      </c>
      <c r="L63" s="34" t="str">
        <f>IF(ASSEGNAZIONI!$A25="","",ASSEGNAZIONI!$P25)</f>
        <v/>
      </c>
      <c r="M63" s="34" t="str">
        <f>IF(ASSEGNAZIONI!$A25="","",ASSEGNAZIONI!$I25-ASSEGNAZIONI!$P25)</f>
        <v/>
      </c>
      <c r="N63" s="36" t="str">
        <f>IF(ASSEGNAZIONI!$A25="","",ASSEGNAZIONI!$S25)</f>
        <v/>
      </c>
    </row>
    <row r="64" spans="2:14" x14ac:dyDescent="0.3">
      <c r="B64" s="36" t="str">
        <f>IF(ASSEGNAZIONI!$A26="","",ASSEGNAZIONI!$B26)</f>
        <v/>
      </c>
      <c r="C64" s="36" t="str">
        <f>IF(ASSEGNAZIONI!$A26="","",ASSEGNAZIONI!$C26)</f>
        <v/>
      </c>
      <c r="D64" s="36" t="str">
        <f>IF(ASSEGNAZIONI!$A26="","",ASSEGNAZIONI!$D26)</f>
        <v/>
      </c>
      <c r="E64" s="33" t="str">
        <f>IF(ASSEGNAZIONI!$A26="","",ASSEGNAZIONI!$F26)</f>
        <v/>
      </c>
      <c r="F64" s="33" t="str">
        <f>IF(ASSEGNAZIONI!$A26="","",ASSEGNAZIONI!$L26)</f>
        <v/>
      </c>
      <c r="G64" s="33" t="str">
        <f>IF(ASSEGNAZIONI!$A26="","",ASSEGNAZIONI!$M26)</f>
        <v/>
      </c>
      <c r="H64" s="33" t="str">
        <f>IF(ASSEGNAZIONI!$A26="","",ASSEGNAZIONI!$N26)</f>
        <v/>
      </c>
      <c r="I64" s="33" t="str">
        <f>IF(ASSEGNAZIONI!$A26="","",ASSEGNAZIONI!$O26)</f>
        <v/>
      </c>
      <c r="J64" s="35" t="str">
        <f>IF(ASSEGNAZIONI!$A26="","",ASSEGNAZIONI!$R26)</f>
        <v/>
      </c>
      <c r="K64" s="34" t="str">
        <f>IF(ASSEGNAZIONI!$A26="","",ASSEGNAZIONI!$I26)</f>
        <v/>
      </c>
      <c r="L64" s="34" t="str">
        <f>IF(ASSEGNAZIONI!$A26="","",ASSEGNAZIONI!$P26)</f>
        <v/>
      </c>
      <c r="M64" s="34" t="str">
        <f>IF(ASSEGNAZIONI!$A26="","",ASSEGNAZIONI!$I26-ASSEGNAZIONI!$P26)</f>
        <v/>
      </c>
      <c r="N64" s="36" t="str">
        <f>IF(ASSEGNAZIONI!$A26="","",ASSEGNAZIONI!$S26)</f>
        <v/>
      </c>
    </row>
    <row r="65" spans="2:14" x14ac:dyDescent="0.3">
      <c r="B65" s="36" t="str">
        <f>IF(ASSEGNAZIONI!$A27="","",ASSEGNAZIONI!$B27)</f>
        <v/>
      </c>
      <c r="C65" s="36" t="str">
        <f>IF(ASSEGNAZIONI!$A27="","",ASSEGNAZIONI!$C27)</f>
        <v/>
      </c>
      <c r="D65" s="36" t="str">
        <f>IF(ASSEGNAZIONI!$A27="","",ASSEGNAZIONI!$D27)</f>
        <v/>
      </c>
      <c r="E65" s="33" t="str">
        <f>IF(ASSEGNAZIONI!$A27="","",ASSEGNAZIONI!$F27)</f>
        <v/>
      </c>
      <c r="F65" s="33" t="str">
        <f>IF(ASSEGNAZIONI!$A27="","",ASSEGNAZIONI!$L27)</f>
        <v/>
      </c>
      <c r="G65" s="33" t="str">
        <f>IF(ASSEGNAZIONI!$A27="","",ASSEGNAZIONI!$M27)</f>
        <v/>
      </c>
      <c r="H65" s="33" t="str">
        <f>IF(ASSEGNAZIONI!$A27="","",ASSEGNAZIONI!$N27)</f>
        <v/>
      </c>
      <c r="I65" s="33" t="str">
        <f>IF(ASSEGNAZIONI!$A27="","",ASSEGNAZIONI!$O27)</f>
        <v/>
      </c>
      <c r="J65" s="35" t="str">
        <f>IF(ASSEGNAZIONI!$A27="","",ASSEGNAZIONI!$R27)</f>
        <v/>
      </c>
      <c r="K65" s="34" t="str">
        <f>IF(ASSEGNAZIONI!$A27="","",ASSEGNAZIONI!$I27)</f>
        <v/>
      </c>
      <c r="L65" s="34" t="str">
        <f>IF(ASSEGNAZIONI!$A27="","",ASSEGNAZIONI!$P27)</f>
        <v/>
      </c>
      <c r="M65" s="34" t="str">
        <f>IF(ASSEGNAZIONI!$A27="","",ASSEGNAZIONI!$I27-ASSEGNAZIONI!$P27)</f>
        <v/>
      </c>
      <c r="N65" s="36" t="str">
        <f>IF(ASSEGNAZIONI!$A27="","",ASSEGNAZIONI!$S27)</f>
        <v/>
      </c>
    </row>
    <row r="66" spans="2:14" x14ac:dyDescent="0.3">
      <c r="B66" s="36" t="str">
        <f>IF(ASSEGNAZIONI!$A28="","",ASSEGNAZIONI!$B28)</f>
        <v/>
      </c>
      <c r="C66" s="36" t="str">
        <f>IF(ASSEGNAZIONI!$A28="","",ASSEGNAZIONI!$C28)</f>
        <v/>
      </c>
      <c r="D66" s="36" t="str">
        <f>IF(ASSEGNAZIONI!$A28="","",ASSEGNAZIONI!$D28)</f>
        <v/>
      </c>
      <c r="E66" s="33" t="str">
        <f>IF(ASSEGNAZIONI!$A28="","",ASSEGNAZIONI!$F28)</f>
        <v/>
      </c>
      <c r="F66" s="33" t="str">
        <f>IF(ASSEGNAZIONI!$A28="","",ASSEGNAZIONI!$L28)</f>
        <v/>
      </c>
      <c r="G66" s="33" t="str">
        <f>IF(ASSEGNAZIONI!$A28="","",ASSEGNAZIONI!$M28)</f>
        <v/>
      </c>
      <c r="H66" s="33" t="str">
        <f>IF(ASSEGNAZIONI!$A28="","",ASSEGNAZIONI!$N28)</f>
        <v/>
      </c>
      <c r="I66" s="33" t="str">
        <f>IF(ASSEGNAZIONI!$A28="","",ASSEGNAZIONI!$O28)</f>
        <v/>
      </c>
      <c r="J66" s="35" t="str">
        <f>IF(ASSEGNAZIONI!$A28="","",ASSEGNAZIONI!$R28)</f>
        <v/>
      </c>
      <c r="K66" s="34" t="str">
        <f>IF(ASSEGNAZIONI!$A28="","",ASSEGNAZIONI!$I28)</f>
        <v/>
      </c>
      <c r="L66" s="34" t="str">
        <f>IF(ASSEGNAZIONI!$A28="","",ASSEGNAZIONI!$P28)</f>
        <v/>
      </c>
      <c r="M66" s="34" t="str">
        <f>IF(ASSEGNAZIONI!$A28="","",ASSEGNAZIONI!$I28-ASSEGNAZIONI!$P28)</f>
        <v/>
      </c>
      <c r="N66" s="36" t="str">
        <f>IF(ASSEGNAZIONI!$A28="","",ASSEGNAZIONI!$S28)</f>
        <v/>
      </c>
    </row>
    <row r="67" spans="2:14" x14ac:dyDescent="0.3">
      <c r="B67" s="36" t="str">
        <f>IF(ASSEGNAZIONI!$A29="","",ASSEGNAZIONI!$B29)</f>
        <v/>
      </c>
      <c r="C67" s="36" t="str">
        <f>IF(ASSEGNAZIONI!$A29="","",ASSEGNAZIONI!$C29)</f>
        <v/>
      </c>
      <c r="D67" s="36" t="str">
        <f>IF(ASSEGNAZIONI!$A29="","",ASSEGNAZIONI!$D29)</f>
        <v/>
      </c>
      <c r="E67" s="33" t="str">
        <f>IF(ASSEGNAZIONI!$A29="","",ASSEGNAZIONI!$F29)</f>
        <v/>
      </c>
      <c r="F67" s="33" t="str">
        <f>IF(ASSEGNAZIONI!$A29="","",ASSEGNAZIONI!$L29)</f>
        <v/>
      </c>
      <c r="G67" s="33" t="str">
        <f>IF(ASSEGNAZIONI!$A29="","",ASSEGNAZIONI!$M29)</f>
        <v/>
      </c>
      <c r="H67" s="33" t="str">
        <f>IF(ASSEGNAZIONI!$A29="","",ASSEGNAZIONI!$N29)</f>
        <v/>
      </c>
      <c r="I67" s="33" t="str">
        <f>IF(ASSEGNAZIONI!$A29="","",ASSEGNAZIONI!$O29)</f>
        <v/>
      </c>
      <c r="J67" s="35" t="str">
        <f>IF(ASSEGNAZIONI!$A29="","",ASSEGNAZIONI!$R29)</f>
        <v/>
      </c>
      <c r="K67" s="34" t="str">
        <f>IF(ASSEGNAZIONI!$A29="","",ASSEGNAZIONI!$I29)</f>
        <v/>
      </c>
      <c r="L67" s="34" t="str">
        <f>IF(ASSEGNAZIONI!$A29="","",ASSEGNAZIONI!$P29)</f>
        <v/>
      </c>
      <c r="M67" s="34" t="str">
        <f>IF(ASSEGNAZIONI!$A29="","",ASSEGNAZIONI!$I29-ASSEGNAZIONI!$P29)</f>
        <v/>
      </c>
      <c r="N67" s="36" t="str">
        <f>IF(ASSEGNAZIONI!$A29="","",ASSEGNAZIONI!$S29)</f>
        <v/>
      </c>
    </row>
    <row r="68" spans="2:14" x14ac:dyDescent="0.3">
      <c r="B68" s="36" t="str">
        <f>IF(ASSEGNAZIONI!$A30="","",ASSEGNAZIONI!$B30)</f>
        <v/>
      </c>
      <c r="C68" s="36" t="str">
        <f>IF(ASSEGNAZIONI!$A30="","",ASSEGNAZIONI!$C30)</f>
        <v/>
      </c>
      <c r="D68" s="36" t="str">
        <f>IF(ASSEGNAZIONI!$A30="","",ASSEGNAZIONI!$D30)</f>
        <v/>
      </c>
      <c r="E68" s="33" t="str">
        <f>IF(ASSEGNAZIONI!$A30="","",ASSEGNAZIONI!$F30)</f>
        <v/>
      </c>
      <c r="F68" s="33" t="str">
        <f>IF(ASSEGNAZIONI!$A30="","",ASSEGNAZIONI!$L30)</f>
        <v/>
      </c>
      <c r="G68" s="33" t="str">
        <f>IF(ASSEGNAZIONI!$A30="","",ASSEGNAZIONI!$M30)</f>
        <v/>
      </c>
      <c r="H68" s="33" t="str">
        <f>IF(ASSEGNAZIONI!$A30="","",ASSEGNAZIONI!$N30)</f>
        <v/>
      </c>
      <c r="I68" s="33" t="str">
        <f>IF(ASSEGNAZIONI!$A30="","",ASSEGNAZIONI!$O30)</f>
        <v/>
      </c>
      <c r="J68" s="35" t="str">
        <f>IF(ASSEGNAZIONI!$A30="","",ASSEGNAZIONI!$R30)</f>
        <v/>
      </c>
      <c r="K68" s="34" t="str">
        <f>IF(ASSEGNAZIONI!$A30="","",ASSEGNAZIONI!$I30)</f>
        <v/>
      </c>
      <c r="L68" s="34" t="str">
        <f>IF(ASSEGNAZIONI!$A30="","",ASSEGNAZIONI!$P30)</f>
        <v/>
      </c>
      <c r="M68" s="34" t="str">
        <f>IF(ASSEGNAZIONI!$A30="","",ASSEGNAZIONI!$I30-ASSEGNAZIONI!$P30)</f>
        <v/>
      </c>
      <c r="N68" s="36" t="str">
        <f>IF(ASSEGNAZIONI!$A30="","",ASSEGNAZIONI!$S30)</f>
        <v/>
      </c>
    </row>
    <row r="69" spans="2:14" x14ac:dyDescent="0.3">
      <c r="B69" s="36" t="str">
        <f>IF(ASSEGNAZIONI!$A31="","",ASSEGNAZIONI!$B31)</f>
        <v/>
      </c>
      <c r="C69" s="36" t="str">
        <f>IF(ASSEGNAZIONI!$A31="","",ASSEGNAZIONI!$C31)</f>
        <v/>
      </c>
      <c r="D69" s="36" t="str">
        <f>IF(ASSEGNAZIONI!$A31="","",ASSEGNAZIONI!$D31)</f>
        <v/>
      </c>
      <c r="E69" s="33" t="str">
        <f>IF(ASSEGNAZIONI!$A31="","",ASSEGNAZIONI!$F31)</f>
        <v/>
      </c>
      <c r="F69" s="33" t="str">
        <f>IF(ASSEGNAZIONI!$A31="","",ASSEGNAZIONI!$L31)</f>
        <v/>
      </c>
      <c r="G69" s="33" t="str">
        <f>IF(ASSEGNAZIONI!$A31="","",ASSEGNAZIONI!$M31)</f>
        <v/>
      </c>
      <c r="H69" s="33" t="str">
        <f>IF(ASSEGNAZIONI!$A31="","",ASSEGNAZIONI!$N31)</f>
        <v/>
      </c>
      <c r="I69" s="33" t="str">
        <f>IF(ASSEGNAZIONI!$A31="","",ASSEGNAZIONI!$O31)</f>
        <v/>
      </c>
      <c r="J69" s="35" t="str">
        <f>IF(ASSEGNAZIONI!$A31="","",ASSEGNAZIONI!$R31)</f>
        <v/>
      </c>
      <c r="K69" s="34" t="str">
        <f>IF(ASSEGNAZIONI!$A31="","",ASSEGNAZIONI!$I31)</f>
        <v/>
      </c>
      <c r="L69" s="34" t="str">
        <f>IF(ASSEGNAZIONI!$A31="","",ASSEGNAZIONI!$P31)</f>
        <v/>
      </c>
      <c r="M69" s="34" t="str">
        <f>IF(ASSEGNAZIONI!$A31="","",ASSEGNAZIONI!$I31-ASSEGNAZIONI!$P31)</f>
        <v/>
      </c>
      <c r="N69" s="36" t="str">
        <f>IF(ASSEGNAZIONI!$A31="","",ASSEGNAZIONI!$S31)</f>
        <v/>
      </c>
    </row>
    <row r="70" spans="2:14" x14ac:dyDescent="0.3">
      <c r="B70" s="36" t="str">
        <f>IF(ASSEGNAZIONI!$A32="","",ASSEGNAZIONI!$B32)</f>
        <v/>
      </c>
      <c r="C70" s="36" t="str">
        <f>IF(ASSEGNAZIONI!$A32="","",ASSEGNAZIONI!$C32)</f>
        <v/>
      </c>
      <c r="D70" s="36" t="str">
        <f>IF(ASSEGNAZIONI!$A32="","",ASSEGNAZIONI!$D32)</f>
        <v/>
      </c>
      <c r="E70" s="33" t="str">
        <f>IF(ASSEGNAZIONI!$A32="","",ASSEGNAZIONI!$F32)</f>
        <v/>
      </c>
      <c r="F70" s="33" t="str">
        <f>IF(ASSEGNAZIONI!$A32="","",ASSEGNAZIONI!$L32)</f>
        <v/>
      </c>
      <c r="G70" s="33" t="str">
        <f>IF(ASSEGNAZIONI!$A32="","",ASSEGNAZIONI!$M32)</f>
        <v/>
      </c>
      <c r="H70" s="33" t="str">
        <f>IF(ASSEGNAZIONI!$A32="","",ASSEGNAZIONI!$N32)</f>
        <v/>
      </c>
      <c r="I70" s="33" t="str">
        <f>IF(ASSEGNAZIONI!$A32="","",ASSEGNAZIONI!$O32)</f>
        <v/>
      </c>
      <c r="J70" s="35" t="str">
        <f>IF(ASSEGNAZIONI!$A32="","",ASSEGNAZIONI!$R32)</f>
        <v/>
      </c>
      <c r="K70" s="34" t="str">
        <f>IF(ASSEGNAZIONI!$A32="","",ASSEGNAZIONI!$I32)</f>
        <v/>
      </c>
      <c r="L70" s="34" t="str">
        <f>IF(ASSEGNAZIONI!$A32="","",ASSEGNAZIONI!$P32)</f>
        <v/>
      </c>
      <c r="M70" s="34" t="str">
        <f>IF(ASSEGNAZIONI!$A32="","",ASSEGNAZIONI!$I32-ASSEGNAZIONI!$P32)</f>
        <v/>
      </c>
      <c r="N70" s="36" t="str">
        <f>IF(ASSEGNAZIONI!$A32="","",ASSEGNAZIONI!$S32)</f>
        <v/>
      </c>
    </row>
    <row r="71" spans="2:14" x14ac:dyDescent="0.3">
      <c r="B71" s="36" t="str">
        <f>IF(ASSEGNAZIONI!$A33="","",ASSEGNAZIONI!$B33)</f>
        <v/>
      </c>
      <c r="C71" s="36" t="str">
        <f>IF(ASSEGNAZIONI!$A33="","",ASSEGNAZIONI!$C33)</f>
        <v/>
      </c>
      <c r="D71" s="36" t="str">
        <f>IF(ASSEGNAZIONI!$A33="","",ASSEGNAZIONI!$D33)</f>
        <v/>
      </c>
      <c r="E71" s="33" t="str">
        <f>IF(ASSEGNAZIONI!$A33="","",ASSEGNAZIONI!$F33)</f>
        <v/>
      </c>
      <c r="F71" s="33" t="str">
        <f>IF(ASSEGNAZIONI!$A33="","",ASSEGNAZIONI!$L33)</f>
        <v/>
      </c>
      <c r="G71" s="33" t="str">
        <f>IF(ASSEGNAZIONI!$A33="","",ASSEGNAZIONI!$M33)</f>
        <v/>
      </c>
      <c r="H71" s="33" t="str">
        <f>IF(ASSEGNAZIONI!$A33="","",ASSEGNAZIONI!$N33)</f>
        <v/>
      </c>
      <c r="I71" s="33" t="str">
        <f>IF(ASSEGNAZIONI!$A33="","",ASSEGNAZIONI!$O33)</f>
        <v/>
      </c>
      <c r="J71" s="35" t="str">
        <f>IF(ASSEGNAZIONI!$A33="","",ASSEGNAZIONI!$R33)</f>
        <v/>
      </c>
      <c r="K71" s="34" t="str">
        <f>IF(ASSEGNAZIONI!$A33="","",ASSEGNAZIONI!$I33)</f>
        <v/>
      </c>
      <c r="L71" s="34" t="str">
        <f>IF(ASSEGNAZIONI!$A33="","",ASSEGNAZIONI!$P33)</f>
        <v/>
      </c>
      <c r="M71" s="34" t="str">
        <f>IF(ASSEGNAZIONI!$A33="","",ASSEGNAZIONI!$I33-ASSEGNAZIONI!$P33)</f>
        <v/>
      </c>
      <c r="N71" s="36" t="str">
        <f>IF(ASSEGNAZIONI!$A33="","",ASSEGNAZIONI!$S33)</f>
        <v/>
      </c>
    </row>
    <row r="72" spans="2:14" x14ac:dyDescent="0.3">
      <c r="B72" s="36" t="str">
        <f>IF(ASSEGNAZIONI!$A34="","",ASSEGNAZIONI!$B34)</f>
        <v/>
      </c>
      <c r="C72" s="36" t="str">
        <f>IF(ASSEGNAZIONI!$A34="","",ASSEGNAZIONI!$C34)</f>
        <v/>
      </c>
      <c r="D72" s="36" t="str">
        <f>IF(ASSEGNAZIONI!$A34="","",ASSEGNAZIONI!$D34)</f>
        <v/>
      </c>
      <c r="E72" s="33" t="str">
        <f>IF(ASSEGNAZIONI!$A34="","",ASSEGNAZIONI!$F34)</f>
        <v/>
      </c>
      <c r="F72" s="33" t="str">
        <f>IF(ASSEGNAZIONI!$A34="","",ASSEGNAZIONI!$L34)</f>
        <v/>
      </c>
      <c r="G72" s="33" t="str">
        <f>IF(ASSEGNAZIONI!$A34="","",ASSEGNAZIONI!$M34)</f>
        <v/>
      </c>
      <c r="H72" s="33" t="str">
        <f>IF(ASSEGNAZIONI!$A34="","",ASSEGNAZIONI!$N34)</f>
        <v/>
      </c>
      <c r="I72" s="33" t="str">
        <f>IF(ASSEGNAZIONI!$A34="","",ASSEGNAZIONI!$O34)</f>
        <v/>
      </c>
      <c r="J72" s="35" t="str">
        <f>IF(ASSEGNAZIONI!$A34="","",ASSEGNAZIONI!$R34)</f>
        <v/>
      </c>
      <c r="K72" s="34" t="str">
        <f>IF(ASSEGNAZIONI!$A34="","",ASSEGNAZIONI!$I34)</f>
        <v/>
      </c>
      <c r="L72" s="34" t="str">
        <f>IF(ASSEGNAZIONI!$A34="","",ASSEGNAZIONI!$P34)</f>
        <v/>
      </c>
      <c r="M72" s="34" t="str">
        <f>IF(ASSEGNAZIONI!$A34="","",ASSEGNAZIONI!$I34-ASSEGNAZIONI!$P34)</f>
        <v/>
      </c>
      <c r="N72" s="36" t="str">
        <f>IF(ASSEGNAZIONI!$A34="","",ASSEGNAZIONI!$S34)</f>
        <v/>
      </c>
    </row>
    <row r="73" spans="2:14" x14ac:dyDescent="0.3">
      <c r="B73" s="36" t="str">
        <f>IF(ASSEGNAZIONI!$A35="","",ASSEGNAZIONI!$B35)</f>
        <v/>
      </c>
      <c r="C73" s="36" t="str">
        <f>IF(ASSEGNAZIONI!$A35="","",ASSEGNAZIONI!$C35)</f>
        <v/>
      </c>
      <c r="D73" s="36" t="str">
        <f>IF(ASSEGNAZIONI!$A35="","",ASSEGNAZIONI!$D35)</f>
        <v/>
      </c>
      <c r="E73" s="33" t="str">
        <f>IF(ASSEGNAZIONI!$A35="","",ASSEGNAZIONI!$F35)</f>
        <v/>
      </c>
      <c r="F73" s="33" t="str">
        <f>IF(ASSEGNAZIONI!$A35="","",ASSEGNAZIONI!$L35)</f>
        <v/>
      </c>
      <c r="G73" s="33" t="str">
        <f>IF(ASSEGNAZIONI!$A35="","",ASSEGNAZIONI!$M35)</f>
        <v/>
      </c>
      <c r="H73" s="33" t="str">
        <f>IF(ASSEGNAZIONI!$A35="","",ASSEGNAZIONI!$N35)</f>
        <v/>
      </c>
      <c r="I73" s="33" t="str">
        <f>IF(ASSEGNAZIONI!$A35="","",ASSEGNAZIONI!$O35)</f>
        <v/>
      </c>
      <c r="J73" s="35" t="str">
        <f>IF(ASSEGNAZIONI!$A35="","",ASSEGNAZIONI!$R35)</f>
        <v/>
      </c>
      <c r="K73" s="34" t="str">
        <f>IF(ASSEGNAZIONI!$A35="","",ASSEGNAZIONI!$I35)</f>
        <v/>
      </c>
      <c r="L73" s="34" t="str">
        <f>IF(ASSEGNAZIONI!$A35="","",ASSEGNAZIONI!$P35)</f>
        <v/>
      </c>
      <c r="M73" s="34" t="str">
        <f>IF(ASSEGNAZIONI!$A35="","",ASSEGNAZIONI!$I35-ASSEGNAZIONI!$P35)</f>
        <v/>
      </c>
      <c r="N73" s="36" t="str">
        <f>IF(ASSEGNAZIONI!$A35="","",ASSEGNAZIONI!$S35)</f>
        <v/>
      </c>
    </row>
    <row r="74" spans="2:14" x14ac:dyDescent="0.3">
      <c r="B74" s="36" t="str">
        <f>IF(ASSEGNAZIONI!$A36="","",ASSEGNAZIONI!$B36)</f>
        <v/>
      </c>
      <c r="C74" s="36" t="str">
        <f>IF(ASSEGNAZIONI!$A36="","",ASSEGNAZIONI!$C36)</f>
        <v/>
      </c>
      <c r="D74" s="36" t="str">
        <f>IF(ASSEGNAZIONI!$A36="","",ASSEGNAZIONI!$D36)</f>
        <v/>
      </c>
      <c r="E74" s="33" t="str">
        <f>IF(ASSEGNAZIONI!$A36="","",ASSEGNAZIONI!$F36)</f>
        <v/>
      </c>
      <c r="F74" s="33" t="str">
        <f>IF(ASSEGNAZIONI!$A36="","",ASSEGNAZIONI!$L36)</f>
        <v/>
      </c>
      <c r="G74" s="33" t="str">
        <f>IF(ASSEGNAZIONI!$A36="","",ASSEGNAZIONI!$M36)</f>
        <v/>
      </c>
      <c r="H74" s="33" t="str">
        <f>IF(ASSEGNAZIONI!$A36="","",ASSEGNAZIONI!$N36)</f>
        <v/>
      </c>
      <c r="I74" s="33" t="str">
        <f>IF(ASSEGNAZIONI!$A36="","",ASSEGNAZIONI!$O36)</f>
        <v/>
      </c>
      <c r="J74" s="35" t="str">
        <f>IF(ASSEGNAZIONI!$A36="","",ASSEGNAZIONI!$R36)</f>
        <v/>
      </c>
      <c r="K74" s="34" t="str">
        <f>IF(ASSEGNAZIONI!$A36="","",ASSEGNAZIONI!$I36)</f>
        <v/>
      </c>
      <c r="L74" s="34" t="str">
        <f>IF(ASSEGNAZIONI!$A36="","",ASSEGNAZIONI!$P36)</f>
        <v/>
      </c>
      <c r="M74" s="34" t="str">
        <f>IF(ASSEGNAZIONI!$A36="","",ASSEGNAZIONI!$I36-ASSEGNAZIONI!$P36)</f>
        <v/>
      </c>
      <c r="N74" s="36" t="str">
        <f>IF(ASSEGNAZIONI!$A36="","",ASSEGNAZIONI!$S36)</f>
        <v/>
      </c>
    </row>
    <row r="75" spans="2:14" x14ac:dyDescent="0.3">
      <c r="B75" s="36" t="str">
        <f>IF(ASSEGNAZIONI!$A37="","",ASSEGNAZIONI!$B37)</f>
        <v/>
      </c>
      <c r="C75" s="36" t="str">
        <f>IF(ASSEGNAZIONI!$A37="","",ASSEGNAZIONI!$C37)</f>
        <v/>
      </c>
      <c r="D75" s="36" t="str">
        <f>IF(ASSEGNAZIONI!$A37="","",ASSEGNAZIONI!$D37)</f>
        <v/>
      </c>
      <c r="E75" s="33" t="str">
        <f>IF(ASSEGNAZIONI!$A37="","",ASSEGNAZIONI!$F37)</f>
        <v/>
      </c>
      <c r="F75" s="33" t="str">
        <f>IF(ASSEGNAZIONI!$A37="","",ASSEGNAZIONI!$L37)</f>
        <v/>
      </c>
      <c r="G75" s="33" t="str">
        <f>IF(ASSEGNAZIONI!$A37="","",ASSEGNAZIONI!$M37)</f>
        <v/>
      </c>
      <c r="H75" s="33" t="str">
        <f>IF(ASSEGNAZIONI!$A37="","",ASSEGNAZIONI!$N37)</f>
        <v/>
      </c>
      <c r="I75" s="33" t="str">
        <f>IF(ASSEGNAZIONI!$A37="","",ASSEGNAZIONI!$O37)</f>
        <v/>
      </c>
      <c r="J75" s="35" t="str">
        <f>IF(ASSEGNAZIONI!$A37="","",ASSEGNAZIONI!$R37)</f>
        <v/>
      </c>
      <c r="K75" s="34" t="str">
        <f>IF(ASSEGNAZIONI!$A37="","",ASSEGNAZIONI!$I37)</f>
        <v/>
      </c>
      <c r="L75" s="34" t="str">
        <f>IF(ASSEGNAZIONI!$A37="","",ASSEGNAZIONI!$P37)</f>
        <v/>
      </c>
      <c r="M75" s="34" t="str">
        <f>IF(ASSEGNAZIONI!$A37="","",ASSEGNAZIONI!$I37-ASSEGNAZIONI!$P37)</f>
        <v/>
      </c>
      <c r="N75" s="36" t="str">
        <f>IF(ASSEGNAZIONI!$A37="","",ASSEGNAZIONI!$S37)</f>
        <v/>
      </c>
    </row>
    <row r="76" spans="2:14" x14ac:dyDescent="0.3">
      <c r="B76" s="36" t="str">
        <f>IF(ASSEGNAZIONI!$A38="","",ASSEGNAZIONI!$B38)</f>
        <v/>
      </c>
      <c r="C76" s="36" t="str">
        <f>IF(ASSEGNAZIONI!$A38="","",ASSEGNAZIONI!$C38)</f>
        <v/>
      </c>
      <c r="D76" s="36" t="str">
        <f>IF(ASSEGNAZIONI!$A38="","",ASSEGNAZIONI!$D38)</f>
        <v/>
      </c>
      <c r="E76" s="33" t="str">
        <f>IF(ASSEGNAZIONI!$A38="","",ASSEGNAZIONI!$F38)</f>
        <v/>
      </c>
      <c r="F76" s="33" t="str">
        <f>IF(ASSEGNAZIONI!$A38="","",ASSEGNAZIONI!$L38)</f>
        <v/>
      </c>
      <c r="G76" s="33" t="str">
        <f>IF(ASSEGNAZIONI!$A38="","",ASSEGNAZIONI!$M38)</f>
        <v/>
      </c>
      <c r="H76" s="33" t="str">
        <f>IF(ASSEGNAZIONI!$A38="","",ASSEGNAZIONI!$N38)</f>
        <v/>
      </c>
      <c r="I76" s="33" t="str">
        <f>IF(ASSEGNAZIONI!$A38="","",ASSEGNAZIONI!$O38)</f>
        <v/>
      </c>
      <c r="J76" s="35" t="str">
        <f>IF(ASSEGNAZIONI!$A38="","",ASSEGNAZIONI!$R38)</f>
        <v/>
      </c>
      <c r="K76" s="34" t="str">
        <f>IF(ASSEGNAZIONI!$A38="","",ASSEGNAZIONI!$I38)</f>
        <v/>
      </c>
      <c r="L76" s="34" t="str">
        <f>IF(ASSEGNAZIONI!$A38="","",ASSEGNAZIONI!$P38)</f>
        <v/>
      </c>
      <c r="M76" s="34" t="str">
        <f>IF(ASSEGNAZIONI!$A38="","",ASSEGNAZIONI!$I38-ASSEGNAZIONI!$P38)</f>
        <v/>
      </c>
      <c r="N76" s="36" t="str">
        <f>IF(ASSEGNAZIONI!$A38="","",ASSEGNAZIONI!$S38)</f>
        <v/>
      </c>
    </row>
    <row r="77" spans="2:14" x14ac:dyDescent="0.3">
      <c r="B77" s="36" t="str">
        <f>IF(ASSEGNAZIONI!$A39="","",ASSEGNAZIONI!$B39)</f>
        <v/>
      </c>
      <c r="C77" s="36" t="str">
        <f>IF(ASSEGNAZIONI!$A39="","",ASSEGNAZIONI!$C39)</f>
        <v/>
      </c>
      <c r="D77" s="36" t="str">
        <f>IF(ASSEGNAZIONI!$A39="","",ASSEGNAZIONI!$D39)</f>
        <v/>
      </c>
      <c r="E77" s="33" t="str">
        <f>IF(ASSEGNAZIONI!$A39="","",ASSEGNAZIONI!$F39)</f>
        <v/>
      </c>
      <c r="F77" s="33" t="str">
        <f>IF(ASSEGNAZIONI!$A39="","",ASSEGNAZIONI!$L39)</f>
        <v/>
      </c>
      <c r="G77" s="33" t="str">
        <f>IF(ASSEGNAZIONI!$A39="","",ASSEGNAZIONI!$M39)</f>
        <v/>
      </c>
      <c r="H77" s="33" t="str">
        <f>IF(ASSEGNAZIONI!$A39="","",ASSEGNAZIONI!$N39)</f>
        <v/>
      </c>
      <c r="I77" s="33" t="str">
        <f>IF(ASSEGNAZIONI!$A39="","",ASSEGNAZIONI!$O39)</f>
        <v/>
      </c>
      <c r="J77" s="35" t="str">
        <f>IF(ASSEGNAZIONI!$A39="","",ASSEGNAZIONI!$R39)</f>
        <v/>
      </c>
      <c r="K77" s="34" t="str">
        <f>IF(ASSEGNAZIONI!$A39="","",ASSEGNAZIONI!$I39)</f>
        <v/>
      </c>
      <c r="L77" s="34" t="str">
        <f>IF(ASSEGNAZIONI!$A39="","",ASSEGNAZIONI!$P39)</f>
        <v/>
      </c>
      <c r="M77" s="34" t="str">
        <f>IF(ASSEGNAZIONI!$A39="","",ASSEGNAZIONI!$I39-ASSEGNAZIONI!$P39)</f>
        <v/>
      </c>
      <c r="N77" s="36" t="str">
        <f>IF(ASSEGNAZIONI!$A39="","",ASSEGNAZIONI!$S39)</f>
        <v/>
      </c>
    </row>
    <row r="78" spans="2:14" x14ac:dyDescent="0.3">
      <c r="B78" s="36" t="str">
        <f>IF(ASSEGNAZIONI!$A40="","",ASSEGNAZIONI!$B40)</f>
        <v/>
      </c>
      <c r="C78" s="36" t="str">
        <f>IF(ASSEGNAZIONI!$A40="","",ASSEGNAZIONI!$C40)</f>
        <v/>
      </c>
      <c r="D78" s="36" t="str">
        <f>IF(ASSEGNAZIONI!$A40="","",ASSEGNAZIONI!$D40)</f>
        <v/>
      </c>
      <c r="E78" s="33" t="str">
        <f>IF(ASSEGNAZIONI!$A40="","",ASSEGNAZIONI!$F40)</f>
        <v/>
      </c>
      <c r="F78" s="33" t="str">
        <f>IF(ASSEGNAZIONI!$A40="","",ASSEGNAZIONI!$L40)</f>
        <v/>
      </c>
      <c r="G78" s="33" t="str">
        <f>IF(ASSEGNAZIONI!$A40="","",ASSEGNAZIONI!$M40)</f>
        <v/>
      </c>
      <c r="H78" s="33" t="str">
        <f>IF(ASSEGNAZIONI!$A40="","",ASSEGNAZIONI!$N40)</f>
        <v/>
      </c>
      <c r="I78" s="33" t="str">
        <f>IF(ASSEGNAZIONI!$A40="","",ASSEGNAZIONI!$O40)</f>
        <v/>
      </c>
      <c r="J78" s="35" t="str">
        <f>IF(ASSEGNAZIONI!$A40="","",ASSEGNAZIONI!$R40)</f>
        <v/>
      </c>
      <c r="K78" s="34" t="str">
        <f>IF(ASSEGNAZIONI!$A40="","",ASSEGNAZIONI!$I40)</f>
        <v/>
      </c>
      <c r="L78" s="34" t="str">
        <f>IF(ASSEGNAZIONI!$A40="","",ASSEGNAZIONI!$P40)</f>
        <v/>
      </c>
      <c r="M78" s="34" t="str">
        <f>IF(ASSEGNAZIONI!$A40="","",ASSEGNAZIONI!$I40-ASSEGNAZIONI!$P40)</f>
        <v/>
      </c>
      <c r="N78" s="36" t="str">
        <f>IF(ASSEGNAZIONI!$A40="","",ASSEGNAZIONI!$S40)</f>
        <v/>
      </c>
    </row>
    <row r="79" spans="2:14" x14ac:dyDescent="0.3">
      <c r="B79" s="36" t="str">
        <f>IF(ASSEGNAZIONI!$A41="","",ASSEGNAZIONI!$B41)</f>
        <v/>
      </c>
      <c r="C79" s="36" t="str">
        <f>IF(ASSEGNAZIONI!$A41="","",ASSEGNAZIONI!$C41)</f>
        <v/>
      </c>
      <c r="D79" s="36" t="str">
        <f>IF(ASSEGNAZIONI!$A41="","",ASSEGNAZIONI!$D41)</f>
        <v/>
      </c>
      <c r="E79" s="33" t="str">
        <f>IF(ASSEGNAZIONI!$A41="","",ASSEGNAZIONI!$F41)</f>
        <v/>
      </c>
      <c r="F79" s="33" t="str">
        <f>IF(ASSEGNAZIONI!$A41="","",ASSEGNAZIONI!$L41)</f>
        <v/>
      </c>
      <c r="G79" s="33" t="str">
        <f>IF(ASSEGNAZIONI!$A41="","",ASSEGNAZIONI!$M41)</f>
        <v/>
      </c>
      <c r="H79" s="33" t="str">
        <f>IF(ASSEGNAZIONI!$A41="","",ASSEGNAZIONI!$N41)</f>
        <v/>
      </c>
      <c r="I79" s="33" t="str">
        <f>IF(ASSEGNAZIONI!$A41="","",ASSEGNAZIONI!$O41)</f>
        <v/>
      </c>
      <c r="J79" s="35" t="str">
        <f>IF(ASSEGNAZIONI!$A41="","",ASSEGNAZIONI!$R41)</f>
        <v/>
      </c>
      <c r="K79" s="34" t="str">
        <f>IF(ASSEGNAZIONI!$A41="","",ASSEGNAZIONI!$I41)</f>
        <v/>
      </c>
      <c r="L79" s="34" t="str">
        <f>IF(ASSEGNAZIONI!$A41="","",ASSEGNAZIONI!$P41)</f>
        <v/>
      </c>
      <c r="M79" s="34" t="str">
        <f>IF(ASSEGNAZIONI!$A41="","",ASSEGNAZIONI!$I41-ASSEGNAZIONI!$P41)</f>
        <v/>
      </c>
      <c r="N79" s="36" t="str">
        <f>IF(ASSEGNAZIONI!$A41="","",ASSEGNAZIONI!$S41)</f>
        <v/>
      </c>
    </row>
    <row r="82" spans="2:17" x14ac:dyDescent="0.3">
      <c r="B82" s="24" t="s">
        <v>298</v>
      </c>
    </row>
    <row r="83" spans="2:17" x14ac:dyDescent="0.3">
      <c r="B83" s="37" t="s">
        <v>299</v>
      </c>
      <c r="E83" s="38">
        <v>46023</v>
      </c>
      <c r="G83" s="2" t="s">
        <v>300</v>
      </c>
    </row>
    <row r="84" spans="2:17" ht="24" customHeight="1" x14ac:dyDescent="0.3">
      <c r="B84" s="39" t="s">
        <v>185</v>
      </c>
      <c r="C84" s="39" t="s">
        <v>301</v>
      </c>
      <c r="D84" s="40" t="str">
        <f>TEXT(EDATE($E$83,0),"YYYY-MM")</f>
        <v>YYYY-01</v>
      </c>
      <c r="E84" s="40" t="str">
        <f>TEXT(EDATE($E$83,1),"YYYY-MM")</f>
        <v>YYYY-02</v>
      </c>
      <c r="F84" s="40" t="str">
        <f>TEXT(EDATE($E$83,2),"YYYY-MM")</f>
        <v>YYYY-03</v>
      </c>
      <c r="G84" s="40" t="str">
        <f>TEXT(EDATE($E$83,3),"YYYY-MM")</f>
        <v>YYYY-04</v>
      </c>
      <c r="H84" s="40" t="str">
        <f>TEXT(EDATE($E$83,4),"YYYY-MM")</f>
        <v>YYYY-05</v>
      </c>
      <c r="I84" s="40" t="str">
        <f>TEXT(EDATE($E$83,5),"YYYY-MM")</f>
        <v>YYYY-06</v>
      </c>
      <c r="J84" s="40" t="str">
        <f>TEXT(EDATE($E$83,6),"YYYY-MM")</f>
        <v>YYYY-07</v>
      </c>
      <c r="K84" s="40" t="str">
        <f>TEXT(EDATE($E$83,7),"YYYY-MM")</f>
        <v>YYYY-08</v>
      </c>
      <c r="L84" s="40" t="str">
        <f>TEXT(EDATE($E$83,8),"YYYY-MM")</f>
        <v>YYYY-09</v>
      </c>
      <c r="M84" s="40" t="str">
        <f>TEXT(EDATE($E$83,9),"YYYY-MM")</f>
        <v>YYYY-10</v>
      </c>
      <c r="N84" s="40" t="str">
        <f>TEXT(EDATE($E$83,10),"YYYY-MM")</f>
        <v>YYYY-11</v>
      </c>
      <c r="O84" s="40" t="str">
        <f>TEXT(EDATE($E$83,11),"YYYY-MM")</f>
        <v>YYYY-12</v>
      </c>
      <c r="P84" s="31" t="s">
        <v>302</v>
      </c>
      <c r="Q84" s="31" t="s">
        <v>303</v>
      </c>
    </row>
    <row r="85" spans="2:17" x14ac:dyDescent="0.3">
      <c r="B85" s="36" t="str">
        <f>IF(TEAM!$A2="","",TEAM!$A2)</f>
        <v>Amit Anafi</v>
      </c>
      <c r="C85" s="33">
        <f>IF(TEAM!$A2="","",TEAM!$F2)</f>
        <v>1440</v>
      </c>
      <c r="D85" s="33">
        <f>IF($B85="","",SUMIFS(ORE!$F:$F,ORE!$E:$E,$B85,ORE!$A:$A,D$84))</f>
        <v>0</v>
      </c>
      <c r="E85" s="33">
        <f>IF($B85="","",SUMIFS(ORE!$F:$F,ORE!$E:$E,$B85,ORE!$A:$A,E$84))</f>
        <v>0</v>
      </c>
      <c r="F85" s="33">
        <f>IF($B85="","",SUMIFS(ORE!$F:$F,ORE!$E:$E,$B85,ORE!$A:$A,F$84))</f>
        <v>0</v>
      </c>
      <c r="G85" s="33">
        <f>IF($B85="","",SUMIFS(ORE!$F:$F,ORE!$E:$E,$B85,ORE!$A:$A,G$84))</f>
        <v>0</v>
      </c>
      <c r="H85" s="33">
        <f>IF($B85="","",SUMIFS(ORE!$F:$F,ORE!$E:$E,$B85,ORE!$A:$A,H$84))</f>
        <v>0</v>
      </c>
      <c r="I85" s="33">
        <f>IF($B85="","",SUMIFS(ORE!$F:$F,ORE!$E:$E,$B85,ORE!$A:$A,I$84))</f>
        <v>0</v>
      </c>
      <c r="J85" s="33">
        <f>IF($B85="","",SUMIFS(ORE!$F:$F,ORE!$E:$E,$B85,ORE!$A:$A,J$84))</f>
        <v>0</v>
      </c>
      <c r="K85" s="33">
        <f>IF($B85="","",SUMIFS(ORE!$F:$F,ORE!$E:$E,$B85,ORE!$A:$A,K$84))</f>
        <v>0</v>
      </c>
      <c r="L85" s="33">
        <f>IF($B85="","",SUMIFS(ORE!$F:$F,ORE!$E:$E,$B85,ORE!$A:$A,L$84))</f>
        <v>0</v>
      </c>
      <c r="M85" s="33">
        <f>IF($B85="","",SUMIFS(ORE!$F:$F,ORE!$E:$E,$B85,ORE!$A:$A,M$84))</f>
        <v>0</v>
      </c>
      <c r="N85" s="33">
        <f>IF($B85="","",SUMIFS(ORE!$F:$F,ORE!$E:$E,$B85,ORE!$A:$A,N$84))</f>
        <v>0</v>
      </c>
      <c r="O85" s="33">
        <f>IF($B85="","",SUMIFS(ORE!$F:$F,ORE!$E:$E,$B85,ORE!$A:$A,O$84))</f>
        <v>0</v>
      </c>
      <c r="P85" s="33">
        <f t="shared" ref="P85:P124" si="0">IF($B85="","",SUM($D85:$O85))</f>
        <v>0</v>
      </c>
      <c r="Q85" s="35">
        <f t="shared" ref="Q85:Q124" si="1">IF($B85="","",IFERROR($P85/$C85,0))</f>
        <v>0</v>
      </c>
    </row>
    <row r="86" spans="2:17" x14ac:dyDescent="0.3">
      <c r="B86" s="36" t="str">
        <f>IF(TEAM!$A3="","",TEAM!$A3)</f>
        <v>Giulia Dagradi</v>
      </c>
      <c r="C86" s="33">
        <f>IF(TEAM!$A3="","",TEAM!$F3)</f>
        <v>1600</v>
      </c>
      <c r="D86" s="33">
        <f>IF($B86="","",SUMIFS(ORE!$F:$F,ORE!$E:$E,$B86,ORE!$A:$A,D$84))</f>
        <v>0</v>
      </c>
      <c r="E86" s="33">
        <f>IF($B86="","",SUMIFS(ORE!$F:$F,ORE!$E:$E,$B86,ORE!$A:$A,E$84))</f>
        <v>0</v>
      </c>
      <c r="F86" s="33">
        <f>IF($B86="","",SUMIFS(ORE!$F:$F,ORE!$E:$E,$B86,ORE!$A:$A,F$84))</f>
        <v>0</v>
      </c>
      <c r="G86" s="33">
        <f>IF($B86="","",SUMIFS(ORE!$F:$F,ORE!$E:$E,$B86,ORE!$A:$A,G$84))</f>
        <v>0</v>
      </c>
      <c r="H86" s="33">
        <f>IF($B86="","",SUMIFS(ORE!$F:$F,ORE!$E:$E,$B86,ORE!$A:$A,H$84))</f>
        <v>0</v>
      </c>
      <c r="I86" s="33">
        <f>IF($B86="","",SUMIFS(ORE!$F:$F,ORE!$E:$E,$B86,ORE!$A:$A,I$84))</f>
        <v>0</v>
      </c>
      <c r="J86" s="33">
        <f>IF($B86="","",SUMIFS(ORE!$F:$F,ORE!$E:$E,$B86,ORE!$A:$A,J$84))</f>
        <v>0</v>
      </c>
      <c r="K86" s="33">
        <f>IF($B86="","",SUMIFS(ORE!$F:$F,ORE!$E:$E,$B86,ORE!$A:$A,K$84))</f>
        <v>0</v>
      </c>
      <c r="L86" s="33">
        <f>IF($B86="","",SUMIFS(ORE!$F:$F,ORE!$E:$E,$B86,ORE!$A:$A,L$84))</f>
        <v>0</v>
      </c>
      <c r="M86" s="33">
        <f>IF($B86="","",SUMIFS(ORE!$F:$F,ORE!$E:$E,$B86,ORE!$A:$A,M$84))</f>
        <v>0</v>
      </c>
      <c r="N86" s="33">
        <f>IF($B86="","",SUMIFS(ORE!$F:$F,ORE!$E:$E,$B86,ORE!$A:$A,N$84))</f>
        <v>0</v>
      </c>
      <c r="O86" s="33">
        <f>IF($B86="","",SUMIFS(ORE!$F:$F,ORE!$E:$E,$B86,ORE!$A:$A,O$84))</f>
        <v>0</v>
      </c>
      <c r="P86" s="33">
        <f t="shared" si="0"/>
        <v>0</v>
      </c>
      <c r="Q86" s="35">
        <f t="shared" si="1"/>
        <v>0</v>
      </c>
    </row>
    <row r="87" spans="2:17" x14ac:dyDescent="0.3">
      <c r="B87" s="36" t="str">
        <f>IF(TEAM!$A4="","",TEAM!$A4)</f>
        <v>Anna Vadacca</v>
      </c>
      <c r="C87" s="33">
        <f>IF(TEAM!$A4="","",TEAM!$F4)</f>
        <v>1600</v>
      </c>
      <c r="D87" s="33">
        <f>IF($B87="","",SUMIFS(ORE!$F:$F,ORE!$E:$E,$B87,ORE!$A:$A,D$84))</f>
        <v>0</v>
      </c>
      <c r="E87" s="33">
        <f>IF($B87="","",SUMIFS(ORE!$F:$F,ORE!$E:$E,$B87,ORE!$A:$A,E$84))</f>
        <v>0</v>
      </c>
      <c r="F87" s="33">
        <f>IF($B87="","",SUMIFS(ORE!$F:$F,ORE!$E:$E,$B87,ORE!$A:$A,F$84))</f>
        <v>0</v>
      </c>
      <c r="G87" s="33">
        <f>IF($B87="","",SUMIFS(ORE!$F:$F,ORE!$E:$E,$B87,ORE!$A:$A,G$84))</f>
        <v>0</v>
      </c>
      <c r="H87" s="33">
        <f>IF($B87="","",SUMIFS(ORE!$F:$F,ORE!$E:$E,$B87,ORE!$A:$A,H$84))</f>
        <v>0</v>
      </c>
      <c r="I87" s="33">
        <f>IF($B87="","",SUMIFS(ORE!$F:$F,ORE!$E:$E,$B87,ORE!$A:$A,I$84))</f>
        <v>0</v>
      </c>
      <c r="J87" s="33">
        <f>IF($B87="","",SUMIFS(ORE!$F:$F,ORE!$E:$E,$B87,ORE!$A:$A,J$84))</f>
        <v>0</v>
      </c>
      <c r="K87" s="33">
        <f>IF($B87="","",SUMIFS(ORE!$F:$F,ORE!$E:$E,$B87,ORE!$A:$A,K$84))</f>
        <v>0</v>
      </c>
      <c r="L87" s="33">
        <f>IF($B87="","",SUMIFS(ORE!$F:$F,ORE!$E:$E,$B87,ORE!$A:$A,L$84))</f>
        <v>0</v>
      </c>
      <c r="M87" s="33">
        <f>IF($B87="","",SUMIFS(ORE!$F:$F,ORE!$E:$E,$B87,ORE!$A:$A,M$84))</f>
        <v>0</v>
      </c>
      <c r="N87" s="33">
        <f>IF($B87="","",SUMIFS(ORE!$F:$F,ORE!$E:$E,$B87,ORE!$A:$A,N$84))</f>
        <v>0</v>
      </c>
      <c r="O87" s="33">
        <f>IF($B87="","",SUMIFS(ORE!$F:$F,ORE!$E:$E,$B87,ORE!$A:$A,O$84))</f>
        <v>0</v>
      </c>
      <c r="P87" s="33">
        <f t="shared" si="0"/>
        <v>0</v>
      </c>
      <c r="Q87" s="35">
        <f t="shared" si="1"/>
        <v>0</v>
      </c>
    </row>
    <row r="88" spans="2:17" x14ac:dyDescent="0.3">
      <c r="B88" s="36" t="str">
        <f>IF(TEAM!$A5="","",TEAM!$A5)</f>
        <v>Giovanni Della Valle</v>
      </c>
      <c r="C88" s="33">
        <f>IF(TEAM!$A5="","",TEAM!$F5)</f>
        <v>1600</v>
      </c>
      <c r="D88" s="33">
        <f>IF($B88="","",SUMIFS(ORE!$F:$F,ORE!$E:$E,$B88,ORE!$A:$A,D$84))</f>
        <v>0</v>
      </c>
      <c r="E88" s="33">
        <f>IF($B88="","",SUMIFS(ORE!$F:$F,ORE!$E:$E,$B88,ORE!$A:$A,E$84))</f>
        <v>0</v>
      </c>
      <c r="F88" s="33">
        <f>IF($B88="","",SUMIFS(ORE!$F:$F,ORE!$E:$E,$B88,ORE!$A:$A,F$84))</f>
        <v>0</v>
      </c>
      <c r="G88" s="33">
        <f>IF($B88="","",SUMIFS(ORE!$F:$F,ORE!$E:$E,$B88,ORE!$A:$A,G$84))</f>
        <v>0</v>
      </c>
      <c r="H88" s="33">
        <f>IF($B88="","",SUMIFS(ORE!$F:$F,ORE!$E:$E,$B88,ORE!$A:$A,H$84))</f>
        <v>0</v>
      </c>
      <c r="I88" s="33">
        <f>IF($B88="","",SUMIFS(ORE!$F:$F,ORE!$E:$E,$B88,ORE!$A:$A,I$84))</f>
        <v>0</v>
      </c>
      <c r="J88" s="33">
        <f>IF($B88="","",SUMIFS(ORE!$F:$F,ORE!$E:$E,$B88,ORE!$A:$A,J$84))</f>
        <v>0</v>
      </c>
      <c r="K88" s="33">
        <f>IF($B88="","",SUMIFS(ORE!$F:$F,ORE!$E:$E,$B88,ORE!$A:$A,K$84))</f>
        <v>0</v>
      </c>
      <c r="L88" s="33">
        <f>IF($B88="","",SUMIFS(ORE!$F:$F,ORE!$E:$E,$B88,ORE!$A:$A,L$84))</f>
        <v>0</v>
      </c>
      <c r="M88" s="33">
        <f>IF($B88="","",SUMIFS(ORE!$F:$F,ORE!$E:$E,$B88,ORE!$A:$A,M$84))</f>
        <v>0</v>
      </c>
      <c r="N88" s="33">
        <f>IF($B88="","",SUMIFS(ORE!$F:$F,ORE!$E:$E,$B88,ORE!$A:$A,N$84))</f>
        <v>0</v>
      </c>
      <c r="O88" s="33">
        <f>IF($B88="","",SUMIFS(ORE!$F:$F,ORE!$E:$E,$B88,ORE!$A:$A,O$84))</f>
        <v>0</v>
      </c>
      <c r="P88" s="33">
        <f t="shared" si="0"/>
        <v>0</v>
      </c>
      <c r="Q88" s="35">
        <f t="shared" si="1"/>
        <v>0</v>
      </c>
    </row>
    <row r="89" spans="2:17" x14ac:dyDescent="0.3">
      <c r="B89" s="36" t="str">
        <f>IF(TEAM!$A6="","",TEAM!$A6)</f>
        <v/>
      </c>
      <c r="C89" s="33" t="str">
        <f>IF(TEAM!$A6="","",TEAM!$F6)</f>
        <v/>
      </c>
      <c r="D89" s="33" t="str">
        <f>IF($B89="","",SUMIFS(ORE!$F:$F,ORE!$E:$E,$B89,ORE!$A:$A,D$84))</f>
        <v/>
      </c>
      <c r="E89" s="33" t="str">
        <f>IF($B89="","",SUMIFS(ORE!$F:$F,ORE!$E:$E,$B89,ORE!$A:$A,E$84))</f>
        <v/>
      </c>
      <c r="F89" s="33" t="str">
        <f>IF($B89="","",SUMIFS(ORE!$F:$F,ORE!$E:$E,$B89,ORE!$A:$A,F$84))</f>
        <v/>
      </c>
      <c r="G89" s="33" t="str">
        <f>IF($B89="","",SUMIFS(ORE!$F:$F,ORE!$E:$E,$B89,ORE!$A:$A,G$84))</f>
        <v/>
      </c>
      <c r="H89" s="33" t="str">
        <f>IF($B89="","",SUMIFS(ORE!$F:$F,ORE!$E:$E,$B89,ORE!$A:$A,H$84))</f>
        <v/>
      </c>
      <c r="I89" s="33" t="str">
        <f>IF($B89="","",SUMIFS(ORE!$F:$F,ORE!$E:$E,$B89,ORE!$A:$A,I$84))</f>
        <v/>
      </c>
      <c r="J89" s="33" t="str">
        <f>IF($B89="","",SUMIFS(ORE!$F:$F,ORE!$E:$E,$B89,ORE!$A:$A,J$84))</f>
        <v/>
      </c>
      <c r="K89" s="33" t="str">
        <f>IF($B89="","",SUMIFS(ORE!$F:$F,ORE!$E:$E,$B89,ORE!$A:$A,K$84))</f>
        <v/>
      </c>
      <c r="L89" s="33" t="str">
        <f>IF($B89="","",SUMIFS(ORE!$F:$F,ORE!$E:$E,$B89,ORE!$A:$A,L$84))</f>
        <v/>
      </c>
      <c r="M89" s="33" t="str">
        <f>IF($B89="","",SUMIFS(ORE!$F:$F,ORE!$E:$E,$B89,ORE!$A:$A,M$84))</f>
        <v/>
      </c>
      <c r="N89" s="33" t="str">
        <f>IF($B89="","",SUMIFS(ORE!$F:$F,ORE!$E:$E,$B89,ORE!$A:$A,N$84))</f>
        <v/>
      </c>
      <c r="O89" s="33" t="str">
        <f>IF($B89="","",SUMIFS(ORE!$F:$F,ORE!$E:$E,$B89,ORE!$A:$A,O$84))</f>
        <v/>
      </c>
      <c r="P89" s="33" t="str">
        <f t="shared" si="0"/>
        <v/>
      </c>
      <c r="Q89" s="35" t="str">
        <f t="shared" si="1"/>
        <v/>
      </c>
    </row>
    <row r="90" spans="2:17" x14ac:dyDescent="0.3">
      <c r="B90" s="36" t="str">
        <f>IF(TEAM!$A7="","",TEAM!$A7)</f>
        <v/>
      </c>
      <c r="C90" s="33" t="str">
        <f>IF(TEAM!$A7="","",TEAM!$F7)</f>
        <v/>
      </c>
      <c r="D90" s="33" t="str">
        <f>IF($B90="","",SUMIFS(ORE!$F:$F,ORE!$E:$E,$B90,ORE!$A:$A,D$84))</f>
        <v/>
      </c>
      <c r="E90" s="33" t="str">
        <f>IF($B90="","",SUMIFS(ORE!$F:$F,ORE!$E:$E,$B90,ORE!$A:$A,E$84))</f>
        <v/>
      </c>
      <c r="F90" s="33" t="str">
        <f>IF($B90="","",SUMIFS(ORE!$F:$F,ORE!$E:$E,$B90,ORE!$A:$A,F$84))</f>
        <v/>
      </c>
      <c r="G90" s="33" t="str">
        <f>IF($B90="","",SUMIFS(ORE!$F:$F,ORE!$E:$E,$B90,ORE!$A:$A,G$84))</f>
        <v/>
      </c>
      <c r="H90" s="33" t="str">
        <f>IF($B90="","",SUMIFS(ORE!$F:$F,ORE!$E:$E,$B90,ORE!$A:$A,H$84))</f>
        <v/>
      </c>
      <c r="I90" s="33" t="str">
        <f>IF($B90="","",SUMIFS(ORE!$F:$F,ORE!$E:$E,$B90,ORE!$A:$A,I$84))</f>
        <v/>
      </c>
      <c r="J90" s="33" t="str">
        <f>IF($B90="","",SUMIFS(ORE!$F:$F,ORE!$E:$E,$B90,ORE!$A:$A,J$84))</f>
        <v/>
      </c>
      <c r="K90" s="33" t="str">
        <f>IF($B90="","",SUMIFS(ORE!$F:$F,ORE!$E:$E,$B90,ORE!$A:$A,K$84))</f>
        <v/>
      </c>
      <c r="L90" s="33" t="str">
        <f>IF($B90="","",SUMIFS(ORE!$F:$F,ORE!$E:$E,$B90,ORE!$A:$A,L$84))</f>
        <v/>
      </c>
      <c r="M90" s="33" t="str">
        <f>IF($B90="","",SUMIFS(ORE!$F:$F,ORE!$E:$E,$B90,ORE!$A:$A,M$84))</f>
        <v/>
      </c>
      <c r="N90" s="33" t="str">
        <f>IF($B90="","",SUMIFS(ORE!$F:$F,ORE!$E:$E,$B90,ORE!$A:$A,N$84))</f>
        <v/>
      </c>
      <c r="O90" s="33" t="str">
        <f>IF($B90="","",SUMIFS(ORE!$F:$F,ORE!$E:$E,$B90,ORE!$A:$A,O$84))</f>
        <v/>
      </c>
      <c r="P90" s="33" t="str">
        <f t="shared" si="0"/>
        <v/>
      </c>
      <c r="Q90" s="35" t="str">
        <f t="shared" si="1"/>
        <v/>
      </c>
    </row>
    <row r="91" spans="2:17" x14ac:dyDescent="0.3">
      <c r="B91" s="36" t="str">
        <f>IF(TEAM!$A8="","",TEAM!$A8)</f>
        <v/>
      </c>
      <c r="C91" s="33" t="str">
        <f>IF(TEAM!$A8="","",TEAM!$F8)</f>
        <v/>
      </c>
      <c r="D91" s="33" t="str">
        <f>IF($B91="","",SUMIFS(ORE!$F:$F,ORE!$E:$E,$B91,ORE!$A:$A,D$84))</f>
        <v/>
      </c>
      <c r="E91" s="33" t="str">
        <f>IF($B91="","",SUMIFS(ORE!$F:$F,ORE!$E:$E,$B91,ORE!$A:$A,E$84))</f>
        <v/>
      </c>
      <c r="F91" s="33" t="str">
        <f>IF($B91="","",SUMIFS(ORE!$F:$F,ORE!$E:$E,$B91,ORE!$A:$A,F$84))</f>
        <v/>
      </c>
      <c r="G91" s="33" t="str">
        <f>IF($B91="","",SUMIFS(ORE!$F:$F,ORE!$E:$E,$B91,ORE!$A:$A,G$84))</f>
        <v/>
      </c>
      <c r="H91" s="33" t="str">
        <f>IF($B91="","",SUMIFS(ORE!$F:$F,ORE!$E:$E,$B91,ORE!$A:$A,H$84))</f>
        <v/>
      </c>
      <c r="I91" s="33" t="str">
        <f>IF($B91="","",SUMIFS(ORE!$F:$F,ORE!$E:$E,$B91,ORE!$A:$A,I$84))</f>
        <v/>
      </c>
      <c r="J91" s="33" t="str">
        <f>IF($B91="","",SUMIFS(ORE!$F:$F,ORE!$E:$E,$B91,ORE!$A:$A,J$84))</f>
        <v/>
      </c>
      <c r="K91" s="33" t="str">
        <f>IF($B91="","",SUMIFS(ORE!$F:$F,ORE!$E:$E,$B91,ORE!$A:$A,K$84))</f>
        <v/>
      </c>
      <c r="L91" s="33" t="str">
        <f>IF($B91="","",SUMIFS(ORE!$F:$F,ORE!$E:$E,$B91,ORE!$A:$A,L$84))</f>
        <v/>
      </c>
      <c r="M91" s="33" t="str">
        <f>IF($B91="","",SUMIFS(ORE!$F:$F,ORE!$E:$E,$B91,ORE!$A:$A,M$84))</f>
        <v/>
      </c>
      <c r="N91" s="33" t="str">
        <f>IF($B91="","",SUMIFS(ORE!$F:$F,ORE!$E:$E,$B91,ORE!$A:$A,N$84))</f>
        <v/>
      </c>
      <c r="O91" s="33" t="str">
        <f>IF($B91="","",SUMIFS(ORE!$F:$F,ORE!$E:$E,$B91,ORE!$A:$A,O$84))</f>
        <v/>
      </c>
      <c r="P91" s="33" t="str">
        <f t="shared" si="0"/>
        <v/>
      </c>
      <c r="Q91" s="35" t="str">
        <f t="shared" si="1"/>
        <v/>
      </c>
    </row>
    <row r="92" spans="2:17" x14ac:dyDescent="0.3">
      <c r="B92" s="36" t="str">
        <f>IF(TEAM!$A9="","",TEAM!$A9)</f>
        <v/>
      </c>
      <c r="C92" s="33" t="str">
        <f>IF(TEAM!$A9="","",TEAM!$F9)</f>
        <v/>
      </c>
      <c r="D92" s="33" t="str">
        <f>IF($B92="","",SUMIFS(ORE!$F:$F,ORE!$E:$E,$B92,ORE!$A:$A,D$84))</f>
        <v/>
      </c>
      <c r="E92" s="33" t="str">
        <f>IF($B92="","",SUMIFS(ORE!$F:$F,ORE!$E:$E,$B92,ORE!$A:$A,E$84))</f>
        <v/>
      </c>
      <c r="F92" s="33" t="str">
        <f>IF($B92="","",SUMIFS(ORE!$F:$F,ORE!$E:$E,$B92,ORE!$A:$A,F$84))</f>
        <v/>
      </c>
      <c r="G92" s="33" t="str">
        <f>IF($B92="","",SUMIFS(ORE!$F:$F,ORE!$E:$E,$B92,ORE!$A:$A,G$84))</f>
        <v/>
      </c>
      <c r="H92" s="33" t="str">
        <f>IF($B92="","",SUMIFS(ORE!$F:$F,ORE!$E:$E,$B92,ORE!$A:$A,H$84))</f>
        <v/>
      </c>
      <c r="I92" s="33" t="str">
        <f>IF($B92="","",SUMIFS(ORE!$F:$F,ORE!$E:$E,$B92,ORE!$A:$A,I$84))</f>
        <v/>
      </c>
      <c r="J92" s="33" t="str">
        <f>IF($B92="","",SUMIFS(ORE!$F:$F,ORE!$E:$E,$B92,ORE!$A:$A,J$84))</f>
        <v/>
      </c>
      <c r="K92" s="33" t="str">
        <f>IF($B92="","",SUMIFS(ORE!$F:$F,ORE!$E:$E,$B92,ORE!$A:$A,K$84))</f>
        <v/>
      </c>
      <c r="L92" s="33" t="str">
        <f>IF($B92="","",SUMIFS(ORE!$F:$F,ORE!$E:$E,$B92,ORE!$A:$A,L$84))</f>
        <v/>
      </c>
      <c r="M92" s="33" t="str">
        <f>IF($B92="","",SUMIFS(ORE!$F:$F,ORE!$E:$E,$B92,ORE!$A:$A,M$84))</f>
        <v/>
      </c>
      <c r="N92" s="33" t="str">
        <f>IF($B92="","",SUMIFS(ORE!$F:$F,ORE!$E:$E,$B92,ORE!$A:$A,N$84))</f>
        <v/>
      </c>
      <c r="O92" s="33" t="str">
        <f>IF($B92="","",SUMIFS(ORE!$F:$F,ORE!$E:$E,$B92,ORE!$A:$A,O$84))</f>
        <v/>
      </c>
      <c r="P92" s="33" t="str">
        <f t="shared" si="0"/>
        <v/>
      </c>
      <c r="Q92" s="35" t="str">
        <f t="shared" si="1"/>
        <v/>
      </c>
    </row>
    <row r="93" spans="2:17" x14ac:dyDescent="0.3">
      <c r="B93" s="36" t="str">
        <f>IF(TEAM!$A10="","",TEAM!$A10)</f>
        <v/>
      </c>
      <c r="C93" s="33" t="str">
        <f>IF(TEAM!$A10="","",TEAM!$F10)</f>
        <v/>
      </c>
      <c r="D93" s="33" t="str">
        <f>IF($B93="","",SUMIFS(ORE!$F:$F,ORE!$E:$E,$B93,ORE!$A:$A,D$84))</f>
        <v/>
      </c>
      <c r="E93" s="33" t="str">
        <f>IF($B93="","",SUMIFS(ORE!$F:$F,ORE!$E:$E,$B93,ORE!$A:$A,E$84))</f>
        <v/>
      </c>
      <c r="F93" s="33" t="str">
        <f>IF($B93="","",SUMIFS(ORE!$F:$F,ORE!$E:$E,$B93,ORE!$A:$A,F$84))</f>
        <v/>
      </c>
      <c r="G93" s="33" t="str">
        <f>IF($B93="","",SUMIFS(ORE!$F:$F,ORE!$E:$E,$B93,ORE!$A:$A,G$84))</f>
        <v/>
      </c>
      <c r="H93" s="33" t="str">
        <f>IF($B93="","",SUMIFS(ORE!$F:$F,ORE!$E:$E,$B93,ORE!$A:$A,H$84))</f>
        <v/>
      </c>
      <c r="I93" s="33" t="str">
        <f>IF($B93="","",SUMIFS(ORE!$F:$F,ORE!$E:$E,$B93,ORE!$A:$A,I$84))</f>
        <v/>
      </c>
      <c r="J93" s="33" t="str">
        <f>IF($B93="","",SUMIFS(ORE!$F:$F,ORE!$E:$E,$B93,ORE!$A:$A,J$84))</f>
        <v/>
      </c>
      <c r="K93" s="33" t="str">
        <f>IF($B93="","",SUMIFS(ORE!$F:$F,ORE!$E:$E,$B93,ORE!$A:$A,K$84))</f>
        <v/>
      </c>
      <c r="L93" s="33" t="str">
        <f>IF($B93="","",SUMIFS(ORE!$F:$F,ORE!$E:$E,$B93,ORE!$A:$A,L$84))</f>
        <v/>
      </c>
      <c r="M93" s="33" t="str">
        <f>IF($B93="","",SUMIFS(ORE!$F:$F,ORE!$E:$E,$B93,ORE!$A:$A,M$84))</f>
        <v/>
      </c>
      <c r="N93" s="33" t="str">
        <f>IF($B93="","",SUMIFS(ORE!$F:$F,ORE!$E:$E,$B93,ORE!$A:$A,N$84))</f>
        <v/>
      </c>
      <c r="O93" s="33" t="str">
        <f>IF($B93="","",SUMIFS(ORE!$F:$F,ORE!$E:$E,$B93,ORE!$A:$A,O$84))</f>
        <v/>
      </c>
      <c r="P93" s="33" t="str">
        <f t="shared" si="0"/>
        <v/>
      </c>
      <c r="Q93" s="35" t="str">
        <f t="shared" si="1"/>
        <v/>
      </c>
    </row>
    <row r="94" spans="2:17" x14ac:dyDescent="0.3">
      <c r="B94" s="36" t="str">
        <f>IF(TEAM!$A11="","",TEAM!$A11)</f>
        <v/>
      </c>
      <c r="C94" s="33" t="str">
        <f>IF(TEAM!$A11="","",TEAM!$F11)</f>
        <v/>
      </c>
      <c r="D94" s="33" t="str">
        <f>IF($B94="","",SUMIFS(ORE!$F:$F,ORE!$E:$E,$B94,ORE!$A:$A,D$84))</f>
        <v/>
      </c>
      <c r="E94" s="33" t="str">
        <f>IF($B94="","",SUMIFS(ORE!$F:$F,ORE!$E:$E,$B94,ORE!$A:$A,E$84))</f>
        <v/>
      </c>
      <c r="F94" s="33" t="str">
        <f>IF($B94="","",SUMIFS(ORE!$F:$F,ORE!$E:$E,$B94,ORE!$A:$A,F$84))</f>
        <v/>
      </c>
      <c r="G94" s="33" t="str">
        <f>IF($B94="","",SUMIFS(ORE!$F:$F,ORE!$E:$E,$B94,ORE!$A:$A,G$84))</f>
        <v/>
      </c>
      <c r="H94" s="33" t="str">
        <f>IF($B94="","",SUMIFS(ORE!$F:$F,ORE!$E:$E,$B94,ORE!$A:$A,H$84))</f>
        <v/>
      </c>
      <c r="I94" s="33" t="str">
        <f>IF($B94="","",SUMIFS(ORE!$F:$F,ORE!$E:$E,$B94,ORE!$A:$A,I$84))</f>
        <v/>
      </c>
      <c r="J94" s="33" t="str">
        <f>IF($B94="","",SUMIFS(ORE!$F:$F,ORE!$E:$E,$B94,ORE!$A:$A,J$84))</f>
        <v/>
      </c>
      <c r="K94" s="33" t="str">
        <f>IF($B94="","",SUMIFS(ORE!$F:$F,ORE!$E:$E,$B94,ORE!$A:$A,K$84))</f>
        <v/>
      </c>
      <c r="L94" s="33" t="str">
        <f>IF($B94="","",SUMIFS(ORE!$F:$F,ORE!$E:$E,$B94,ORE!$A:$A,L$84))</f>
        <v/>
      </c>
      <c r="M94" s="33" t="str">
        <f>IF($B94="","",SUMIFS(ORE!$F:$F,ORE!$E:$E,$B94,ORE!$A:$A,M$84))</f>
        <v/>
      </c>
      <c r="N94" s="33" t="str">
        <f>IF($B94="","",SUMIFS(ORE!$F:$F,ORE!$E:$E,$B94,ORE!$A:$A,N$84))</f>
        <v/>
      </c>
      <c r="O94" s="33" t="str">
        <f>IF($B94="","",SUMIFS(ORE!$F:$F,ORE!$E:$E,$B94,ORE!$A:$A,O$84))</f>
        <v/>
      </c>
      <c r="P94" s="33" t="str">
        <f t="shared" si="0"/>
        <v/>
      </c>
      <c r="Q94" s="35" t="str">
        <f t="shared" si="1"/>
        <v/>
      </c>
    </row>
    <row r="95" spans="2:17" x14ac:dyDescent="0.3">
      <c r="B95" s="36" t="str">
        <f>IF(TEAM!$A12="","",TEAM!$A12)</f>
        <v/>
      </c>
      <c r="C95" s="33" t="str">
        <f>IF(TEAM!$A12="","",TEAM!$F12)</f>
        <v/>
      </c>
      <c r="D95" s="33" t="str">
        <f>IF($B95="","",SUMIFS(ORE!$F:$F,ORE!$E:$E,$B95,ORE!$A:$A,D$84))</f>
        <v/>
      </c>
      <c r="E95" s="33" t="str">
        <f>IF($B95="","",SUMIFS(ORE!$F:$F,ORE!$E:$E,$B95,ORE!$A:$A,E$84))</f>
        <v/>
      </c>
      <c r="F95" s="33" t="str">
        <f>IF($B95="","",SUMIFS(ORE!$F:$F,ORE!$E:$E,$B95,ORE!$A:$A,F$84))</f>
        <v/>
      </c>
      <c r="G95" s="33" t="str">
        <f>IF($B95="","",SUMIFS(ORE!$F:$F,ORE!$E:$E,$B95,ORE!$A:$A,G$84))</f>
        <v/>
      </c>
      <c r="H95" s="33" t="str">
        <f>IF($B95="","",SUMIFS(ORE!$F:$F,ORE!$E:$E,$B95,ORE!$A:$A,H$84))</f>
        <v/>
      </c>
      <c r="I95" s="33" t="str">
        <f>IF($B95="","",SUMIFS(ORE!$F:$F,ORE!$E:$E,$B95,ORE!$A:$A,I$84))</f>
        <v/>
      </c>
      <c r="J95" s="33" t="str">
        <f>IF($B95="","",SUMIFS(ORE!$F:$F,ORE!$E:$E,$B95,ORE!$A:$A,J$84))</f>
        <v/>
      </c>
      <c r="K95" s="33" t="str">
        <f>IF($B95="","",SUMIFS(ORE!$F:$F,ORE!$E:$E,$B95,ORE!$A:$A,K$84))</f>
        <v/>
      </c>
      <c r="L95" s="33" t="str">
        <f>IF($B95="","",SUMIFS(ORE!$F:$F,ORE!$E:$E,$B95,ORE!$A:$A,L$84))</f>
        <v/>
      </c>
      <c r="M95" s="33" t="str">
        <f>IF($B95="","",SUMIFS(ORE!$F:$F,ORE!$E:$E,$B95,ORE!$A:$A,M$84))</f>
        <v/>
      </c>
      <c r="N95" s="33" t="str">
        <f>IF($B95="","",SUMIFS(ORE!$F:$F,ORE!$E:$E,$B95,ORE!$A:$A,N$84))</f>
        <v/>
      </c>
      <c r="O95" s="33" t="str">
        <f>IF($B95="","",SUMIFS(ORE!$F:$F,ORE!$E:$E,$B95,ORE!$A:$A,O$84))</f>
        <v/>
      </c>
      <c r="P95" s="33" t="str">
        <f t="shared" si="0"/>
        <v/>
      </c>
      <c r="Q95" s="35" t="str">
        <f t="shared" si="1"/>
        <v/>
      </c>
    </row>
    <row r="96" spans="2:17" x14ac:dyDescent="0.3">
      <c r="B96" s="36" t="str">
        <f>IF(TEAM!$A13="","",TEAM!$A13)</f>
        <v/>
      </c>
      <c r="C96" s="33" t="str">
        <f>IF(TEAM!$A13="","",TEAM!$F13)</f>
        <v/>
      </c>
      <c r="D96" s="33" t="str">
        <f>IF($B96="","",SUMIFS(ORE!$F:$F,ORE!$E:$E,$B96,ORE!$A:$A,D$84))</f>
        <v/>
      </c>
      <c r="E96" s="33" t="str">
        <f>IF($B96="","",SUMIFS(ORE!$F:$F,ORE!$E:$E,$B96,ORE!$A:$A,E$84))</f>
        <v/>
      </c>
      <c r="F96" s="33" t="str">
        <f>IF($B96="","",SUMIFS(ORE!$F:$F,ORE!$E:$E,$B96,ORE!$A:$A,F$84))</f>
        <v/>
      </c>
      <c r="G96" s="33" t="str">
        <f>IF($B96="","",SUMIFS(ORE!$F:$F,ORE!$E:$E,$B96,ORE!$A:$A,G$84))</f>
        <v/>
      </c>
      <c r="H96" s="33" t="str">
        <f>IF($B96="","",SUMIFS(ORE!$F:$F,ORE!$E:$E,$B96,ORE!$A:$A,H$84))</f>
        <v/>
      </c>
      <c r="I96" s="33" t="str">
        <f>IF($B96="","",SUMIFS(ORE!$F:$F,ORE!$E:$E,$B96,ORE!$A:$A,I$84))</f>
        <v/>
      </c>
      <c r="J96" s="33" t="str">
        <f>IF($B96="","",SUMIFS(ORE!$F:$F,ORE!$E:$E,$B96,ORE!$A:$A,J$84))</f>
        <v/>
      </c>
      <c r="K96" s="33" t="str">
        <f>IF($B96="","",SUMIFS(ORE!$F:$F,ORE!$E:$E,$B96,ORE!$A:$A,K$84))</f>
        <v/>
      </c>
      <c r="L96" s="33" t="str">
        <f>IF($B96="","",SUMIFS(ORE!$F:$F,ORE!$E:$E,$B96,ORE!$A:$A,L$84))</f>
        <v/>
      </c>
      <c r="M96" s="33" t="str">
        <f>IF($B96="","",SUMIFS(ORE!$F:$F,ORE!$E:$E,$B96,ORE!$A:$A,M$84))</f>
        <v/>
      </c>
      <c r="N96" s="33" t="str">
        <f>IF($B96="","",SUMIFS(ORE!$F:$F,ORE!$E:$E,$B96,ORE!$A:$A,N$84))</f>
        <v/>
      </c>
      <c r="O96" s="33" t="str">
        <f>IF($B96="","",SUMIFS(ORE!$F:$F,ORE!$E:$E,$B96,ORE!$A:$A,O$84))</f>
        <v/>
      </c>
      <c r="P96" s="33" t="str">
        <f t="shared" si="0"/>
        <v/>
      </c>
      <c r="Q96" s="35" t="str">
        <f t="shared" si="1"/>
        <v/>
      </c>
    </row>
    <row r="97" spans="2:17" x14ac:dyDescent="0.3">
      <c r="B97" s="36" t="str">
        <f>IF(TEAM!$A14="","",TEAM!$A14)</f>
        <v/>
      </c>
      <c r="C97" s="33" t="str">
        <f>IF(TEAM!$A14="","",TEAM!$F14)</f>
        <v/>
      </c>
      <c r="D97" s="33" t="str">
        <f>IF($B97="","",SUMIFS(ORE!$F:$F,ORE!$E:$E,$B97,ORE!$A:$A,D$84))</f>
        <v/>
      </c>
      <c r="E97" s="33" t="str">
        <f>IF($B97="","",SUMIFS(ORE!$F:$F,ORE!$E:$E,$B97,ORE!$A:$A,E$84))</f>
        <v/>
      </c>
      <c r="F97" s="33" t="str">
        <f>IF($B97="","",SUMIFS(ORE!$F:$F,ORE!$E:$E,$B97,ORE!$A:$A,F$84))</f>
        <v/>
      </c>
      <c r="G97" s="33" t="str">
        <f>IF($B97="","",SUMIFS(ORE!$F:$F,ORE!$E:$E,$B97,ORE!$A:$A,G$84))</f>
        <v/>
      </c>
      <c r="H97" s="33" t="str">
        <f>IF($B97="","",SUMIFS(ORE!$F:$F,ORE!$E:$E,$B97,ORE!$A:$A,H$84))</f>
        <v/>
      </c>
      <c r="I97" s="33" t="str">
        <f>IF($B97="","",SUMIFS(ORE!$F:$F,ORE!$E:$E,$B97,ORE!$A:$A,I$84))</f>
        <v/>
      </c>
      <c r="J97" s="33" t="str">
        <f>IF($B97="","",SUMIFS(ORE!$F:$F,ORE!$E:$E,$B97,ORE!$A:$A,J$84))</f>
        <v/>
      </c>
      <c r="K97" s="33" t="str">
        <f>IF($B97="","",SUMIFS(ORE!$F:$F,ORE!$E:$E,$B97,ORE!$A:$A,K$84))</f>
        <v/>
      </c>
      <c r="L97" s="33" t="str">
        <f>IF($B97="","",SUMIFS(ORE!$F:$F,ORE!$E:$E,$B97,ORE!$A:$A,L$84))</f>
        <v/>
      </c>
      <c r="M97" s="33" t="str">
        <f>IF($B97="","",SUMIFS(ORE!$F:$F,ORE!$E:$E,$B97,ORE!$A:$A,M$84))</f>
        <v/>
      </c>
      <c r="N97" s="33" t="str">
        <f>IF($B97="","",SUMIFS(ORE!$F:$F,ORE!$E:$E,$B97,ORE!$A:$A,N$84))</f>
        <v/>
      </c>
      <c r="O97" s="33" t="str">
        <f>IF($B97="","",SUMIFS(ORE!$F:$F,ORE!$E:$E,$B97,ORE!$A:$A,O$84))</f>
        <v/>
      </c>
      <c r="P97" s="33" t="str">
        <f t="shared" si="0"/>
        <v/>
      </c>
      <c r="Q97" s="35" t="str">
        <f t="shared" si="1"/>
        <v/>
      </c>
    </row>
    <row r="98" spans="2:17" x14ac:dyDescent="0.3">
      <c r="B98" s="36" t="str">
        <f>IF(TEAM!$A15="","",TEAM!$A15)</f>
        <v/>
      </c>
      <c r="C98" s="33" t="str">
        <f>IF(TEAM!$A15="","",TEAM!$F15)</f>
        <v/>
      </c>
      <c r="D98" s="33" t="str">
        <f>IF($B98="","",SUMIFS(ORE!$F:$F,ORE!$E:$E,$B98,ORE!$A:$A,D$84))</f>
        <v/>
      </c>
      <c r="E98" s="33" t="str">
        <f>IF($B98="","",SUMIFS(ORE!$F:$F,ORE!$E:$E,$B98,ORE!$A:$A,E$84))</f>
        <v/>
      </c>
      <c r="F98" s="33" t="str">
        <f>IF($B98="","",SUMIFS(ORE!$F:$F,ORE!$E:$E,$B98,ORE!$A:$A,F$84))</f>
        <v/>
      </c>
      <c r="G98" s="33" t="str">
        <f>IF($B98="","",SUMIFS(ORE!$F:$F,ORE!$E:$E,$B98,ORE!$A:$A,G$84))</f>
        <v/>
      </c>
      <c r="H98" s="33" t="str">
        <f>IF($B98="","",SUMIFS(ORE!$F:$F,ORE!$E:$E,$B98,ORE!$A:$A,H$84))</f>
        <v/>
      </c>
      <c r="I98" s="33" t="str">
        <f>IF($B98="","",SUMIFS(ORE!$F:$F,ORE!$E:$E,$B98,ORE!$A:$A,I$84))</f>
        <v/>
      </c>
      <c r="J98" s="33" t="str">
        <f>IF($B98="","",SUMIFS(ORE!$F:$F,ORE!$E:$E,$B98,ORE!$A:$A,J$84))</f>
        <v/>
      </c>
      <c r="K98" s="33" t="str">
        <f>IF($B98="","",SUMIFS(ORE!$F:$F,ORE!$E:$E,$B98,ORE!$A:$A,K$84))</f>
        <v/>
      </c>
      <c r="L98" s="33" t="str">
        <f>IF($B98="","",SUMIFS(ORE!$F:$F,ORE!$E:$E,$B98,ORE!$A:$A,L$84))</f>
        <v/>
      </c>
      <c r="M98" s="33" t="str">
        <f>IF($B98="","",SUMIFS(ORE!$F:$F,ORE!$E:$E,$B98,ORE!$A:$A,M$84))</f>
        <v/>
      </c>
      <c r="N98" s="33" t="str">
        <f>IF($B98="","",SUMIFS(ORE!$F:$F,ORE!$E:$E,$B98,ORE!$A:$A,N$84))</f>
        <v/>
      </c>
      <c r="O98" s="33" t="str">
        <f>IF($B98="","",SUMIFS(ORE!$F:$F,ORE!$E:$E,$B98,ORE!$A:$A,O$84))</f>
        <v/>
      </c>
      <c r="P98" s="33" t="str">
        <f t="shared" si="0"/>
        <v/>
      </c>
      <c r="Q98" s="35" t="str">
        <f t="shared" si="1"/>
        <v/>
      </c>
    </row>
    <row r="99" spans="2:17" x14ac:dyDescent="0.3">
      <c r="B99" s="36" t="str">
        <f>IF(TEAM!$A16="","",TEAM!$A16)</f>
        <v/>
      </c>
      <c r="C99" s="33" t="str">
        <f>IF(TEAM!$A16="","",TEAM!$F16)</f>
        <v/>
      </c>
      <c r="D99" s="33" t="str">
        <f>IF($B99="","",SUMIFS(ORE!$F:$F,ORE!$E:$E,$B99,ORE!$A:$A,D$84))</f>
        <v/>
      </c>
      <c r="E99" s="33" t="str">
        <f>IF($B99="","",SUMIFS(ORE!$F:$F,ORE!$E:$E,$B99,ORE!$A:$A,E$84))</f>
        <v/>
      </c>
      <c r="F99" s="33" t="str">
        <f>IF($B99="","",SUMIFS(ORE!$F:$F,ORE!$E:$E,$B99,ORE!$A:$A,F$84))</f>
        <v/>
      </c>
      <c r="G99" s="33" t="str">
        <f>IF($B99="","",SUMIFS(ORE!$F:$F,ORE!$E:$E,$B99,ORE!$A:$A,G$84))</f>
        <v/>
      </c>
      <c r="H99" s="33" t="str">
        <f>IF($B99="","",SUMIFS(ORE!$F:$F,ORE!$E:$E,$B99,ORE!$A:$A,H$84))</f>
        <v/>
      </c>
      <c r="I99" s="33" t="str">
        <f>IF($B99="","",SUMIFS(ORE!$F:$F,ORE!$E:$E,$B99,ORE!$A:$A,I$84))</f>
        <v/>
      </c>
      <c r="J99" s="33" t="str">
        <f>IF($B99="","",SUMIFS(ORE!$F:$F,ORE!$E:$E,$B99,ORE!$A:$A,J$84))</f>
        <v/>
      </c>
      <c r="K99" s="33" t="str">
        <f>IF($B99="","",SUMIFS(ORE!$F:$F,ORE!$E:$E,$B99,ORE!$A:$A,K$84))</f>
        <v/>
      </c>
      <c r="L99" s="33" t="str">
        <f>IF($B99="","",SUMIFS(ORE!$F:$F,ORE!$E:$E,$B99,ORE!$A:$A,L$84))</f>
        <v/>
      </c>
      <c r="M99" s="33" t="str">
        <f>IF($B99="","",SUMIFS(ORE!$F:$F,ORE!$E:$E,$B99,ORE!$A:$A,M$84))</f>
        <v/>
      </c>
      <c r="N99" s="33" t="str">
        <f>IF($B99="","",SUMIFS(ORE!$F:$F,ORE!$E:$E,$B99,ORE!$A:$A,N$84))</f>
        <v/>
      </c>
      <c r="O99" s="33" t="str">
        <f>IF($B99="","",SUMIFS(ORE!$F:$F,ORE!$E:$E,$B99,ORE!$A:$A,O$84))</f>
        <v/>
      </c>
      <c r="P99" s="33" t="str">
        <f t="shared" si="0"/>
        <v/>
      </c>
      <c r="Q99" s="35" t="str">
        <f t="shared" si="1"/>
        <v/>
      </c>
    </row>
    <row r="100" spans="2:17" x14ac:dyDescent="0.3">
      <c r="B100" s="36" t="str">
        <f>IF(TEAM!$A17="","",TEAM!$A17)</f>
        <v/>
      </c>
      <c r="C100" s="33" t="str">
        <f>IF(TEAM!$A17="","",TEAM!$F17)</f>
        <v/>
      </c>
      <c r="D100" s="33" t="str">
        <f>IF($B100="","",SUMIFS(ORE!$F:$F,ORE!$E:$E,$B100,ORE!$A:$A,D$84))</f>
        <v/>
      </c>
      <c r="E100" s="33" t="str">
        <f>IF($B100="","",SUMIFS(ORE!$F:$F,ORE!$E:$E,$B100,ORE!$A:$A,E$84))</f>
        <v/>
      </c>
      <c r="F100" s="33" t="str">
        <f>IF($B100="","",SUMIFS(ORE!$F:$F,ORE!$E:$E,$B100,ORE!$A:$A,F$84))</f>
        <v/>
      </c>
      <c r="G100" s="33" t="str">
        <f>IF($B100="","",SUMIFS(ORE!$F:$F,ORE!$E:$E,$B100,ORE!$A:$A,G$84))</f>
        <v/>
      </c>
      <c r="H100" s="33" t="str">
        <f>IF($B100="","",SUMIFS(ORE!$F:$F,ORE!$E:$E,$B100,ORE!$A:$A,H$84))</f>
        <v/>
      </c>
      <c r="I100" s="33" t="str">
        <f>IF($B100="","",SUMIFS(ORE!$F:$F,ORE!$E:$E,$B100,ORE!$A:$A,I$84))</f>
        <v/>
      </c>
      <c r="J100" s="33" t="str">
        <f>IF($B100="","",SUMIFS(ORE!$F:$F,ORE!$E:$E,$B100,ORE!$A:$A,J$84))</f>
        <v/>
      </c>
      <c r="K100" s="33" t="str">
        <f>IF($B100="","",SUMIFS(ORE!$F:$F,ORE!$E:$E,$B100,ORE!$A:$A,K$84))</f>
        <v/>
      </c>
      <c r="L100" s="33" t="str">
        <f>IF($B100="","",SUMIFS(ORE!$F:$F,ORE!$E:$E,$B100,ORE!$A:$A,L$84))</f>
        <v/>
      </c>
      <c r="M100" s="33" t="str">
        <f>IF($B100="","",SUMIFS(ORE!$F:$F,ORE!$E:$E,$B100,ORE!$A:$A,M$84))</f>
        <v/>
      </c>
      <c r="N100" s="33" t="str">
        <f>IF($B100="","",SUMIFS(ORE!$F:$F,ORE!$E:$E,$B100,ORE!$A:$A,N$84))</f>
        <v/>
      </c>
      <c r="O100" s="33" t="str">
        <f>IF($B100="","",SUMIFS(ORE!$F:$F,ORE!$E:$E,$B100,ORE!$A:$A,O$84))</f>
        <v/>
      </c>
      <c r="P100" s="33" t="str">
        <f t="shared" si="0"/>
        <v/>
      </c>
      <c r="Q100" s="35" t="str">
        <f t="shared" si="1"/>
        <v/>
      </c>
    </row>
    <row r="101" spans="2:17" x14ac:dyDescent="0.3">
      <c r="B101" s="36" t="str">
        <f>IF(TEAM!$A18="","",TEAM!$A18)</f>
        <v/>
      </c>
      <c r="C101" s="33" t="str">
        <f>IF(TEAM!$A18="","",TEAM!$F18)</f>
        <v/>
      </c>
      <c r="D101" s="33" t="str">
        <f>IF($B101="","",SUMIFS(ORE!$F:$F,ORE!$E:$E,$B101,ORE!$A:$A,D$84))</f>
        <v/>
      </c>
      <c r="E101" s="33" t="str">
        <f>IF($B101="","",SUMIFS(ORE!$F:$F,ORE!$E:$E,$B101,ORE!$A:$A,E$84))</f>
        <v/>
      </c>
      <c r="F101" s="33" t="str">
        <f>IF($B101="","",SUMIFS(ORE!$F:$F,ORE!$E:$E,$B101,ORE!$A:$A,F$84))</f>
        <v/>
      </c>
      <c r="G101" s="33" t="str">
        <f>IF($B101="","",SUMIFS(ORE!$F:$F,ORE!$E:$E,$B101,ORE!$A:$A,G$84))</f>
        <v/>
      </c>
      <c r="H101" s="33" t="str">
        <f>IF($B101="","",SUMIFS(ORE!$F:$F,ORE!$E:$E,$B101,ORE!$A:$A,H$84))</f>
        <v/>
      </c>
      <c r="I101" s="33" t="str">
        <f>IF($B101="","",SUMIFS(ORE!$F:$F,ORE!$E:$E,$B101,ORE!$A:$A,I$84))</f>
        <v/>
      </c>
      <c r="J101" s="33" t="str">
        <f>IF($B101="","",SUMIFS(ORE!$F:$F,ORE!$E:$E,$B101,ORE!$A:$A,J$84))</f>
        <v/>
      </c>
      <c r="K101" s="33" t="str">
        <f>IF($B101="","",SUMIFS(ORE!$F:$F,ORE!$E:$E,$B101,ORE!$A:$A,K$84))</f>
        <v/>
      </c>
      <c r="L101" s="33" t="str">
        <f>IF($B101="","",SUMIFS(ORE!$F:$F,ORE!$E:$E,$B101,ORE!$A:$A,L$84))</f>
        <v/>
      </c>
      <c r="M101" s="33" t="str">
        <f>IF($B101="","",SUMIFS(ORE!$F:$F,ORE!$E:$E,$B101,ORE!$A:$A,M$84))</f>
        <v/>
      </c>
      <c r="N101" s="33" t="str">
        <f>IF($B101="","",SUMIFS(ORE!$F:$F,ORE!$E:$E,$B101,ORE!$A:$A,N$84))</f>
        <v/>
      </c>
      <c r="O101" s="33" t="str">
        <f>IF($B101="","",SUMIFS(ORE!$F:$F,ORE!$E:$E,$B101,ORE!$A:$A,O$84))</f>
        <v/>
      </c>
      <c r="P101" s="33" t="str">
        <f t="shared" si="0"/>
        <v/>
      </c>
      <c r="Q101" s="35" t="str">
        <f t="shared" si="1"/>
        <v/>
      </c>
    </row>
    <row r="102" spans="2:17" x14ac:dyDescent="0.3">
      <c r="B102" s="36" t="str">
        <f>IF(TEAM!$A19="","",TEAM!$A19)</f>
        <v/>
      </c>
      <c r="C102" s="33" t="str">
        <f>IF(TEAM!$A19="","",TEAM!$F19)</f>
        <v/>
      </c>
      <c r="D102" s="33" t="str">
        <f>IF($B102="","",SUMIFS(ORE!$F:$F,ORE!$E:$E,$B102,ORE!$A:$A,D$84))</f>
        <v/>
      </c>
      <c r="E102" s="33" t="str">
        <f>IF($B102="","",SUMIFS(ORE!$F:$F,ORE!$E:$E,$B102,ORE!$A:$A,E$84))</f>
        <v/>
      </c>
      <c r="F102" s="33" t="str">
        <f>IF($B102="","",SUMIFS(ORE!$F:$F,ORE!$E:$E,$B102,ORE!$A:$A,F$84))</f>
        <v/>
      </c>
      <c r="G102" s="33" t="str">
        <f>IF($B102="","",SUMIFS(ORE!$F:$F,ORE!$E:$E,$B102,ORE!$A:$A,G$84))</f>
        <v/>
      </c>
      <c r="H102" s="33" t="str">
        <f>IF($B102="","",SUMIFS(ORE!$F:$F,ORE!$E:$E,$B102,ORE!$A:$A,H$84))</f>
        <v/>
      </c>
      <c r="I102" s="33" t="str">
        <f>IF($B102="","",SUMIFS(ORE!$F:$F,ORE!$E:$E,$B102,ORE!$A:$A,I$84))</f>
        <v/>
      </c>
      <c r="J102" s="33" t="str">
        <f>IF($B102="","",SUMIFS(ORE!$F:$F,ORE!$E:$E,$B102,ORE!$A:$A,J$84))</f>
        <v/>
      </c>
      <c r="K102" s="33" t="str">
        <f>IF($B102="","",SUMIFS(ORE!$F:$F,ORE!$E:$E,$B102,ORE!$A:$A,K$84))</f>
        <v/>
      </c>
      <c r="L102" s="33" t="str">
        <f>IF($B102="","",SUMIFS(ORE!$F:$F,ORE!$E:$E,$B102,ORE!$A:$A,L$84))</f>
        <v/>
      </c>
      <c r="M102" s="33" t="str">
        <f>IF($B102="","",SUMIFS(ORE!$F:$F,ORE!$E:$E,$B102,ORE!$A:$A,M$84))</f>
        <v/>
      </c>
      <c r="N102" s="33" t="str">
        <f>IF($B102="","",SUMIFS(ORE!$F:$F,ORE!$E:$E,$B102,ORE!$A:$A,N$84))</f>
        <v/>
      </c>
      <c r="O102" s="33" t="str">
        <f>IF($B102="","",SUMIFS(ORE!$F:$F,ORE!$E:$E,$B102,ORE!$A:$A,O$84))</f>
        <v/>
      </c>
      <c r="P102" s="33" t="str">
        <f t="shared" si="0"/>
        <v/>
      </c>
      <c r="Q102" s="35" t="str">
        <f t="shared" si="1"/>
        <v/>
      </c>
    </row>
    <row r="103" spans="2:17" x14ac:dyDescent="0.3">
      <c r="B103" s="36" t="str">
        <f>IF(TEAM!$A20="","",TEAM!$A20)</f>
        <v/>
      </c>
      <c r="C103" s="33" t="str">
        <f>IF(TEAM!$A20="","",TEAM!$F20)</f>
        <v/>
      </c>
      <c r="D103" s="33" t="str">
        <f>IF($B103="","",SUMIFS(ORE!$F:$F,ORE!$E:$E,$B103,ORE!$A:$A,D$84))</f>
        <v/>
      </c>
      <c r="E103" s="33" t="str">
        <f>IF($B103="","",SUMIFS(ORE!$F:$F,ORE!$E:$E,$B103,ORE!$A:$A,E$84))</f>
        <v/>
      </c>
      <c r="F103" s="33" t="str">
        <f>IF($B103="","",SUMIFS(ORE!$F:$F,ORE!$E:$E,$B103,ORE!$A:$A,F$84))</f>
        <v/>
      </c>
      <c r="G103" s="33" t="str">
        <f>IF($B103="","",SUMIFS(ORE!$F:$F,ORE!$E:$E,$B103,ORE!$A:$A,G$84))</f>
        <v/>
      </c>
      <c r="H103" s="33" t="str">
        <f>IF($B103="","",SUMIFS(ORE!$F:$F,ORE!$E:$E,$B103,ORE!$A:$A,H$84))</f>
        <v/>
      </c>
      <c r="I103" s="33" t="str">
        <f>IF($B103="","",SUMIFS(ORE!$F:$F,ORE!$E:$E,$B103,ORE!$A:$A,I$84))</f>
        <v/>
      </c>
      <c r="J103" s="33" t="str">
        <f>IF($B103="","",SUMIFS(ORE!$F:$F,ORE!$E:$E,$B103,ORE!$A:$A,J$84))</f>
        <v/>
      </c>
      <c r="K103" s="33" t="str">
        <f>IF($B103="","",SUMIFS(ORE!$F:$F,ORE!$E:$E,$B103,ORE!$A:$A,K$84))</f>
        <v/>
      </c>
      <c r="L103" s="33" t="str">
        <f>IF($B103="","",SUMIFS(ORE!$F:$F,ORE!$E:$E,$B103,ORE!$A:$A,L$84))</f>
        <v/>
      </c>
      <c r="M103" s="33" t="str">
        <f>IF($B103="","",SUMIFS(ORE!$F:$F,ORE!$E:$E,$B103,ORE!$A:$A,M$84))</f>
        <v/>
      </c>
      <c r="N103" s="33" t="str">
        <f>IF($B103="","",SUMIFS(ORE!$F:$F,ORE!$E:$E,$B103,ORE!$A:$A,N$84))</f>
        <v/>
      </c>
      <c r="O103" s="33" t="str">
        <f>IF($B103="","",SUMIFS(ORE!$F:$F,ORE!$E:$E,$B103,ORE!$A:$A,O$84))</f>
        <v/>
      </c>
      <c r="P103" s="33" t="str">
        <f t="shared" si="0"/>
        <v/>
      </c>
      <c r="Q103" s="35" t="str">
        <f t="shared" si="1"/>
        <v/>
      </c>
    </row>
    <row r="104" spans="2:17" x14ac:dyDescent="0.3">
      <c r="B104" s="36" t="str">
        <f>IF(TEAM!$A21="","",TEAM!$A21)</f>
        <v/>
      </c>
      <c r="C104" s="33" t="str">
        <f>IF(TEAM!$A21="","",TEAM!$F21)</f>
        <v/>
      </c>
      <c r="D104" s="33" t="str">
        <f>IF($B104="","",SUMIFS(ORE!$F:$F,ORE!$E:$E,$B104,ORE!$A:$A,D$84))</f>
        <v/>
      </c>
      <c r="E104" s="33" t="str">
        <f>IF($B104="","",SUMIFS(ORE!$F:$F,ORE!$E:$E,$B104,ORE!$A:$A,E$84))</f>
        <v/>
      </c>
      <c r="F104" s="33" t="str">
        <f>IF($B104="","",SUMIFS(ORE!$F:$F,ORE!$E:$E,$B104,ORE!$A:$A,F$84))</f>
        <v/>
      </c>
      <c r="G104" s="33" t="str">
        <f>IF($B104="","",SUMIFS(ORE!$F:$F,ORE!$E:$E,$B104,ORE!$A:$A,G$84))</f>
        <v/>
      </c>
      <c r="H104" s="33" t="str">
        <f>IF($B104="","",SUMIFS(ORE!$F:$F,ORE!$E:$E,$B104,ORE!$A:$A,H$84))</f>
        <v/>
      </c>
      <c r="I104" s="33" t="str">
        <f>IF($B104="","",SUMIFS(ORE!$F:$F,ORE!$E:$E,$B104,ORE!$A:$A,I$84))</f>
        <v/>
      </c>
      <c r="J104" s="33" t="str">
        <f>IF($B104="","",SUMIFS(ORE!$F:$F,ORE!$E:$E,$B104,ORE!$A:$A,J$84))</f>
        <v/>
      </c>
      <c r="K104" s="33" t="str">
        <f>IF($B104="","",SUMIFS(ORE!$F:$F,ORE!$E:$E,$B104,ORE!$A:$A,K$84))</f>
        <v/>
      </c>
      <c r="L104" s="33" t="str">
        <f>IF($B104="","",SUMIFS(ORE!$F:$F,ORE!$E:$E,$B104,ORE!$A:$A,L$84))</f>
        <v/>
      </c>
      <c r="M104" s="33" t="str">
        <f>IF($B104="","",SUMIFS(ORE!$F:$F,ORE!$E:$E,$B104,ORE!$A:$A,M$84))</f>
        <v/>
      </c>
      <c r="N104" s="33" t="str">
        <f>IF($B104="","",SUMIFS(ORE!$F:$F,ORE!$E:$E,$B104,ORE!$A:$A,N$84))</f>
        <v/>
      </c>
      <c r="O104" s="33" t="str">
        <f>IF($B104="","",SUMIFS(ORE!$F:$F,ORE!$E:$E,$B104,ORE!$A:$A,O$84))</f>
        <v/>
      </c>
      <c r="P104" s="33" t="str">
        <f t="shared" si="0"/>
        <v/>
      </c>
      <c r="Q104" s="35" t="str">
        <f t="shared" si="1"/>
        <v/>
      </c>
    </row>
    <row r="105" spans="2:17" x14ac:dyDescent="0.3">
      <c r="B105" s="36" t="str">
        <f>IF(TEAM!$A22="","",TEAM!$A22)</f>
        <v/>
      </c>
      <c r="C105" s="33" t="str">
        <f>IF(TEAM!$A22="","",TEAM!$F22)</f>
        <v/>
      </c>
      <c r="D105" s="33" t="str">
        <f>IF($B105="","",SUMIFS(ORE!$F:$F,ORE!$E:$E,$B105,ORE!$A:$A,D$84))</f>
        <v/>
      </c>
      <c r="E105" s="33" t="str">
        <f>IF($B105="","",SUMIFS(ORE!$F:$F,ORE!$E:$E,$B105,ORE!$A:$A,E$84))</f>
        <v/>
      </c>
      <c r="F105" s="33" t="str">
        <f>IF($B105="","",SUMIFS(ORE!$F:$F,ORE!$E:$E,$B105,ORE!$A:$A,F$84))</f>
        <v/>
      </c>
      <c r="G105" s="33" t="str">
        <f>IF($B105="","",SUMIFS(ORE!$F:$F,ORE!$E:$E,$B105,ORE!$A:$A,G$84))</f>
        <v/>
      </c>
      <c r="H105" s="33" t="str">
        <f>IF($B105="","",SUMIFS(ORE!$F:$F,ORE!$E:$E,$B105,ORE!$A:$A,H$84))</f>
        <v/>
      </c>
      <c r="I105" s="33" t="str">
        <f>IF($B105="","",SUMIFS(ORE!$F:$F,ORE!$E:$E,$B105,ORE!$A:$A,I$84))</f>
        <v/>
      </c>
      <c r="J105" s="33" t="str">
        <f>IF($B105="","",SUMIFS(ORE!$F:$F,ORE!$E:$E,$B105,ORE!$A:$A,J$84))</f>
        <v/>
      </c>
      <c r="K105" s="33" t="str">
        <f>IF($B105="","",SUMIFS(ORE!$F:$F,ORE!$E:$E,$B105,ORE!$A:$A,K$84))</f>
        <v/>
      </c>
      <c r="L105" s="33" t="str">
        <f>IF($B105="","",SUMIFS(ORE!$F:$F,ORE!$E:$E,$B105,ORE!$A:$A,L$84))</f>
        <v/>
      </c>
      <c r="M105" s="33" t="str">
        <f>IF($B105="","",SUMIFS(ORE!$F:$F,ORE!$E:$E,$B105,ORE!$A:$A,M$84))</f>
        <v/>
      </c>
      <c r="N105" s="33" t="str">
        <f>IF($B105="","",SUMIFS(ORE!$F:$F,ORE!$E:$E,$B105,ORE!$A:$A,N$84))</f>
        <v/>
      </c>
      <c r="O105" s="33" t="str">
        <f>IF($B105="","",SUMIFS(ORE!$F:$F,ORE!$E:$E,$B105,ORE!$A:$A,O$84))</f>
        <v/>
      </c>
      <c r="P105" s="33" t="str">
        <f t="shared" si="0"/>
        <v/>
      </c>
      <c r="Q105" s="35" t="str">
        <f t="shared" si="1"/>
        <v/>
      </c>
    </row>
    <row r="106" spans="2:17" x14ac:dyDescent="0.3">
      <c r="B106" s="36" t="str">
        <f>IF(TEAM!$A23="","",TEAM!$A23)</f>
        <v/>
      </c>
      <c r="C106" s="33" t="str">
        <f>IF(TEAM!$A23="","",TEAM!$F23)</f>
        <v/>
      </c>
      <c r="D106" s="33" t="str">
        <f>IF($B106="","",SUMIFS(ORE!$F:$F,ORE!$E:$E,$B106,ORE!$A:$A,D$84))</f>
        <v/>
      </c>
      <c r="E106" s="33" t="str">
        <f>IF($B106="","",SUMIFS(ORE!$F:$F,ORE!$E:$E,$B106,ORE!$A:$A,E$84))</f>
        <v/>
      </c>
      <c r="F106" s="33" t="str">
        <f>IF($B106="","",SUMIFS(ORE!$F:$F,ORE!$E:$E,$B106,ORE!$A:$A,F$84))</f>
        <v/>
      </c>
      <c r="G106" s="33" t="str">
        <f>IF($B106="","",SUMIFS(ORE!$F:$F,ORE!$E:$E,$B106,ORE!$A:$A,G$84))</f>
        <v/>
      </c>
      <c r="H106" s="33" t="str">
        <f>IF($B106="","",SUMIFS(ORE!$F:$F,ORE!$E:$E,$B106,ORE!$A:$A,H$84))</f>
        <v/>
      </c>
      <c r="I106" s="33" t="str">
        <f>IF($B106="","",SUMIFS(ORE!$F:$F,ORE!$E:$E,$B106,ORE!$A:$A,I$84))</f>
        <v/>
      </c>
      <c r="J106" s="33" t="str">
        <f>IF($B106="","",SUMIFS(ORE!$F:$F,ORE!$E:$E,$B106,ORE!$A:$A,J$84))</f>
        <v/>
      </c>
      <c r="K106" s="33" t="str">
        <f>IF($B106="","",SUMIFS(ORE!$F:$F,ORE!$E:$E,$B106,ORE!$A:$A,K$84))</f>
        <v/>
      </c>
      <c r="L106" s="33" t="str">
        <f>IF($B106="","",SUMIFS(ORE!$F:$F,ORE!$E:$E,$B106,ORE!$A:$A,L$84))</f>
        <v/>
      </c>
      <c r="M106" s="33" t="str">
        <f>IF($B106="","",SUMIFS(ORE!$F:$F,ORE!$E:$E,$B106,ORE!$A:$A,M$84))</f>
        <v/>
      </c>
      <c r="N106" s="33" t="str">
        <f>IF($B106="","",SUMIFS(ORE!$F:$F,ORE!$E:$E,$B106,ORE!$A:$A,N$84))</f>
        <v/>
      </c>
      <c r="O106" s="33" t="str">
        <f>IF($B106="","",SUMIFS(ORE!$F:$F,ORE!$E:$E,$B106,ORE!$A:$A,O$84))</f>
        <v/>
      </c>
      <c r="P106" s="33" t="str">
        <f t="shared" si="0"/>
        <v/>
      </c>
      <c r="Q106" s="35" t="str">
        <f t="shared" si="1"/>
        <v/>
      </c>
    </row>
    <row r="107" spans="2:17" x14ac:dyDescent="0.3">
      <c r="B107" s="36" t="str">
        <f>IF(TEAM!$A24="","",TEAM!$A24)</f>
        <v/>
      </c>
      <c r="C107" s="33" t="str">
        <f>IF(TEAM!$A24="","",TEAM!$F24)</f>
        <v/>
      </c>
      <c r="D107" s="33" t="str">
        <f>IF($B107="","",SUMIFS(ORE!$F:$F,ORE!$E:$E,$B107,ORE!$A:$A,D$84))</f>
        <v/>
      </c>
      <c r="E107" s="33" t="str">
        <f>IF($B107="","",SUMIFS(ORE!$F:$F,ORE!$E:$E,$B107,ORE!$A:$A,E$84))</f>
        <v/>
      </c>
      <c r="F107" s="33" t="str">
        <f>IF($B107="","",SUMIFS(ORE!$F:$F,ORE!$E:$E,$B107,ORE!$A:$A,F$84))</f>
        <v/>
      </c>
      <c r="G107" s="33" t="str">
        <f>IF($B107="","",SUMIFS(ORE!$F:$F,ORE!$E:$E,$B107,ORE!$A:$A,G$84))</f>
        <v/>
      </c>
      <c r="H107" s="33" t="str">
        <f>IF($B107="","",SUMIFS(ORE!$F:$F,ORE!$E:$E,$B107,ORE!$A:$A,H$84))</f>
        <v/>
      </c>
      <c r="I107" s="33" t="str">
        <f>IF($B107="","",SUMIFS(ORE!$F:$F,ORE!$E:$E,$B107,ORE!$A:$A,I$84))</f>
        <v/>
      </c>
      <c r="J107" s="33" t="str">
        <f>IF($B107="","",SUMIFS(ORE!$F:$F,ORE!$E:$E,$B107,ORE!$A:$A,J$84))</f>
        <v/>
      </c>
      <c r="K107" s="33" t="str">
        <f>IF($B107="","",SUMIFS(ORE!$F:$F,ORE!$E:$E,$B107,ORE!$A:$A,K$84))</f>
        <v/>
      </c>
      <c r="L107" s="33" t="str">
        <f>IF($B107="","",SUMIFS(ORE!$F:$F,ORE!$E:$E,$B107,ORE!$A:$A,L$84))</f>
        <v/>
      </c>
      <c r="M107" s="33" t="str">
        <f>IF($B107="","",SUMIFS(ORE!$F:$F,ORE!$E:$E,$B107,ORE!$A:$A,M$84))</f>
        <v/>
      </c>
      <c r="N107" s="33" t="str">
        <f>IF($B107="","",SUMIFS(ORE!$F:$F,ORE!$E:$E,$B107,ORE!$A:$A,N$84))</f>
        <v/>
      </c>
      <c r="O107" s="33" t="str">
        <f>IF($B107="","",SUMIFS(ORE!$F:$F,ORE!$E:$E,$B107,ORE!$A:$A,O$84))</f>
        <v/>
      </c>
      <c r="P107" s="33" t="str">
        <f t="shared" si="0"/>
        <v/>
      </c>
      <c r="Q107" s="35" t="str">
        <f t="shared" si="1"/>
        <v/>
      </c>
    </row>
    <row r="108" spans="2:17" x14ac:dyDescent="0.3">
      <c r="B108" s="36" t="str">
        <f>IF(TEAM!$A25="","",TEAM!$A25)</f>
        <v/>
      </c>
      <c r="C108" s="33" t="str">
        <f>IF(TEAM!$A25="","",TEAM!$F25)</f>
        <v/>
      </c>
      <c r="D108" s="33" t="str">
        <f>IF($B108="","",SUMIFS(ORE!$F:$F,ORE!$E:$E,$B108,ORE!$A:$A,D$84))</f>
        <v/>
      </c>
      <c r="E108" s="33" t="str">
        <f>IF($B108="","",SUMIFS(ORE!$F:$F,ORE!$E:$E,$B108,ORE!$A:$A,E$84))</f>
        <v/>
      </c>
      <c r="F108" s="33" t="str">
        <f>IF($B108="","",SUMIFS(ORE!$F:$F,ORE!$E:$E,$B108,ORE!$A:$A,F$84))</f>
        <v/>
      </c>
      <c r="G108" s="33" t="str">
        <f>IF($B108="","",SUMIFS(ORE!$F:$F,ORE!$E:$E,$B108,ORE!$A:$A,G$84))</f>
        <v/>
      </c>
      <c r="H108" s="33" t="str">
        <f>IF($B108="","",SUMIFS(ORE!$F:$F,ORE!$E:$E,$B108,ORE!$A:$A,H$84))</f>
        <v/>
      </c>
      <c r="I108" s="33" t="str">
        <f>IF($B108="","",SUMIFS(ORE!$F:$F,ORE!$E:$E,$B108,ORE!$A:$A,I$84))</f>
        <v/>
      </c>
      <c r="J108" s="33" t="str">
        <f>IF($B108="","",SUMIFS(ORE!$F:$F,ORE!$E:$E,$B108,ORE!$A:$A,J$84))</f>
        <v/>
      </c>
      <c r="K108" s="33" t="str">
        <f>IF($B108="","",SUMIFS(ORE!$F:$F,ORE!$E:$E,$B108,ORE!$A:$A,K$84))</f>
        <v/>
      </c>
      <c r="L108" s="33" t="str">
        <f>IF($B108="","",SUMIFS(ORE!$F:$F,ORE!$E:$E,$B108,ORE!$A:$A,L$84))</f>
        <v/>
      </c>
      <c r="M108" s="33" t="str">
        <f>IF($B108="","",SUMIFS(ORE!$F:$F,ORE!$E:$E,$B108,ORE!$A:$A,M$84))</f>
        <v/>
      </c>
      <c r="N108" s="33" t="str">
        <f>IF($B108="","",SUMIFS(ORE!$F:$F,ORE!$E:$E,$B108,ORE!$A:$A,N$84))</f>
        <v/>
      </c>
      <c r="O108" s="33" t="str">
        <f>IF($B108="","",SUMIFS(ORE!$F:$F,ORE!$E:$E,$B108,ORE!$A:$A,O$84))</f>
        <v/>
      </c>
      <c r="P108" s="33" t="str">
        <f t="shared" si="0"/>
        <v/>
      </c>
      <c r="Q108" s="35" t="str">
        <f t="shared" si="1"/>
        <v/>
      </c>
    </row>
    <row r="109" spans="2:17" x14ac:dyDescent="0.3">
      <c r="B109" s="36" t="str">
        <f>IF(TEAM!$A26="","",TEAM!$A26)</f>
        <v/>
      </c>
      <c r="C109" s="33" t="str">
        <f>IF(TEAM!$A26="","",TEAM!$F26)</f>
        <v/>
      </c>
      <c r="D109" s="33" t="str">
        <f>IF($B109="","",SUMIFS(ORE!$F:$F,ORE!$E:$E,$B109,ORE!$A:$A,D$84))</f>
        <v/>
      </c>
      <c r="E109" s="33" t="str">
        <f>IF($B109="","",SUMIFS(ORE!$F:$F,ORE!$E:$E,$B109,ORE!$A:$A,E$84))</f>
        <v/>
      </c>
      <c r="F109" s="33" t="str">
        <f>IF($B109="","",SUMIFS(ORE!$F:$F,ORE!$E:$E,$B109,ORE!$A:$A,F$84))</f>
        <v/>
      </c>
      <c r="G109" s="33" t="str">
        <f>IF($B109="","",SUMIFS(ORE!$F:$F,ORE!$E:$E,$B109,ORE!$A:$A,G$84))</f>
        <v/>
      </c>
      <c r="H109" s="33" t="str">
        <f>IF($B109="","",SUMIFS(ORE!$F:$F,ORE!$E:$E,$B109,ORE!$A:$A,H$84))</f>
        <v/>
      </c>
      <c r="I109" s="33" t="str">
        <f>IF($B109="","",SUMIFS(ORE!$F:$F,ORE!$E:$E,$B109,ORE!$A:$A,I$84))</f>
        <v/>
      </c>
      <c r="J109" s="33" t="str">
        <f>IF($B109="","",SUMIFS(ORE!$F:$F,ORE!$E:$E,$B109,ORE!$A:$A,J$84))</f>
        <v/>
      </c>
      <c r="K109" s="33" t="str">
        <f>IF($B109="","",SUMIFS(ORE!$F:$F,ORE!$E:$E,$B109,ORE!$A:$A,K$84))</f>
        <v/>
      </c>
      <c r="L109" s="33" t="str">
        <f>IF($B109="","",SUMIFS(ORE!$F:$F,ORE!$E:$E,$B109,ORE!$A:$A,L$84))</f>
        <v/>
      </c>
      <c r="M109" s="33" t="str">
        <f>IF($B109="","",SUMIFS(ORE!$F:$F,ORE!$E:$E,$B109,ORE!$A:$A,M$84))</f>
        <v/>
      </c>
      <c r="N109" s="33" t="str">
        <f>IF($B109="","",SUMIFS(ORE!$F:$F,ORE!$E:$E,$B109,ORE!$A:$A,N$84))</f>
        <v/>
      </c>
      <c r="O109" s="33" t="str">
        <f>IF($B109="","",SUMIFS(ORE!$F:$F,ORE!$E:$E,$B109,ORE!$A:$A,O$84))</f>
        <v/>
      </c>
      <c r="P109" s="33" t="str">
        <f t="shared" si="0"/>
        <v/>
      </c>
      <c r="Q109" s="35" t="str">
        <f t="shared" si="1"/>
        <v/>
      </c>
    </row>
    <row r="110" spans="2:17" x14ac:dyDescent="0.3">
      <c r="B110" s="36" t="str">
        <f>IF(TEAM!$A27="","",TEAM!$A27)</f>
        <v/>
      </c>
      <c r="C110" s="33" t="str">
        <f>IF(TEAM!$A27="","",TEAM!$F27)</f>
        <v/>
      </c>
      <c r="D110" s="33" t="str">
        <f>IF($B110="","",SUMIFS(ORE!$F:$F,ORE!$E:$E,$B110,ORE!$A:$A,D$84))</f>
        <v/>
      </c>
      <c r="E110" s="33" t="str">
        <f>IF($B110="","",SUMIFS(ORE!$F:$F,ORE!$E:$E,$B110,ORE!$A:$A,E$84))</f>
        <v/>
      </c>
      <c r="F110" s="33" t="str">
        <f>IF($B110="","",SUMIFS(ORE!$F:$F,ORE!$E:$E,$B110,ORE!$A:$A,F$84))</f>
        <v/>
      </c>
      <c r="G110" s="33" t="str">
        <f>IF($B110="","",SUMIFS(ORE!$F:$F,ORE!$E:$E,$B110,ORE!$A:$A,G$84))</f>
        <v/>
      </c>
      <c r="H110" s="33" t="str">
        <f>IF($B110="","",SUMIFS(ORE!$F:$F,ORE!$E:$E,$B110,ORE!$A:$A,H$84))</f>
        <v/>
      </c>
      <c r="I110" s="33" t="str">
        <f>IF($B110="","",SUMIFS(ORE!$F:$F,ORE!$E:$E,$B110,ORE!$A:$A,I$84))</f>
        <v/>
      </c>
      <c r="J110" s="33" t="str">
        <f>IF($B110="","",SUMIFS(ORE!$F:$F,ORE!$E:$E,$B110,ORE!$A:$A,J$84))</f>
        <v/>
      </c>
      <c r="K110" s="33" t="str">
        <f>IF($B110="","",SUMIFS(ORE!$F:$F,ORE!$E:$E,$B110,ORE!$A:$A,K$84))</f>
        <v/>
      </c>
      <c r="L110" s="33" t="str">
        <f>IF($B110="","",SUMIFS(ORE!$F:$F,ORE!$E:$E,$B110,ORE!$A:$A,L$84))</f>
        <v/>
      </c>
      <c r="M110" s="33" t="str">
        <f>IF($B110="","",SUMIFS(ORE!$F:$F,ORE!$E:$E,$B110,ORE!$A:$A,M$84))</f>
        <v/>
      </c>
      <c r="N110" s="33" t="str">
        <f>IF($B110="","",SUMIFS(ORE!$F:$F,ORE!$E:$E,$B110,ORE!$A:$A,N$84))</f>
        <v/>
      </c>
      <c r="O110" s="33" t="str">
        <f>IF($B110="","",SUMIFS(ORE!$F:$F,ORE!$E:$E,$B110,ORE!$A:$A,O$84))</f>
        <v/>
      </c>
      <c r="P110" s="33" t="str">
        <f t="shared" si="0"/>
        <v/>
      </c>
      <c r="Q110" s="35" t="str">
        <f t="shared" si="1"/>
        <v/>
      </c>
    </row>
    <row r="111" spans="2:17" x14ac:dyDescent="0.3">
      <c r="B111" s="36" t="str">
        <f>IF(TEAM!$A28="","",TEAM!$A28)</f>
        <v/>
      </c>
      <c r="C111" s="33" t="str">
        <f>IF(TEAM!$A28="","",TEAM!$F28)</f>
        <v/>
      </c>
      <c r="D111" s="33" t="str">
        <f>IF($B111="","",SUMIFS(ORE!$F:$F,ORE!$E:$E,$B111,ORE!$A:$A,D$84))</f>
        <v/>
      </c>
      <c r="E111" s="33" t="str">
        <f>IF($B111="","",SUMIFS(ORE!$F:$F,ORE!$E:$E,$B111,ORE!$A:$A,E$84))</f>
        <v/>
      </c>
      <c r="F111" s="33" t="str">
        <f>IF($B111="","",SUMIFS(ORE!$F:$F,ORE!$E:$E,$B111,ORE!$A:$A,F$84))</f>
        <v/>
      </c>
      <c r="G111" s="33" t="str">
        <f>IF($B111="","",SUMIFS(ORE!$F:$F,ORE!$E:$E,$B111,ORE!$A:$A,G$84))</f>
        <v/>
      </c>
      <c r="H111" s="33" t="str">
        <f>IF($B111="","",SUMIFS(ORE!$F:$F,ORE!$E:$E,$B111,ORE!$A:$A,H$84))</f>
        <v/>
      </c>
      <c r="I111" s="33" t="str">
        <f>IF($B111="","",SUMIFS(ORE!$F:$F,ORE!$E:$E,$B111,ORE!$A:$A,I$84))</f>
        <v/>
      </c>
      <c r="J111" s="33" t="str">
        <f>IF($B111="","",SUMIFS(ORE!$F:$F,ORE!$E:$E,$B111,ORE!$A:$A,J$84))</f>
        <v/>
      </c>
      <c r="K111" s="33" t="str">
        <f>IF($B111="","",SUMIFS(ORE!$F:$F,ORE!$E:$E,$B111,ORE!$A:$A,K$84))</f>
        <v/>
      </c>
      <c r="L111" s="33" t="str">
        <f>IF($B111="","",SUMIFS(ORE!$F:$F,ORE!$E:$E,$B111,ORE!$A:$A,L$84))</f>
        <v/>
      </c>
      <c r="M111" s="33" t="str">
        <f>IF($B111="","",SUMIFS(ORE!$F:$F,ORE!$E:$E,$B111,ORE!$A:$A,M$84))</f>
        <v/>
      </c>
      <c r="N111" s="33" t="str">
        <f>IF($B111="","",SUMIFS(ORE!$F:$F,ORE!$E:$E,$B111,ORE!$A:$A,N$84))</f>
        <v/>
      </c>
      <c r="O111" s="33" t="str">
        <f>IF($B111="","",SUMIFS(ORE!$F:$F,ORE!$E:$E,$B111,ORE!$A:$A,O$84))</f>
        <v/>
      </c>
      <c r="P111" s="33" t="str">
        <f t="shared" si="0"/>
        <v/>
      </c>
      <c r="Q111" s="35" t="str">
        <f t="shared" si="1"/>
        <v/>
      </c>
    </row>
    <row r="112" spans="2:17" x14ac:dyDescent="0.3">
      <c r="B112" s="36" t="str">
        <f>IF(TEAM!$A29="","",TEAM!$A29)</f>
        <v/>
      </c>
      <c r="C112" s="33" t="str">
        <f>IF(TEAM!$A29="","",TEAM!$F29)</f>
        <v/>
      </c>
      <c r="D112" s="33" t="str">
        <f>IF($B112="","",SUMIFS(ORE!$F:$F,ORE!$E:$E,$B112,ORE!$A:$A,D$84))</f>
        <v/>
      </c>
      <c r="E112" s="33" t="str">
        <f>IF($B112="","",SUMIFS(ORE!$F:$F,ORE!$E:$E,$B112,ORE!$A:$A,E$84))</f>
        <v/>
      </c>
      <c r="F112" s="33" t="str">
        <f>IF($B112="","",SUMIFS(ORE!$F:$F,ORE!$E:$E,$B112,ORE!$A:$A,F$84))</f>
        <v/>
      </c>
      <c r="G112" s="33" t="str">
        <f>IF($B112="","",SUMIFS(ORE!$F:$F,ORE!$E:$E,$B112,ORE!$A:$A,G$84))</f>
        <v/>
      </c>
      <c r="H112" s="33" t="str">
        <f>IF($B112="","",SUMIFS(ORE!$F:$F,ORE!$E:$E,$B112,ORE!$A:$A,H$84))</f>
        <v/>
      </c>
      <c r="I112" s="33" t="str">
        <f>IF($B112="","",SUMIFS(ORE!$F:$F,ORE!$E:$E,$B112,ORE!$A:$A,I$84))</f>
        <v/>
      </c>
      <c r="J112" s="33" t="str">
        <f>IF($B112="","",SUMIFS(ORE!$F:$F,ORE!$E:$E,$B112,ORE!$A:$A,J$84))</f>
        <v/>
      </c>
      <c r="K112" s="33" t="str">
        <f>IF($B112="","",SUMIFS(ORE!$F:$F,ORE!$E:$E,$B112,ORE!$A:$A,K$84))</f>
        <v/>
      </c>
      <c r="L112" s="33" t="str">
        <f>IF($B112="","",SUMIFS(ORE!$F:$F,ORE!$E:$E,$B112,ORE!$A:$A,L$84))</f>
        <v/>
      </c>
      <c r="M112" s="33" t="str">
        <f>IF($B112="","",SUMIFS(ORE!$F:$F,ORE!$E:$E,$B112,ORE!$A:$A,M$84))</f>
        <v/>
      </c>
      <c r="N112" s="33" t="str">
        <f>IF($B112="","",SUMIFS(ORE!$F:$F,ORE!$E:$E,$B112,ORE!$A:$A,N$84))</f>
        <v/>
      </c>
      <c r="O112" s="33" t="str">
        <f>IF($B112="","",SUMIFS(ORE!$F:$F,ORE!$E:$E,$B112,ORE!$A:$A,O$84))</f>
        <v/>
      </c>
      <c r="P112" s="33" t="str">
        <f t="shared" si="0"/>
        <v/>
      </c>
      <c r="Q112" s="35" t="str">
        <f t="shared" si="1"/>
        <v/>
      </c>
    </row>
    <row r="113" spans="2:17" x14ac:dyDescent="0.3">
      <c r="B113" s="36" t="str">
        <f>IF(TEAM!$A30="","",TEAM!$A30)</f>
        <v/>
      </c>
      <c r="C113" s="33" t="str">
        <f>IF(TEAM!$A30="","",TEAM!$F30)</f>
        <v/>
      </c>
      <c r="D113" s="33" t="str">
        <f>IF($B113="","",SUMIFS(ORE!$F:$F,ORE!$E:$E,$B113,ORE!$A:$A,D$84))</f>
        <v/>
      </c>
      <c r="E113" s="33" t="str">
        <f>IF($B113="","",SUMIFS(ORE!$F:$F,ORE!$E:$E,$B113,ORE!$A:$A,E$84))</f>
        <v/>
      </c>
      <c r="F113" s="33" t="str">
        <f>IF($B113="","",SUMIFS(ORE!$F:$F,ORE!$E:$E,$B113,ORE!$A:$A,F$84))</f>
        <v/>
      </c>
      <c r="G113" s="33" t="str">
        <f>IF($B113="","",SUMIFS(ORE!$F:$F,ORE!$E:$E,$B113,ORE!$A:$A,G$84))</f>
        <v/>
      </c>
      <c r="H113" s="33" t="str">
        <f>IF($B113="","",SUMIFS(ORE!$F:$F,ORE!$E:$E,$B113,ORE!$A:$A,H$84))</f>
        <v/>
      </c>
      <c r="I113" s="33" t="str">
        <f>IF($B113="","",SUMIFS(ORE!$F:$F,ORE!$E:$E,$B113,ORE!$A:$A,I$84))</f>
        <v/>
      </c>
      <c r="J113" s="33" t="str">
        <f>IF($B113="","",SUMIFS(ORE!$F:$F,ORE!$E:$E,$B113,ORE!$A:$A,J$84))</f>
        <v/>
      </c>
      <c r="K113" s="33" t="str">
        <f>IF($B113="","",SUMIFS(ORE!$F:$F,ORE!$E:$E,$B113,ORE!$A:$A,K$84))</f>
        <v/>
      </c>
      <c r="L113" s="33" t="str">
        <f>IF($B113="","",SUMIFS(ORE!$F:$F,ORE!$E:$E,$B113,ORE!$A:$A,L$84))</f>
        <v/>
      </c>
      <c r="M113" s="33" t="str">
        <f>IF($B113="","",SUMIFS(ORE!$F:$F,ORE!$E:$E,$B113,ORE!$A:$A,M$84))</f>
        <v/>
      </c>
      <c r="N113" s="33" t="str">
        <f>IF($B113="","",SUMIFS(ORE!$F:$F,ORE!$E:$E,$B113,ORE!$A:$A,N$84))</f>
        <v/>
      </c>
      <c r="O113" s="33" t="str">
        <f>IF($B113="","",SUMIFS(ORE!$F:$F,ORE!$E:$E,$B113,ORE!$A:$A,O$84))</f>
        <v/>
      </c>
      <c r="P113" s="33" t="str">
        <f t="shared" si="0"/>
        <v/>
      </c>
      <c r="Q113" s="35" t="str">
        <f t="shared" si="1"/>
        <v/>
      </c>
    </row>
    <row r="114" spans="2:17" x14ac:dyDescent="0.3">
      <c r="B114" s="36" t="str">
        <f>IF(TEAM!$A31="","",TEAM!$A31)</f>
        <v/>
      </c>
      <c r="C114" s="33" t="str">
        <f>IF(TEAM!$A31="","",TEAM!$F31)</f>
        <v/>
      </c>
      <c r="D114" s="33" t="str">
        <f>IF($B114="","",SUMIFS(ORE!$F:$F,ORE!$E:$E,$B114,ORE!$A:$A,D$84))</f>
        <v/>
      </c>
      <c r="E114" s="33" t="str">
        <f>IF($B114="","",SUMIFS(ORE!$F:$F,ORE!$E:$E,$B114,ORE!$A:$A,E$84))</f>
        <v/>
      </c>
      <c r="F114" s="33" t="str">
        <f>IF($B114="","",SUMIFS(ORE!$F:$F,ORE!$E:$E,$B114,ORE!$A:$A,F$84))</f>
        <v/>
      </c>
      <c r="G114" s="33" t="str">
        <f>IF($B114="","",SUMIFS(ORE!$F:$F,ORE!$E:$E,$B114,ORE!$A:$A,G$84))</f>
        <v/>
      </c>
      <c r="H114" s="33" t="str">
        <f>IF($B114="","",SUMIFS(ORE!$F:$F,ORE!$E:$E,$B114,ORE!$A:$A,H$84))</f>
        <v/>
      </c>
      <c r="I114" s="33" t="str">
        <f>IF($B114="","",SUMIFS(ORE!$F:$F,ORE!$E:$E,$B114,ORE!$A:$A,I$84))</f>
        <v/>
      </c>
      <c r="J114" s="33" t="str">
        <f>IF($B114="","",SUMIFS(ORE!$F:$F,ORE!$E:$E,$B114,ORE!$A:$A,J$84))</f>
        <v/>
      </c>
      <c r="K114" s="33" t="str">
        <f>IF($B114="","",SUMIFS(ORE!$F:$F,ORE!$E:$E,$B114,ORE!$A:$A,K$84))</f>
        <v/>
      </c>
      <c r="L114" s="33" t="str">
        <f>IF($B114="","",SUMIFS(ORE!$F:$F,ORE!$E:$E,$B114,ORE!$A:$A,L$84))</f>
        <v/>
      </c>
      <c r="M114" s="33" t="str">
        <f>IF($B114="","",SUMIFS(ORE!$F:$F,ORE!$E:$E,$B114,ORE!$A:$A,M$84))</f>
        <v/>
      </c>
      <c r="N114" s="33" t="str">
        <f>IF($B114="","",SUMIFS(ORE!$F:$F,ORE!$E:$E,$B114,ORE!$A:$A,N$84))</f>
        <v/>
      </c>
      <c r="O114" s="33" t="str">
        <f>IF($B114="","",SUMIFS(ORE!$F:$F,ORE!$E:$E,$B114,ORE!$A:$A,O$84))</f>
        <v/>
      </c>
      <c r="P114" s="33" t="str">
        <f t="shared" si="0"/>
        <v/>
      </c>
      <c r="Q114" s="35" t="str">
        <f t="shared" si="1"/>
        <v/>
      </c>
    </row>
    <row r="115" spans="2:17" x14ac:dyDescent="0.3">
      <c r="B115" s="36" t="str">
        <f>IF(TEAM!$A32="","",TEAM!$A32)</f>
        <v/>
      </c>
      <c r="C115" s="33" t="str">
        <f>IF(TEAM!$A32="","",TEAM!$F32)</f>
        <v/>
      </c>
      <c r="D115" s="33" t="str">
        <f>IF($B115="","",SUMIFS(ORE!$F:$F,ORE!$E:$E,$B115,ORE!$A:$A,D$84))</f>
        <v/>
      </c>
      <c r="E115" s="33" t="str">
        <f>IF($B115="","",SUMIFS(ORE!$F:$F,ORE!$E:$E,$B115,ORE!$A:$A,E$84))</f>
        <v/>
      </c>
      <c r="F115" s="33" t="str">
        <f>IF($B115="","",SUMIFS(ORE!$F:$F,ORE!$E:$E,$B115,ORE!$A:$A,F$84))</f>
        <v/>
      </c>
      <c r="G115" s="33" t="str">
        <f>IF($B115="","",SUMIFS(ORE!$F:$F,ORE!$E:$E,$B115,ORE!$A:$A,G$84))</f>
        <v/>
      </c>
      <c r="H115" s="33" t="str">
        <f>IF($B115="","",SUMIFS(ORE!$F:$F,ORE!$E:$E,$B115,ORE!$A:$A,H$84))</f>
        <v/>
      </c>
      <c r="I115" s="33" t="str">
        <f>IF($B115="","",SUMIFS(ORE!$F:$F,ORE!$E:$E,$B115,ORE!$A:$A,I$84))</f>
        <v/>
      </c>
      <c r="J115" s="33" t="str">
        <f>IF($B115="","",SUMIFS(ORE!$F:$F,ORE!$E:$E,$B115,ORE!$A:$A,J$84))</f>
        <v/>
      </c>
      <c r="K115" s="33" t="str">
        <f>IF($B115="","",SUMIFS(ORE!$F:$F,ORE!$E:$E,$B115,ORE!$A:$A,K$84))</f>
        <v/>
      </c>
      <c r="L115" s="33" t="str">
        <f>IF($B115="","",SUMIFS(ORE!$F:$F,ORE!$E:$E,$B115,ORE!$A:$A,L$84))</f>
        <v/>
      </c>
      <c r="M115" s="33" t="str">
        <f>IF($B115="","",SUMIFS(ORE!$F:$F,ORE!$E:$E,$B115,ORE!$A:$A,M$84))</f>
        <v/>
      </c>
      <c r="N115" s="33" t="str">
        <f>IF($B115="","",SUMIFS(ORE!$F:$F,ORE!$E:$E,$B115,ORE!$A:$A,N$84))</f>
        <v/>
      </c>
      <c r="O115" s="33" t="str">
        <f>IF($B115="","",SUMIFS(ORE!$F:$F,ORE!$E:$E,$B115,ORE!$A:$A,O$84))</f>
        <v/>
      </c>
      <c r="P115" s="33" t="str">
        <f t="shared" si="0"/>
        <v/>
      </c>
      <c r="Q115" s="35" t="str">
        <f t="shared" si="1"/>
        <v/>
      </c>
    </row>
    <row r="116" spans="2:17" x14ac:dyDescent="0.3">
      <c r="B116" s="36" t="str">
        <f>IF(TEAM!$A33="","",TEAM!$A33)</f>
        <v/>
      </c>
      <c r="C116" s="33" t="str">
        <f>IF(TEAM!$A33="","",TEAM!$F33)</f>
        <v/>
      </c>
      <c r="D116" s="33" t="str">
        <f>IF($B116="","",SUMIFS(ORE!$F:$F,ORE!$E:$E,$B116,ORE!$A:$A,D$84))</f>
        <v/>
      </c>
      <c r="E116" s="33" t="str">
        <f>IF($B116="","",SUMIFS(ORE!$F:$F,ORE!$E:$E,$B116,ORE!$A:$A,E$84))</f>
        <v/>
      </c>
      <c r="F116" s="33" t="str">
        <f>IF($B116="","",SUMIFS(ORE!$F:$F,ORE!$E:$E,$B116,ORE!$A:$A,F$84))</f>
        <v/>
      </c>
      <c r="G116" s="33" t="str">
        <f>IF($B116="","",SUMIFS(ORE!$F:$F,ORE!$E:$E,$B116,ORE!$A:$A,G$84))</f>
        <v/>
      </c>
      <c r="H116" s="33" t="str">
        <f>IF($B116="","",SUMIFS(ORE!$F:$F,ORE!$E:$E,$B116,ORE!$A:$A,H$84))</f>
        <v/>
      </c>
      <c r="I116" s="33" t="str">
        <f>IF($B116="","",SUMIFS(ORE!$F:$F,ORE!$E:$E,$B116,ORE!$A:$A,I$84))</f>
        <v/>
      </c>
      <c r="J116" s="33" t="str">
        <f>IF($B116="","",SUMIFS(ORE!$F:$F,ORE!$E:$E,$B116,ORE!$A:$A,J$84))</f>
        <v/>
      </c>
      <c r="K116" s="33" t="str">
        <f>IF($B116="","",SUMIFS(ORE!$F:$F,ORE!$E:$E,$B116,ORE!$A:$A,K$84))</f>
        <v/>
      </c>
      <c r="L116" s="33" t="str">
        <f>IF($B116="","",SUMIFS(ORE!$F:$F,ORE!$E:$E,$B116,ORE!$A:$A,L$84))</f>
        <v/>
      </c>
      <c r="M116" s="33" t="str">
        <f>IF($B116="","",SUMIFS(ORE!$F:$F,ORE!$E:$E,$B116,ORE!$A:$A,M$84))</f>
        <v/>
      </c>
      <c r="N116" s="33" t="str">
        <f>IF($B116="","",SUMIFS(ORE!$F:$F,ORE!$E:$E,$B116,ORE!$A:$A,N$84))</f>
        <v/>
      </c>
      <c r="O116" s="33" t="str">
        <f>IF($B116="","",SUMIFS(ORE!$F:$F,ORE!$E:$E,$B116,ORE!$A:$A,O$84))</f>
        <v/>
      </c>
      <c r="P116" s="33" t="str">
        <f t="shared" si="0"/>
        <v/>
      </c>
      <c r="Q116" s="35" t="str">
        <f t="shared" si="1"/>
        <v/>
      </c>
    </row>
    <row r="117" spans="2:17" x14ac:dyDescent="0.3">
      <c r="B117" s="36" t="str">
        <f>IF(TEAM!$A34="","",TEAM!$A34)</f>
        <v/>
      </c>
      <c r="C117" s="33" t="str">
        <f>IF(TEAM!$A34="","",TEAM!$F34)</f>
        <v/>
      </c>
      <c r="D117" s="33" t="str">
        <f>IF($B117="","",SUMIFS(ORE!$F:$F,ORE!$E:$E,$B117,ORE!$A:$A,D$84))</f>
        <v/>
      </c>
      <c r="E117" s="33" t="str">
        <f>IF($B117="","",SUMIFS(ORE!$F:$F,ORE!$E:$E,$B117,ORE!$A:$A,E$84))</f>
        <v/>
      </c>
      <c r="F117" s="33" t="str">
        <f>IF($B117="","",SUMIFS(ORE!$F:$F,ORE!$E:$E,$B117,ORE!$A:$A,F$84))</f>
        <v/>
      </c>
      <c r="G117" s="33" t="str">
        <f>IF($B117="","",SUMIFS(ORE!$F:$F,ORE!$E:$E,$B117,ORE!$A:$A,G$84))</f>
        <v/>
      </c>
      <c r="H117" s="33" t="str">
        <f>IF($B117="","",SUMIFS(ORE!$F:$F,ORE!$E:$E,$B117,ORE!$A:$A,H$84))</f>
        <v/>
      </c>
      <c r="I117" s="33" t="str">
        <f>IF($B117="","",SUMIFS(ORE!$F:$F,ORE!$E:$E,$B117,ORE!$A:$A,I$84))</f>
        <v/>
      </c>
      <c r="J117" s="33" t="str">
        <f>IF($B117="","",SUMIFS(ORE!$F:$F,ORE!$E:$E,$B117,ORE!$A:$A,J$84))</f>
        <v/>
      </c>
      <c r="K117" s="33" t="str">
        <f>IF($B117="","",SUMIFS(ORE!$F:$F,ORE!$E:$E,$B117,ORE!$A:$A,K$84))</f>
        <v/>
      </c>
      <c r="L117" s="33" t="str">
        <f>IF($B117="","",SUMIFS(ORE!$F:$F,ORE!$E:$E,$B117,ORE!$A:$A,L$84))</f>
        <v/>
      </c>
      <c r="M117" s="33" t="str">
        <f>IF($B117="","",SUMIFS(ORE!$F:$F,ORE!$E:$E,$B117,ORE!$A:$A,M$84))</f>
        <v/>
      </c>
      <c r="N117" s="33" t="str">
        <f>IF($B117="","",SUMIFS(ORE!$F:$F,ORE!$E:$E,$B117,ORE!$A:$A,N$84))</f>
        <v/>
      </c>
      <c r="O117" s="33" t="str">
        <f>IF($B117="","",SUMIFS(ORE!$F:$F,ORE!$E:$E,$B117,ORE!$A:$A,O$84))</f>
        <v/>
      </c>
      <c r="P117" s="33" t="str">
        <f t="shared" si="0"/>
        <v/>
      </c>
      <c r="Q117" s="35" t="str">
        <f t="shared" si="1"/>
        <v/>
      </c>
    </row>
    <row r="118" spans="2:17" x14ac:dyDescent="0.3">
      <c r="B118" s="36" t="str">
        <f>IF(TEAM!$A35="","",TEAM!$A35)</f>
        <v/>
      </c>
      <c r="C118" s="33" t="str">
        <f>IF(TEAM!$A35="","",TEAM!$F35)</f>
        <v/>
      </c>
      <c r="D118" s="33" t="str">
        <f>IF($B118="","",SUMIFS(ORE!$F:$F,ORE!$E:$E,$B118,ORE!$A:$A,D$84))</f>
        <v/>
      </c>
      <c r="E118" s="33" t="str">
        <f>IF($B118="","",SUMIFS(ORE!$F:$F,ORE!$E:$E,$B118,ORE!$A:$A,E$84))</f>
        <v/>
      </c>
      <c r="F118" s="33" t="str">
        <f>IF($B118="","",SUMIFS(ORE!$F:$F,ORE!$E:$E,$B118,ORE!$A:$A,F$84))</f>
        <v/>
      </c>
      <c r="G118" s="33" t="str">
        <f>IF($B118="","",SUMIFS(ORE!$F:$F,ORE!$E:$E,$B118,ORE!$A:$A,G$84))</f>
        <v/>
      </c>
      <c r="H118" s="33" t="str">
        <f>IF($B118="","",SUMIFS(ORE!$F:$F,ORE!$E:$E,$B118,ORE!$A:$A,H$84))</f>
        <v/>
      </c>
      <c r="I118" s="33" t="str">
        <f>IF($B118="","",SUMIFS(ORE!$F:$F,ORE!$E:$E,$B118,ORE!$A:$A,I$84))</f>
        <v/>
      </c>
      <c r="J118" s="33" t="str">
        <f>IF($B118="","",SUMIFS(ORE!$F:$F,ORE!$E:$E,$B118,ORE!$A:$A,J$84))</f>
        <v/>
      </c>
      <c r="K118" s="33" t="str">
        <f>IF($B118="","",SUMIFS(ORE!$F:$F,ORE!$E:$E,$B118,ORE!$A:$A,K$84))</f>
        <v/>
      </c>
      <c r="L118" s="33" t="str">
        <f>IF($B118="","",SUMIFS(ORE!$F:$F,ORE!$E:$E,$B118,ORE!$A:$A,L$84))</f>
        <v/>
      </c>
      <c r="M118" s="33" t="str">
        <f>IF($B118="","",SUMIFS(ORE!$F:$F,ORE!$E:$E,$B118,ORE!$A:$A,M$84))</f>
        <v/>
      </c>
      <c r="N118" s="33" t="str">
        <f>IF($B118="","",SUMIFS(ORE!$F:$F,ORE!$E:$E,$B118,ORE!$A:$A,N$84))</f>
        <v/>
      </c>
      <c r="O118" s="33" t="str">
        <f>IF($B118="","",SUMIFS(ORE!$F:$F,ORE!$E:$E,$B118,ORE!$A:$A,O$84))</f>
        <v/>
      </c>
      <c r="P118" s="33" t="str">
        <f t="shared" si="0"/>
        <v/>
      </c>
      <c r="Q118" s="35" t="str">
        <f t="shared" si="1"/>
        <v/>
      </c>
    </row>
    <row r="119" spans="2:17" x14ac:dyDescent="0.3">
      <c r="B119" s="36" t="str">
        <f>IF(TEAM!$A36="","",TEAM!$A36)</f>
        <v/>
      </c>
      <c r="C119" s="33" t="str">
        <f>IF(TEAM!$A36="","",TEAM!$F36)</f>
        <v/>
      </c>
      <c r="D119" s="33" t="str">
        <f>IF($B119="","",SUMIFS(ORE!$F:$F,ORE!$E:$E,$B119,ORE!$A:$A,D$84))</f>
        <v/>
      </c>
      <c r="E119" s="33" t="str">
        <f>IF($B119="","",SUMIFS(ORE!$F:$F,ORE!$E:$E,$B119,ORE!$A:$A,E$84))</f>
        <v/>
      </c>
      <c r="F119" s="33" t="str">
        <f>IF($B119="","",SUMIFS(ORE!$F:$F,ORE!$E:$E,$B119,ORE!$A:$A,F$84))</f>
        <v/>
      </c>
      <c r="G119" s="33" t="str">
        <f>IF($B119="","",SUMIFS(ORE!$F:$F,ORE!$E:$E,$B119,ORE!$A:$A,G$84))</f>
        <v/>
      </c>
      <c r="H119" s="33" t="str">
        <f>IF($B119="","",SUMIFS(ORE!$F:$F,ORE!$E:$E,$B119,ORE!$A:$A,H$84))</f>
        <v/>
      </c>
      <c r="I119" s="33" t="str">
        <f>IF($B119="","",SUMIFS(ORE!$F:$F,ORE!$E:$E,$B119,ORE!$A:$A,I$84))</f>
        <v/>
      </c>
      <c r="J119" s="33" t="str">
        <f>IF($B119="","",SUMIFS(ORE!$F:$F,ORE!$E:$E,$B119,ORE!$A:$A,J$84))</f>
        <v/>
      </c>
      <c r="K119" s="33" t="str">
        <f>IF($B119="","",SUMIFS(ORE!$F:$F,ORE!$E:$E,$B119,ORE!$A:$A,K$84))</f>
        <v/>
      </c>
      <c r="L119" s="33" t="str">
        <f>IF($B119="","",SUMIFS(ORE!$F:$F,ORE!$E:$E,$B119,ORE!$A:$A,L$84))</f>
        <v/>
      </c>
      <c r="M119" s="33" t="str">
        <f>IF($B119="","",SUMIFS(ORE!$F:$F,ORE!$E:$E,$B119,ORE!$A:$A,M$84))</f>
        <v/>
      </c>
      <c r="N119" s="33" t="str">
        <f>IF($B119="","",SUMIFS(ORE!$F:$F,ORE!$E:$E,$B119,ORE!$A:$A,N$84))</f>
        <v/>
      </c>
      <c r="O119" s="33" t="str">
        <f>IF($B119="","",SUMIFS(ORE!$F:$F,ORE!$E:$E,$B119,ORE!$A:$A,O$84))</f>
        <v/>
      </c>
      <c r="P119" s="33" t="str">
        <f t="shared" si="0"/>
        <v/>
      </c>
      <c r="Q119" s="35" t="str">
        <f t="shared" si="1"/>
        <v/>
      </c>
    </row>
    <row r="120" spans="2:17" x14ac:dyDescent="0.3">
      <c r="B120" s="36" t="str">
        <f>IF(TEAM!$A37="","",TEAM!$A37)</f>
        <v/>
      </c>
      <c r="C120" s="33" t="str">
        <f>IF(TEAM!$A37="","",TEAM!$F37)</f>
        <v/>
      </c>
      <c r="D120" s="33" t="str">
        <f>IF($B120="","",SUMIFS(ORE!$F:$F,ORE!$E:$E,$B120,ORE!$A:$A,D$84))</f>
        <v/>
      </c>
      <c r="E120" s="33" t="str">
        <f>IF($B120="","",SUMIFS(ORE!$F:$F,ORE!$E:$E,$B120,ORE!$A:$A,E$84))</f>
        <v/>
      </c>
      <c r="F120" s="33" t="str">
        <f>IF($B120="","",SUMIFS(ORE!$F:$F,ORE!$E:$E,$B120,ORE!$A:$A,F$84))</f>
        <v/>
      </c>
      <c r="G120" s="33" t="str">
        <f>IF($B120="","",SUMIFS(ORE!$F:$F,ORE!$E:$E,$B120,ORE!$A:$A,G$84))</f>
        <v/>
      </c>
      <c r="H120" s="33" t="str">
        <f>IF($B120="","",SUMIFS(ORE!$F:$F,ORE!$E:$E,$B120,ORE!$A:$A,H$84))</f>
        <v/>
      </c>
      <c r="I120" s="33" t="str">
        <f>IF($B120="","",SUMIFS(ORE!$F:$F,ORE!$E:$E,$B120,ORE!$A:$A,I$84))</f>
        <v/>
      </c>
      <c r="J120" s="33" t="str">
        <f>IF($B120="","",SUMIFS(ORE!$F:$F,ORE!$E:$E,$B120,ORE!$A:$A,J$84))</f>
        <v/>
      </c>
      <c r="K120" s="33" t="str">
        <f>IF($B120="","",SUMIFS(ORE!$F:$F,ORE!$E:$E,$B120,ORE!$A:$A,K$84))</f>
        <v/>
      </c>
      <c r="L120" s="33" t="str">
        <f>IF($B120="","",SUMIFS(ORE!$F:$F,ORE!$E:$E,$B120,ORE!$A:$A,L$84))</f>
        <v/>
      </c>
      <c r="M120" s="33" t="str">
        <f>IF($B120="","",SUMIFS(ORE!$F:$F,ORE!$E:$E,$B120,ORE!$A:$A,M$84))</f>
        <v/>
      </c>
      <c r="N120" s="33" t="str">
        <f>IF($B120="","",SUMIFS(ORE!$F:$F,ORE!$E:$E,$B120,ORE!$A:$A,N$84))</f>
        <v/>
      </c>
      <c r="O120" s="33" t="str">
        <f>IF($B120="","",SUMIFS(ORE!$F:$F,ORE!$E:$E,$B120,ORE!$A:$A,O$84))</f>
        <v/>
      </c>
      <c r="P120" s="33" t="str">
        <f t="shared" si="0"/>
        <v/>
      </c>
      <c r="Q120" s="35" t="str">
        <f t="shared" si="1"/>
        <v/>
      </c>
    </row>
    <row r="121" spans="2:17" x14ac:dyDescent="0.3">
      <c r="B121" s="36" t="str">
        <f>IF(TEAM!$A38="","",TEAM!$A38)</f>
        <v/>
      </c>
      <c r="C121" s="33" t="str">
        <f>IF(TEAM!$A38="","",TEAM!$F38)</f>
        <v/>
      </c>
      <c r="D121" s="33" t="str">
        <f>IF($B121="","",SUMIFS(ORE!$F:$F,ORE!$E:$E,$B121,ORE!$A:$A,D$84))</f>
        <v/>
      </c>
      <c r="E121" s="33" t="str">
        <f>IF($B121="","",SUMIFS(ORE!$F:$F,ORE!$E:$E,$B121,ORE!$A:$A,E$84))</f>
        <v/>
      </c>
      <c r="F121" s="33" t="str">
        <f>IF($B121="","",SUMIFS(ORE!$F:$F,ORE!$E:$E,$B121,ORE!$A:$A,F$84))</f>
        <v/>
      </c>
      <c r="G121" s="33" t="str">
        <f>IF($B121="","",SUMIFS(ORE!$F:$F,ORE!$E:$E,$B121,ORE!$A:$A,G$84))</f>
        <v/>
      </c>
      <c r="H121" s="33" t="str">
        <f>IF($B121="","",SUMIFS(ORE!$F:$F,ORE!$E:$E,$B121,ORE!$A:$A,H$84))</f>
        <v/>
      </c>
      <c r="I121" s="33" t="str">
        <f>IF($B121="","",SUMIFS(ORE!$F:$F,ORE!$E:$E,$B121,ORE!$A:$A,I$84))</f>
        <v/>
      </c>
      <c r="J121" s="33" t="str">
        <f>IF($B121="","",SUMIFS(ORE!$F:$F,ORE!$E:$E,$B121,ORE!$A:$A,J$84))</f>
        <v/>
      </c>
      <c r="K121" s="33" t="str">
        <f>IF($B121="","",SUMIFS(ORE!$F:$F,ORE!$E:$E,$B121,ORE!$A:$A,K$84))</f>
        <v/>
      </c>
      <c r="L121" s="33" t="str">
        <f>IF($B121="","",SUMIFS(ORE!$F:$F,ORE!$E:$E,$B121,ORE!$A:$A,L$84))</f>
        <v/>
      </c>
      <c r="M121" s="33" t="str">
        <f>IF($B121="","",SUMIFS(ORE!$F:$F,ORE!$E:$E,$B121,ORE!$A:$A,M$84))</f>
        <v/>
      </c>
      <c r="N121" s="33" t="str">
        <f>IF($B121="","",SUMIFS(ORE!$F:$F,ORE!$E:$E,$B121,ORE!$A:$A,N$84))</f>
        <v/>
      </c>
      <c r="O121" s="33" t="str">
        <f>IF($B121="","",SUMIFS(ORE!$F:$F,ORE!$E:$E,$B121,ORE!$A:$A,O$84))</f>
        <v/>
      </c>
      <c r="P121" s="33" t="str">
        <f t="shared" si="0"/>
        <v/>
      </c>
      <c r="Q121" s="35" t="str">
        <f t="shared" si="1"/>
        <v/>
      </c>
    </row>
    <row r="122" spans="2:17" x14ac:dyDescent="0.3">
      <c r="B122" s="36" t="str">
        <f>IF(TEAM!$A39="","",TEAM!$A39)</f>
        <v/>
      </c>
      <c r="C122" s="33" t="str">
        <f>IF(TEAM!$A39="","",TEAM!$F39)</f>
        <v/>
      </c>
      <c r="D122" s="33" t="str">
        <f>IF($B122="","",SUMIFS(ORE!$F:$F,ORE!$E:$E,$B122,ORE!$A:$A,D$84))</f>
        <v/>
      </c>
      <c r="E122" s="33" t="str">
        <f>IF($B122="","",SUMIFS(ORE!$F:$F,ORE!$E:$E,$B122,ORE!$A:$A,E$84))</f>
        <v/>
      </c>
      <c r="F122" s="33" t="str">
        <f>IF($B122="","",SUMIFS(ORE!$F:$F,ORE!$E:$E,$B122,ORE!$A:$A,F$84))</f>
        <v/>
      </c>
      <c r="G122" s="33" t="str">
        <f>IF($B122="","",SUMIFS(ORE!$F:$F,ORE!$E:$E,$B122,ORE!$A:$A,G$84))</f>
        <v/>
      </c>
      <c r="H122" s="33" t="str">
        <f>IF($B122="","",SUMIFS(ORE!$F:$F,ORE!$E:$E,$B122,ORE!$A:$A,H$84))</f>
        <v/>
      </c>
      <c r="I122" s="33" t="str">
        <f>IF($B122="","",SUMIFS(ORE!$F:$F,ORE!$E:$E,$B122,ORE!$A:$A,I$84))</f>
        <v/>
      </c>
      <c r="J122" s="33" t="str">
        <f>IF($B122="","",SUMIFS(ORE!$F:$F,ORE!$E:$E,$B122,ORE!$A:$A,J$84))</f>
        <v/>
      </c>
      <c r="K122" s="33" t="str">
        <f>IF($B122="","",SUMIFS(ORE!$F:$F,ORE!$E:$E,$B122,ORE!$A:$A,K$84))</f>
        <v/>
      </c>
      <c r="L122" s="33" t="str">
        <f>IF($B122="","",SUMIFS(ORE!$F:$F,ORE!$E:$E,$B122,ORE!$A:$A,L$84))</f>
        <v/>
      </c>
      <c r="M122" s="33" t="str">
        <f>IF($B122="","",SUMIFS(ORE!$F:$F,ORE!$E:$E,$B122,ORE!$A:$A,M$84))</f>
        <v/>
      </c>
      <c r="N122" s="33" t="str">
        <f>IF($B122="","",SUMIFS(ORE!$F:$F,ORE!$E:$E,$B122,ORE!$A:$A,N$84))</f>
        <v/>
      </c>
      <c r="O122" s="33" t="str">
        <f>IF($B122="","",SUMIFS(ORE!$F:$F,ORE!$E:$E,$B122,ORE!$A:$A,O$84))</f>
        <v/>
      </c>
      <c r="P122" s="33" t="str">
        <f t="shared" si="0"/>
        <v/>
      </c>
      <c r="Q122" s="35" t="str">
        <f t="shared" si="1"/>
        <v/>
      </c>
    </row>
    <row r="123" spans="2:17" x14ac:dyDescent="0.3">
      <c r="B123" s="36" t="str">
        <f>IF(TEAM!$A40="","",TEAM!$A40)</f>
        <v/>
      </c>
      <c r="C123" s="33" t="str">
        <f>IF(TEAM!$A40="","",TEAM!$F40)</f>
        <v/>
      </c>
      <c r="D123" s="33" t="str">
        <f>IF($B123="","",SUMIFS(ORE!$F:$F,ORE!$E:$E,$B123,ORE!$A:$A,D$84))</f>
        <v/>
      </c>
      <c r="E123" s="33" t="str">
        <f>IF($B123="","",SUMIFS(ORE!$F:$F,ORE!$E:$E,$B123,ORE!$A:$A,E$84))</f>
        <v/>
      </c>
      <c r="F123" s="33" t="str">
        <f>IF($B123="","",SUMIFS(ORE!$F:$F,ORE!$E:$E,$B123,ORE!$A:$A,F$84))</f>
        <v/>
      </c>
      <c r="G123" s="33" t="str">
        <f>IF($B123="","",SUMIFS(ORE!$F:$F,ORE!$E:$E,$B123,ORE!$A:$A,G$84))</f>
        <v/>
      </c>
      <c r="H123" s="33" t="str">
        <f>IF($B123="","",SUMIFS(ORE!$F:$F,ORE!$E:$E,$B123,ORE!$A:$A,H$84))</f>
        <v/>
      </c>
      <c r="I123" s="33" t="str">
        <f>IF($B123="","",SUMIFS(ORE!$F:$F,ORE!$E:$E,$B123,ORE!$A:$A,I$84))</f>
        <v/>
      </c>
      <c r="J123" s="33" t="str">
        <f>IF($B123="","",SUMIFS(ORE!$F:$F,ORE!$E:$E,$B123,ORE!$A:$A,J$84))</f>
        <v/>
      </c>
      <c r="K123" s="33" t="str">
        <f>IF($B123="","",SUMIFS(ORE!$F:$F,ORE!$E:$E,$B123,ORE!$A:$A,K$84))</f>
        <v/>
      </c>
      <c r="L123" s="33" t="str">
        <f>IF($B123="","",SUMIFS(ORE!$F:$F,ORE!$E:$E,$B123,ORE!$A:$A,L$84))</f>
        <v/>
      </c>
      <c r="M123" s="33" t="str">
        <f>IF($B123="","",SUMIFS(ORE!$F:$F,ORE!$E:$E,$B123,ORE!$A:$A,M$84))</f>
        <v/>
      </c>
      <c r="N123" s="33" t="str">
        <f>IF($B123="","",SUMIFS(ORE!$F:$F,ORE!$E:$E,$B123,ORE!$A:$A,N$84))</f>
        <v/>
      </c>
      <c r="O123" s="33" t="str">
        <f>IF($B123="","",SUMIFS(ORE!$F:$F,ORE!$E:$E,$B123,ORE!$A:$A,O$84))</f>
        <v/>
      </c>
      <c r="P123" s="33" t="str">
        <f t="shared" si="0"/>
        <v/>
      </c>
      <c r="Q123" s="35" t="str">
        <f t="shared" si="1"/>
        <v/>
      </c>
    </row>
    <row r="124" spans="2:17" x14ac:dyDescent="0.3">
      <c r="B124" s="36" t="str">
        <f>IF(TEAM!$A41="","",TEAM!$A41)</f>
        <v/>
      </c>
      <c r="C124" s="33" t="str">
        <f>IF(TEAM!$A41="","",TEAM!$F41)</f>
        <v/>
      </c>
      <c r="D124" s="33" t="str">
        <f>IF($B124="","",SUMIFS(ORE!$F:$F,ORE!$E:$E,$B124,ORE!$A:$A,D$84))</f>
        <v/>
      </c>
      <c r="E124" s="33" t="str">
        <f>IF($B124="","",SUMIFS(ORE!$F:$F,ORE!$E:$E,$B124,ORE!$A:$A,E$84))</f>
        <v/>
      </c>
      <c r="F124" s="33" t="str">
        <f>IF($B124="","",SUMIFS(ORE!$F:$F,ORE!$E:$E,$B124,ORE!$A:$A,F$84))</f>
        <v/>
      </c>
      <c r="G124" s="33" t="str">
        <f>IF($B124="","",SUMIFS(ORE!$F:$F,ORE!$E:$E,$B124,ORE!$A:$A,G$84))</f>
        <v/>
      </c>
      <c r="H124" s="33" t="str">
        <f>IF($B124="","",SUMIFS(ORE!$F:$F,ORE!$E:$E,$B124,ORE!$A:$A,H$84))</f>
        <v/>
      </c>
      <c r="I124" s="33" t="str">
        <f>IF($B124="","",SUMIFS(ORE!$F:$F,ORE!$E:$E,$B124,ORE!$A:$A,I$84))</f>
        <v/>
      </c>
      <c r="J124" s="33" t="str">
        <f>IF($B124="","",SUMIFS(ORE!$F:$F,ORE!$E:$E,$B124,ORE!$A:$A,J$84))</f>
        <v/>
      </c>
      <c r="K124" s="33" t="str">
        <f>IF($B124="","",SUMIFS(ORE!$F:$F,ORE!$E:$E,$B124,ORE!$A:$A,K$84))</f>
        <v/>
      </c>
      <c r="L124" s="33" t="str">
        <f>IF($B124="","",SUMIFS(ORE!$F:$F,ORE!$E:$E,$B124,ORE!$A:$A,L$84))</f>
        <v/>
      </c>
      <c r="M124" s="33" t="str">
        <f>IF($B124="","",SUMIFS(ORE!$F:$F,ORE!$E:$E,$B124,ORE!$A:$A,M$84))</f>
        <v/>
      </c>
      <c r="N124" s="33" t="str">
        <f>IF($B124="","",SUMIFS(ORE!$F:$F,ORE!$E:$E,$B124,ORE!$A:$A,N$84))</f>
        <v/>
      </c>
      <c r="O124" s="33" t="str">
        <f>IF($B124="","",SUMIFS(ORE!$F:$F,ORE!$E:$E,$B124,ORE!$A:$A,O$84))</f>
        <v/>
      </c>
      <c r="P124" s="33" t="str">
        <f t="shared" si="0"/>
        <v/>
      </c>
      <c r="Q124" s="35" t="str">
        <f t="shared" si="1"/>
        <v/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tabColor rgb="FF1F3864"/>
  </sheetPr>
  <dimension ref="A1:T201"/>
  <sheetViews>
    <sheetView showGridLines="0" zoomScaleNormal="100" workbookViewId="0">
      <pane ySplit="1" topLeftCell="A2" activePane="bottomLeft" state="frozen"/>
      <selection pane="bottomLeft" activeCell="G2" sqref="G2:G201"/>
    </sheetView>
  </sheetViews>
  <sheetFormatPr defaultColWidth="8.6640625" defaultRowHeight="14.4" x14ac:dyDescent="0.3"/>
  <cols>
    <col min="1" max="1" width="20" customWidth="1"/>
    <col min="2" max="3" width="26" customWidth="1"/>
    <col min="4" max="4" width="20" customWidth="1"/>
    <col min="5" max="5" width="13" customWidth="1"/>
    <col min="6" max="6" width="15" customWidth="1"/>
    <col min="7" max="8" width="16" customWidth="1"/>
    <col min="9" max="9" width="11" customWidth="1"/>
    <col min="10" max="10" width="18" customWidth="1"/>
    <col min="11" max="12" width="20" customWidth="1"/>
    <col min="13" max="13" width="15" customWidth="1"/>
    <col min="14" max="14" width="13" customWidth="1"/>
    <col min="15" max="15" width="18" customWidth="1"/>
    <col min="16" max="16" width="16" customWidth="1"/>
    <col min="17" max="17" width="11" customWidth="1"/>
    <col min="18" max="19" width="14" customWidth="1"/>
    <col min="20" max="20" width="24" customWidth="1"/>
  </cols>
  <sheetData>
    <row r="1" spans="1:20" ht="36" customHeight="1" x14ac:dyDescent="0.3">
      <c r="A1" s="41" t="s">
        <v>304</v>
      </c>
      <c r="B1" s="41" t="s">
        <v>161</v>
      </c>
      <c r="C1" s="41" t="s">
        <v>162</v>
      </c>
      <c r="D1" s="41" t="s">
        <v>305</v>
      </c>
      <c r="E1" s="41" t="s">
        <v>306</v>
      </c>
      <c r="F1" s="41" t="s">
        <v>307</v>
      </c>
      <c r="G1" s="41" t="s">
        <v>107</v>
      </c>
      <c r="H1" s="41" t="s">
        <v>308</v>
      </c>
      <c r="I1" s="41" t="s">
        <v>309</v>
      </c>
      <c r="J1" s="41" t="s">
        <v>310</v>
      </c>
      <c r="K1" s="41" t="s">
        <v>311</v>
      </c>
      <c r="L1" s="41" t="s">
        <v>312</v>
      </c>
      <c r="M1" s="41" t="s">
        <v>313</v>
      </c>
      <c r="N1" s="41" t="s">
        <v>280</v>
      </c>
      <c r="O1" s="41" t="s">
        <v>314</v>
      </c>
      <c r="P1" s="41" t="s">
        <v>315</v>
      </c>
      <c r="Q1" s="41" t="s">
        <v>316</v>
      </c>
      <c r="R1" s="41" t="s">
        <v>124</v>
      </c>
      <c r="S1" s="41" t="s">
        <v>317</v>
      </c>
      <c r="T1" s="41" t="s">
        <v>297</v>
      </c>
    </row>
    <row r="2" spans="1:20" x14ac:dyDescent="0.3">
      <c r="A2" s="42" t="s">
        <v>933</v>
      </c>
      <c r="B2" s="42" t="s">
        <v>934</v>
      </c>
      <c r="C2" s="42" t="s">
        <v>935</v>
      </c>
      <c r="D2" s="42" t="s">
        <v>936</v>
      </c>
      <c r="E2" s="43">
        <v>46034</v>
      </c>
      <c r="F2" s="43">
        <v>46311</v>
      </c>
      <c r="G2" s="42" t="s">
        <v>318</v>
      </c>
      <c r="H2" s="44">
        <v>97000</v>
      </c>
      <c r="I2" s="33">
        <f>IF($A2="","",COUNTIFS(SERVIZI!$B:$B,$A2))</f>
        <v>2</v>
      </c>
      <c r="J2" s="34">
        <f>IF($A2="","",SUMIFS(SERVIZI!$Q:$Q,SERVIZI!$B:$B,$A2))</f>
        <v>97000</v>
      </c>
      <c r="K2" s="36" t="str">
        <f t="shared" ref="K2:K33" si="0">IF($A2="","",IF(ABS($H2-$J2)&lt;1,"OK","DIFFERENZA "&amp;TEXT($H2-$J2,"#,##0")&amp;" €"))</f>
        <v>OK</v>
      </c>
      <c r="L2" s="34">
        <f>IF($A2="","",SUMIFS(SERVIZI!$P:$P,SERVIZI!$B:$B,$A2))</f>
        <v>96999.584999999992</v>
      </c>
      <c r="M2" s="34">
        <f t="shared" ref="M2:M33" si="1">IF($A2="","",$J2-$L2)</f>
        <v>0.41500000000814907</v>
      </c>
      <c r="N2" s="33">
        <f>IF($A2="","",SUMIFS(SERVIZI!$M:$M,SERVIZI!$B:$B,$A2))</f>
        <v>224</v>
      </c>
      <c r="O2" s="34">
        <f>IF($A2="","",SUMIFS(SERVIZI!$AC:$AC,SERVIZI!$B:$B,$A2))</f>
        <v>60948</v>
      </c>
      <c r="P2" s="34">
        <f t="shared" ref="P2:P33" si="2">IF($A2="","",$J2-$O2)</f>
        <v>36052</v>
      </c>
      <c r="Q2" s="35">
        <f t="shared" ref="Q2:Q33" si="3">IF($A2="","",IFERROR($P2/$J2,0))</f>
        <v>0.37167010309278353</v>
      </c>
      <c r="R2" s="34">
        <f>IF($A2="","",SUMIFS(SERVIZI!$AK:$AK,SERVIZI!$B:$B,$A2))</f>
        <v>0</v>
      </c>
      <c r="S2" s="34">
        <f>IF($A2="","",$J2-SUMIFS(SERVIZI!$AJ:$AJ,SERVIZI!$B:$B,$A2))</f>
        <v>97000</v>
      </c>
      <c r="T2" s="36" t="str">
        <f ca="1">IF($A2="","",IF($K2&lt;&gt;"OK","QUOTE NON QUADRATE",IF(COUNTIFS(SERVIZI!$B:$B,$A2,SERVIZI!$AN:$AN,"OK")&lt;$I2,"VERIFICARE SERVIZI","OK")))</f>
        <v>VERIFICARE SERVIZI</v>
      </c>
    </row>
    <row r="3" spans="1:20" x14ac:dyDescent="0.3">
      <c r="A3" s="42"/>
      <c r="B3" s="42"/>
      <c r="C3" s="42"/>
      <c r="D3" s="42"/>
      <c r="E3" s="43"/>
      <c r="F3" s="43"/>
      <c r="G3" s="42"/>
      <c r="H3" s="44"/>
      <c r="I3" s="33" t="str">
        <f>IF($A3="","",COUNTIFS(SERVIZI!$B:$B,$A3))</f>
        <v/>
      </c>
      <c r="J3" s="34" t="str">
        <f>IF($A3="","",SUMIFS(SERVIZI!$Q:$Q,SERVIZI!$B:$B,$A3))</f>
        <v/>
      </c>
      <c r="K3" s="36" t="str">
        <f t="shared" si="0"/>
        <v/>
      </c>
      <c r="L3" s="34" t="str">
        <f>IF($A3="","",SUMIFS(SERVIZI!$P:$P,SERVIZI!$B:$B,$A3))</f>
        <v/>
      </c>
      <c r="M3" s="34" t="str">
        <f t="shared" si="1"/>
        <v/>
      </c>
      <c r="N3" s="33" t="str">
        <f>IF($A3="","",SUMIFS(SERVIZI!$M:$M,SERVIZI!$B:$B,$A3))</f>
        <v/>
      </c>
      <c r="O3" s="34" t="str">
        <f>IF($A3="","",SUMIFS(SERVIZI!$AC:$AC,SERVIZI!$B:$B,$A3))</f>
        <v/>
      </c>
      <c r="P3" s="34" t="str">
        <f t="shared" si="2"/>
        <v/>
      </c>
      <c r="Q3" s="35" t="str">
        <f t="shared" si="3"/>
        <v/>
      </c>
      <c r="R3" s="34" t="str">
        <f>IF($A3="","",SUMIFS(SERVIZI!$AK:$AK,SERVIZI!$B:$B,$A3))</f>
        <v/>
      </c>
      <c r="S3" s="34" t="str">
        <f>IF($A3="","",$J3-SUMIFS(SERVIZI!$AJ:$AJ,SERVIZI!$B:$B,$A3))</f>
        <v/>
      </c>
      <c r="T3" s="36" t="str">
        <f>IF($A3="","",IF($K3&lt;&gt;"OK","QUOTE NON QUADRATE",IF(COUNTIFS(SERVIZI!$B:$B,$A3,SERVIZI!$AN:$AN,"OK")&lt;$I3,"VERIFICARE SERVIZI","OK")))</f>
        <v/>
      </c>
    </row>
    <row r="4" spans="1:20" x14ac:dyDescent="0.3">
      <c r="A4" s="42"/>
      <c r="B4" s="42"/>
      <c r="C4" s="42"/>
      <c r="D4" s="42"/>
      <c r="E4" s="43"/>
      <c r="F4" s="43"/>
      <c r="G4" s="42"/>
      <c r="H4" s="44"/>
      <c r="I4" s="33" t="str">
        <f>IF($A4="","",COUNTIFS(SERVIZI!$B:$B,$A4))</f>
        <v/>
      </c>
      <c r="J4" s="34" t="str">
        <f>IF($A4="","",SUMIFS(SERVIZI!$Q:$Q,SERVIZI!$B:$B,$A4))</f>
        <v/>
      </c>
      <c r="K4" s="36" t="str">
        <f t="shared" si="0"/>
        <v/>
      </c>
      <c r="L4" s="34" t="str">
        <f>IF($A4="","",SUMIFS(SERVIZI!$P:$P,SERVIZI!$B:$B,$A4))</f>
        <v/>
      </c>
      <c r="M4" s="34" t="str">
        <f t="shared" si="1"/>
        <v/>
      </c>
      <c r="N4" s="33" t="str">
        <f>IF($A4="","",SUMIFS(SERVIZI!$M:$M,SERVIZI!$B:$B,$A4))</f>
        <v/>
      </c>
      <c r="O4" s="34" t="str">
        <f>IF($A4="","",SUMIFS(SERVIZI!$AC:$AC,SERVIZI!$B:$B,$A4))</f>
        <v/>
      </c>
      <c r="P4" s="34" t="str">
        <f t="shared" si="2"/>
        <v/>
      </c>
      <c r="Q4" s="35" t="str">
        <f t="shared" si="3"/>
        <v/>
      </c>
      <c r="R4" s="34" t="str">
        <f>IF($A4="","",SUMIFS(SERVIZI!$AK:$AK,SERVIZI!$B:$B,$A4))</f>
        <v/>
      </c>
      <c r="S4" s="34" t="str">
        <f>IF($A4="","",$J4-SUMIFS(SERVIZI!$AJ:$AJ,SERVIZI!$B:$B,$A4))</f>
        <v/>
      </c>
      <c r="T4" s="36" t="str">
        <f>IF($A4="","",IF($K4&lt;&gt;"OK","QUOTE NON QUADRATE",IF(COUNTIFS(SERVIZI!$B:$B,$A4,SERVIZI!$AN:$AN,"OK")&lt;$I4,"VERIFICARE SERVIZI","OK")))</f>
        <v/>
      </c>
    </row>
    <row r="5" spans="1:20" x14ac:dyDescent="0.3">
      <c r="A5" s="42"/>
      <c r="B5" s="42"/>
      <c r="C5" s="42"/>
      <c r="D5" s="42"/>
      <c r="E5" s="43"/>
      <c r="F5" s="43"/>
      <c r="G5" s="42"/>
      <c r="H5" s="44"/>
      <c r="I5" s="33" t="str">
        <f>IF($A5="","",COUNTIFS(SERVIZI!$B:$B,$A5))</f>
        <v/>
      </c>
      <c r="J5" s="34" t="str">
        <f>IF($A5="","",SUMIFS(SERVIZI!$Q:$Q,SERVIZI!$B:$B,$A5))</f>
        <v/>
      </c>
      <c r="K5" s="36" t="str">
        <f t="shared" si="0"/>
        <v/>
      </c>
      <c r="L5" s="34" t="str">
        <f>IF($A5="","",SUMIFS(SERVIZI!$P:$P,SERVIZI!$B:$B,$A5))</f>
        <v/>
      </c>
      <c r="M5" s="34" t="str">
        <f t="shared" si="1"/>
        <v/>
      </c>
      <c r="N5" s="33" t="str">
        <f>IF($A5="","",SUMIFS(SERVIZI!$M:$M,SERVIZI!$B:$B,$A5))</f>
        <v/>
      </c>
      <c r="O5" s="34" t="str">
        <f>IF($A5="","",SUMIFS(SERVIZI!$AC:$AC,SERVIZI!$B:$B,$A5))</f>
        <v/>
      </c>
      <c r="P5" s="34" t="str">
        <f t="shared" si="2"/>
        <v/>
      </c>
      <c r="Q5" s="35" t="str">
        <f t="shared" si="3"/>
        <v/>
      </c>
      <c r="R5" s="34" t="str">
        <f>IF($A5="","",SUMIFS(SERVIZI!$AK:$AK,SERVIZI!$B:$B,$A5))</f>
        <v/>
      </c>
      <c r="S5" s="34" t="str">
        <f>IF($A5="","",$J5-SUMIFS(SERVIZI!$AJ:$AJ,SERVIZI!$B:$B,$A5))</f>
        <v/>
      </c>
      <c r="T5" s="36" t="str">
        <f>IF($A5="","",IF($K5&lt;&gt;"OK","QUOTE NON QUADRATE",IF(COUNTIFS(SERVIZI!$B:$B,$A5,SERVIZI!$AN:$AN,"OK")&lt;$I5,"VERIFICARE SERVIZI","OK")))</f>
        <v/>
      </c>
    </row>
    <row r="6" spans="1:20" x14ac:dyDescent="0.3">
      <c r="A6" s="42"/>
      <c r="B6" s="42"/>
      <c r="C6" s="42"/>
      <c r="D6" s="42"/>
      <c r="E6" s="43"/>
      <c r="F6" s="43"/>
      <c r="G6" s="42"/>
      <c r="H6" s="44"/>
      <c r="I6" s="33" t="str">
        <f>IF($A6="","",COUNTIFS(SERVIZI!$B:$B,$A6))</f>
        <v/>
      </c>
      <c r="J6" s="34" t="str">
        <f>IF($A6="","",SUMIFS(SERVIZI!$Q:$Q,SERVIZI!$B:$B,$A6))</f>
        <v/>
      </c>
      <c r="K6" s="36" t="str">
        <f t="shared" si="0"/>
        <v/>
      </c>
      <c r="L6" s="34" t="str">
        <f>IF($A6="","",SUMIFS(SERVIZI!$P:$P,SERVIZI!$B:$B,$A6))</f>
        <v/>
      </c>
      <c r="M6" s="34" t="str">
        <f t="shared" si="1"/>
        <v/>
      </c>
      <c r="N6" s="33" t="str">
        <f>IF($A6="","",SUMIFS(SERVIZI!$M:$M,SERVIZI!$B:$B,$A6))</f>
        <v/>
      </c>
      <c r="O6" s="34" t="str">
        <f>IF($A6="","",SUMIFS(SERVIZI!$AC:$AC,SERVIZI!$B:$B,$A6))</f>
        <v/>
      </c>
      <c r="P6" s="34" t="str">
        <f t="shared" si="2"/>
        <v/>
      </c>
      <c r="Q6" s="35" t="str">
        <f t="shared" si="3"/>
        <v/>
      </c>
      <c r="R6" s="34" t="str">
        <f>IF($A6="","",SUMIFS(SERVIZI!$AK:$AK,SERVIZI!$B:$B,$A6))</f>
        <v/>
      </c>
      <c r="S6" s="34" t="str">
        <f>IF($A6="","",$J6-SUMIFS(SERVIZI!$AJ:$AJ,SERVIZI!$B:$B,$A6))</f>
        <v/>
      </c>
      <c r="T6" s="36" t="str">
        <f>IF($A6="","",IF($K6&lt;&gt;"OK","QUOTE NON QUADRATE",IF(COUNTIFS(SERVIZI!$B:$B,$A6,SERVIZI!$AN:$AN,"OK")&lt;$I6,"VERIFICARE SERVIZI","OK")))</f>
        <v/>
      </c>
    </row>
    <row r="7" spans="1:20" x14ac:dyDescent="0.3">
      <c r="A7" s="42"/>
      <c r="B7" s="42"/>
      <c r="C7" s="42"/>
      <c r="D7" s="42"/>
      <c r="E7" s="43"/>
      <c r="F7" s="43"/>
      <c r="G7" s="42"/>
      <c r="H7" s="44"/>
      <c r="I7" s="33" t="str">
        <f>IF($A7="","",COUNTIFS(SERVIZI!$B:$B,$A7))</f>
        <v/>
      </c>
      <c r="J7" s="34" t="str">
        <f>IF($A7="","",SUMIFS(SERVIZI!$Q:$Q,SERVIZI!$B:$B,$A7))</f>
        <v/>
      </c>
      <c r="K7" s="36" t="str">
        <f t="shared" si="0"/>
        <v/>
      </c>
      <c r="L7" s="34" t="str">
        <f>IF($A7="","",SUMIFS(SERVIZI!$P:$P,SERVIZI!$B:$B,$A7))</f>
        <v/>
      </c>
      <c r="M7" s="34" t="str">
        <f t="shared" si="1"/>
        <v/>
      </c>
      <c r="N7" s="33" t="str">
        <f>IF($A7="","",SUMIFS(SERVIZI!$M:$M,SERVIZI!$B:$B,$A7))</f>
        <v/>
      </c>
      <c r="O7" s="34" t="str">
        <f>IF($A7="","",SUMIFS(SERVIZI!$AC:$AC,SERVIZI!$B:$B,$A7))</f>
        <v/>
      </c>
      <c r="P7" s="34" t="str">
        <f t="shared" si="2"/>
        <v/>
      </c>
      <c r="Q7" s="35" t="str">
        <f t="shared" si="3"/>
        <v/>
      </c>
      <c r="R7" s="34" t="str">
        <f>IF($A7="","",SUMIFS(SERVIZI!$AK:$AK,SERVIZI!$B:$B,$A7))</f>
        <v/>
      </c>
      <c r="S7" s="34" t="str">
        <f>IF($A7="","",$J7-SUMIFS(SERVIZI!$AJ:$AJ,SERVIZI!$B:$B,$A7))</f>
        <v/>
      </c>
      <c r="T7" s="36" t="str">
        <f>IF($A7="","",IF($K7&lt;&gt;"OK","QUOTE NON QUADRATE",IF(COUNTIFS(SERVIZI!$B:$B,$A7,SERVIZI!$AN:$AN,"OK")&lt;$I7,"VERIFICARE SERVIZI","OK")))</f>
        <v/>
      </c>
    </row>
    <row r="8" spans="1:20" x14ac:dyDescent="0.3">
      <c r="A8" s="42"/>
      <c r="B8" s="42"/>
      <c r="C8" s="42"/>
      <c r="D8" s="42"/>
      <c r="E8" s="43"/>
      <c r="F8" s="43"/>
      <c r="G8" s="42"/>
      <c r="H8" s="44"/>
      <c r="I8" s="33" t="str">
        <f>IF($A8="","",COUNTIFS(SERVIZI!$B:$B,$A8))</f>
        <v/>
      </c>
      <c r="J8" s="34" t="str">
        <f>IF($A8="","",SUMIFS(SERVIZI!$Q:$Q,SERVIZI!$B:$B,$A8))</f>
        <v/>
      </c>
      <c r="K8" s="36" t="str">
        <f t="shared" si="0"/>
        <v/>
      </c>
      <c r="L8" s="34" t="str">
        <f>IF($A8="","",SUMIFS(SERVIZI!$P:$P,SERVIZI!$B:$B,$A8))</f>
        <v/>
      </c>
      <c r="M8" s="34" t="str">
        <f t="shared" si="1"/>
        <v/>
      </c>
      <c r="N8" s="33" t="str">
        <f>IF($A8="","",SUMIFS(SERVIZI!$M:$M,SERVIZI!$B:$B,$A8))</f>
        <v/>
      </c>
      <c r="O8" s="34" t="str">
        <f>IF($A8="","",SUMIFS(SERVIZI!$AC:$AC,SERVIZI!$B:$B,$A8))</f>
        <v/>
      </c>
      <c r="P8" s="34" t="str">
        <f t="shared" si="2"/>
        <v/>
      </c>
      <c r="Q8" s="35" t="str">
        <f t="shared" si="3"/>
        <v/>
      </c>
      <c r="R8" s="34" t="str">
        <f>IF($A8="","",SUMIFS(SERVIZI!$AK:$AK,SERVIZI!$B:$B,$A8))</f>
        <v/>
      </c>
      <c r="S8" s="34" t="str">
        <f>IF($A8="","",$J8-SUMIFS(SERVIZI!$AJ:$AJ,SERVIZI!$B:$B,$A8))</f>
        <v/>
      </c>
      <c r="T8" s="36" t="str">
        <f>IF($A8="","",IF($K8&lt;&gt;"OK","QUOTE NON QUADRATE",IF(COUNTIFS(SERVIZI!$B:$B,$A8,SERVIZI!$AN:$AN,"OK")&lt;$I8,"VERIFICARE SERVIZI","OK")))</f>
        <v/>
      </c>
    </row>
    <row r="9" spans="1:20" x14ac:dyDescent="0.3">
      <c r="A9" s="42"/>
      <c r="B9" s="42"/>
      <c r="C9" s="42"/>
      <c r="D9" s="42"/>
      <c r="E9" s="43"/>
      <c r="F9" s="43"/>
      <c r="G9" s="42"/>
      <c r="H9" s="44"/>
      <c r="I9" s="33" t="str">
        <f>IF($A9="","",COUNTIFS(SERVIZI!$B:$B,$A9))</f>
        <v/>
      </c>
      <c r="J9" s="34" t="str">
        <f>IF($A9="","",SUMIFS(SERVIZI!$Q:$Q,SERVIZI!$B:$B,$A9))</f>
        <v/>
      </c>
      <c r="K9" s="36" t="str">
        <f t="shared" si="0"/>
        <v/>
      </c>
      <c r="L9" s="34" t="str">
        <f>IF($A9="","",SUMIFS(SERVIZI!$P:$P,SERVIZI!$B:$B,$A9))</f>
        <v/>
      </c>
      <c r="M9" s="34" t="str">
        <f t="shared" si="1"/>
        <v/>
      </c>
      <c r="N9" s="33" t="str">
        <f>IF($A9="","",SUMIFS(SERVIZI!$M:$M,SERVIZI!$B:$B,$A9))</f>
        <v/>
      </c>
      <c r="O9" s="34" t="str">
        <f>IF($A9="","",SUMIFS(SERVIZI!$AC:$AC,SERVIZI!$B:$B,$A9))</f>
        <v/>
      </c>
      <c r="P9" s="34" t="str">
        <f t="shared" si="2"/>
        <v/>
      </c>
      <c r="Q9" s="35" t="str">
        <f t="shared" si="3"/>
        <v/>
      </c>
      <c r="R9" s="34" t="str">
        <f>IF($A9="","",SUMIFS(SERVIZI!$AK:$AK,SERVIZI!$B:$B,$A9))</f>
        <v/>
      </c>
      <c r="S9" s="34" t="str">
        <f>IF($A9="","",$J9-SUMIFS(SERVIZI!$AJ:$AJ,SERVIZI!$B:$B,$A9))</f>
        <v/>
      </c>
      <c r="T9" s="36" t="str">
        <f>IF($A9="","",IF($K9&lt;&gt;"OK","QUOTE NON QUADRATE",IF(COUNTIFS(SERVIZI!$B:$B,$A9,SERVIZI!$AN:$AN,"OK")&lt;$I9,"VERIFICARE SERVIZI","OK")))</f>
        <v/>
      </c>
    </row>
    <row r="10" spans="1:20" x14ac:dyDescent="0.3">
      <c r="A10" s="42"/>
      <c r="B10" s="42"/>
      <c r="C10" s="42"/>
      <c r="D10" s="42"/>
      <c r="E10" s="43"/>
      <c r="F10" s="43"/>
      <c r="G10" s="42"/>
      <c r="H10" s="44"/>
      <c r="I10" s="33" t="str">
        <f>IF($A10="","",COUNTIFS(SERVIZI!$B:$B,$A10))</f>
        <v/>
      </c>
      <c r="J10" s="34" t="str">
        <f>IF($A10="","",SUMIFS(SERVIZI!$Q:$Q,SERVIZI!$B:$B,$A10))</f>
        <v/>
      </c>
      <c r="K10" s="36" t="str">
        <f t="shared" si="0"/>
        <v/>
      </c>
      <c r="L10" s="34" t="str">
        <f>IF($A10="","",SUMIFS(SERVIZI!$P:$P,SERVIZI!$B:$B,$A10))</f>
        <v/>
      </c>
      <c r="M10" s="34" t="str">
        <f t="shared" si="1"/>
        <v/>
      </c>
      <c r="N10" s="33" t="str">
        <f>IF($A10="","",SUMIFS(SERVIZI!$M:$M,SERVIZI!$B:$B,$A10))</f>
        <v/>
      </c>
      <c r="O10" s="34" t="str">
        <f>IF($A10="","",SUMIFS(SERVIZI!$AC:$AC,SERVIZI!$B:$B,$A10))</f>
        <v/>
      </c>
      <c r="P10" s="34" t="str">
        <f t="shared" si="2"/>
        <v/>
      </c>
      <c r="Q10" s="35" t="str">
        <f t="shared" si="3"/>
        <v/>
      </c>
      <c r="R10" s="34" t="str">
        <f>IF($A10="","",SUMIFS(SERVIZI!$AK:$AK,SERVIZI!$B:$B,$A10))</f>
        <v/>
      </c>
      <c r="S10" s="34" t="str">
        <f>IF($A10="","",$J10-SUMIFS(SERVIZI!$AJ:$AJ,SERVIZI!$B:$B,$A10))</f>
        <v/>
      </c>
      <c r="T10" s="36" t="str">
        <f>IF($A10="","",IF($K10&lt;&gt;"OK","QUOTE NON QUADRATE",IF(COUNTIFS(SERVIZI!$B:$B,$A10,SERVIZI!$AN:$AN,"OK")&lt;$I10,"VERIFICARE SERVIZI","OK")))</f>
        <v/>
      </c>
    </row>
    <row r="11" spans="1:20" x14ac:dyDescent="0.3">
      <c r="A11" s="42"/>
      <c r="B11" s="42"/>
      <c r="C11" s="42"/>
      <c r="D11" s="42"/>
      <c r="E11" s="43"/>
      <c r="F11" s="43"/>
      <c r="G11" s="42"/>
      <c r="H11" s="44"/>
      <c r="I11" s="33" t="str">
        <f>IF($A11="","",COUNTIFS(SERVIZI!$B:$B,$A11))</f>
        <v/>
      </c>
      <c r="J11" s="34" t="str">
        <f>IF($A11="","",SUMIFS(SERVIZI!$Q:$Q,SERVIZI!$B:$B,$A11))</f>
        <v/>
      </c>
      <c r="K11" s="36" t="str">
        <f t="shared" si="0"/>
        <v/>
      </c>
      <c r="L11" s="34" t="str">
        <f>IF($A11="","",SUMIFS(SERVIZI!$P:$P,SERVIZI!$B:$B,$A11))</f>
        <v/>
      </c>
      <c r="M11" s="34" t="str">
        <f t="shared" si="1"/>
        <v/>
      </c>
      <c r="N11" s="33" t="str">
        <f>IF($A11="","",SUMIFS(SERVIZI!$M:$M,SERVIZI!$B:$B,$A11))</f>
        <v/>
      </c>
      <c r="O11" s="34" t="str">
        <f>IF($A11="","",SUMIFS(SERVIZI!$AC:$AC,SERVIZI!$B:$B,$A11))</f>
        <v/>
      </c>
      <c r="P11" s="34" t="str">
        <f t="shared" si="2"/>
        <v/>
      </c>
      <c r="Q11" s="35" t="str">
        <f t="shared" si="3"/>
        <v/>
      </c>
      <c r="R11" s="34" t="str">
        <f>IF($A11="","",SUMIFS(SERVIZI!$AK:$AK,SERVIZI!$B:$B,$A11))</f>
        <v/>
      </c>
      <c r="S11" s="34" t="str">
        <f>IF($A11="","",$J11-SUMIFS(SERVIZI!$AJ:$AJ,SERVIZI!$B:$B,$A11))</f>
        <v/>
      </c>
      <c r="T11" s="36" t="str">
        <f>IF($A11="","",IF($K11&lt;&gt;"OK","QUOTE NON QUADRATE",IF(COUNTIFS(SERVIZI!$B:$B,$A11,SERVIZI!$AN:$AN,"OK")&lt;$I11,"VERIFICARE SERVIZI","OK")))</f>
        <v/>
      </c>
    </row>
    <row r="12" spans="1:20" x14ac:dyDescent="0.3">
      <c r="A12" s="42"/>
      <c r="B12" s="42"/>
      <c r="C12" s="42"/>
      <c r="D12" s="42"/>
      <c r="E12" s="43"/>
      <c r="F12" s="43"/>
      <c r="G12" s="42"/>
      <c r="H12" s="44"/>
      <c r="I12" s="33" t="str">
        <f>IF($A12="","",COUNTIFS(SERVIZI!$B:$B,$A12))</f>
        <v/>
      </c>
      <c r="J12" s="34" t="str">
        <f>IF($A12="","",SUMIFS(SERVIZI!$Q:$Q,SERVIZI!$B:$B,$A12))</f>
        <v/>
      </c>
      <c r="K12" s="36" t="str">
        <f t="shared" si="0"/>
        <v/>
      </c>
      <c r="L12" s="34" t="str">
        <f>IF($A12="","",SUMIFS(SERVIZI!$P:$P,SERVIZI!$B:$B,$A12))</f>
        <v/>
      </c>
      <c r="M12" s="34" t="str">
        <f t="shared" si="1"/>
        <v/>
      </c>
      <c r="N12" s="33" t="str">
        <f>IF($A12="","",SUMIFS(SERVIZI!$M:$M,SERVIZI!$B:$B,$A12))</f>
        <v/>
      </c>
      <c r="O12" s="34" t="str">
        <f>IF($A12="","",SUMIFS(SERVIZI!$AC:$AC,SERVIZI!$B:$B,$A12))</f>
        <v/>
      </c>
      <c r="P12" s="34" t="str">
        <f t="shared" si="2"/>
        <v/>
      </c>
      <c r="Q12" s="35" t="str">
        <f t="shared" si="3"/>
        <v/>
      </c>
      <c r="R12" s="34" t="str">
        <f>IF($A12="","",SUMIFS(SERVIZI!$AK:$AK,SERVIZI!$B:$B,$A12))</f>
        <v/>
      </c>
      <c r="S12" s="34" t="str">
        <f>IF($A12="","",$J12-SUMIFS(SERVIZI!$AJ:$AJ,SERVIZI!$B:$B,$A12))</f>
        <v/>
      </c>
      <c r="T12" s="36" t="str">
        <f>IF($A12="","",IF($K12&lt;&gt;"OK","QUOTE NON QUADRATE",IF(COUNTIFS(SERVIZI!$B:$B,$A12,SERVIZI!$AN:$AN,"OK")&lt;$I12,"VERIFICARE SERVIZI","OK")))</f>
        <v/>
      </c>
    </row>
    <row r="13" spans="1:20" x14ac:dyDescent="0.3">
      <c r="A13" s="42"/>
      <c r="B13" s="42"/>
      <c r="C13" s="42"/>
      <c r="D13" s="42"/>
      <c r="E13" s="43"/>
      <c r="F13" s="43"/>
      <c r="G13" s="42"/>
      <c r="H13" s="44"/>
      <c r="I13" s="33" t="str">
        <f>IF($A13="","",COUNTIFS(SERVIZI!$B:$B,$A13))</f>
        <v/>
      </c>
      <c r="J13" s="34" t="str">
        <f>IF($A13="","",SUMIFS(SERVIZI!$Q:$Q,SERVIZI!$B:$B,$A13))</f>
        <v/>
      </c>
      <c r="K13" s="36" t="str">
        <f t="shared" si="0"/>
        <v/>
      </c>
      <c r="L13" s="34" t="str">
        <f>IF($A13="","",SUMIFS(SERVIZI!$P:$P,SERVIZI!$B:$B,$A13))</f>
        <v/>
      </c>
      <c r="M13" s="34" t="str">
        <f t="shared" si="1"/>
        <v/>
      </c>
      <c r="N13" s="33" t="str">
        <f>IF($A13="","",SUMIFS(SERVIZI!$M:$M,SERVIZI!$B:$B,$A13))</f>
        <v/>
      </c>
      <c r="O13" s="34" t="str">
        <f>IF($A13="","",SUMIFS(SERVIZI!$AC:$AC,SERVIZI!$B:$B,$A13))</f>
        <v/>
      </c>
      <c r="P13" s="34" t="str">
        <f t="shared" si="2"/>
        <v/>
      </c>
      <c r="Q13" s="35" t="str">
        <f t="shared" si="3"/>
        <v/>
      </c>
      <c r="R13" s="34" t="str">
        <f>IF($A13="","",SUMIFS(SERVIZI!$AK:$AK,SERVIZI!$B:$B,$A13))</f>
        <v/>
      </c>
      <c r="S13" s="34" t="str">
        <f>IF($A13="","",$J13-SUMIFS(SERVIZI!$AJ:$AJ,SERVIZI!$B:$B,$A13))</f>
        <v/>
      </c>
      <c r="T13" s="36" t="str">
        <f>IF($A13="","",IF($K13&lt;&gt;"OK","QUOTE NON QUADRATE",IF(COUNTIFS(SERVIZI!$B:$B,$A13,SERVIZI!$AN:$AN,"OK")&lt;$I13,"VERIFICARE SERVIZI","OK")))</f>
        <v/>
      </c>
    </row>
    <row r="14" spans="1:20" x14ac:dyDescent="0.3">
      <c r="A14" s="42"/>
      <c r="B14" s="42"/>
      <c r="C14" s="42"/>
      <c r="D14" s="42"/>
      <c r="E14" s="43"/>
      <c r="F14" s="43"/>
      <c r="G14" s="42"/>
      <c r="H14" s="44"/>
      <c r="I14" s="33" t="str">
        <f>IF($A14="","",COUNTIFS(SERVIZI!$B:$B,$A14))</f>
        <v/>
      </c>
      <c r="J14" s="34" t="str">
        <f>IF($A14="","",SUMIFS(SERVIZI!$Q:$Q,SERVIZI!$B:$B,$A14))</f>
        <v/>
      </c>
      <c r="K14" s="36" t="str">
        <f t="shared" si="0"/>
        <v/>
      </c>
      <c r="L14" s="34" t="str">
        <f>IF($A14="","",SUMIFS(SERVIZI!$P:$P,SERVIZI!$B:$B,$A14))</f>
        <v/>
      </c>
      <c r="M14" s="34" t="str">
        <f t="shared" si="1"/>
        <v/>
      </c>
      <c r="N14" s="33" t="str">
        <f>IF($A14="","",SUMIFS(SERVIZI!$M:$M,SERVIZI!$B:$B,$A14))</f>
        <v/>
      </c>
      <c r="O14" s="34" t="str">
        <f>IF($A14="","",SUMIFS(SERVIZI!$AC:$AC,SERVIZI!$B:$B,$A14))</f>
        <v/>
      </c>
      <c r="P14" s="34" t="str">
        <f t="shared" si="2"/>
        <v/>
      </c>
      <c r="Q14" s="35" t="str">
        <f t="shared" si="3"/>
        <v/>
      </c>
      <c r="R14" s="34" t="str">
        <f>IF($A14="","",SUMIFS(SERVIZI!$AK:$AK,SERVIZI!$B:$B,$A14))</f>
        <v/>
      </c>
      <c r="S14" s="34" t="str">
        <f>IF($A14="","",$J14-SUMIFS(SERVIZI!$AJ:$AJ,SERVIZI!$B:$B,$A14))</f>
        <v/>
      </c>
      <c r="T14" s="36" t="str">
        <f>IF($A14="","",IF($K14&lt;&gt;"OK","QUOTE NON QUADRATE",IF(COUNTIFS(SERVIZI!$B:$B,$A14,SERVIZI!$AN:$AN,"OK")&lt;$I14,"VERIFICARE SERVIZI","OK")))</f>
        <v/>
      </c>
    </row>
    <row r="15" spans="1:20" x14ac:dyDescent="0.3">
      <c r="A15" s="42"/>
      <c r="B15" s="42"/>
      <c r="C15" s="42"/>
      <c r="D15" s="42"/>
      <c r="E15" s="43"/>
      <c r="F15" s="43"/>
      <c r="G15" s="42"/>
      <c r="H15" s="44"/>
      <c r="I15" s="33" t="str">
        <f>IF($A15="","",COUNTIFS(SERVIZI!$B:$B,$A15))</f>
        <v/>
      </c>
      <c r="J15" s="34" t="str">
        <f>IF($A15="","",SUMIFS(SERVIZI!$Q:$Q,SERVIZI!$B:$B,$A15))</f>
        <v/>
      </c>
      <c r="K15" s="36" t="str">
        <f t="shared" si="0"/>
        <v/>
      </c>
      <c r="L15" s="34" t="str">
        <f>IF($A15="","",SUMIFS(SERVIZI!$P:$P,SERVIZI!$B:$B,$A15))</f>
        <v/>
      </c>
      <c r="M15" s="34" t="str">
        <f t="shared" si="1"/>
        <v/>
      </c>
      <c r="N15" s="33" t="str">
        <f>IF($A15="","",SUMIFS(SERVIZI!$M:$M,SERVIZI!$B:$B,$A15))</f>
        <v/>
      </c>
      <c r="O15" s="34" t="str">
        <f>IF($A15="","",SUMIFS(SERVIZI!$AC:$AC,SERVIZI!$B:$B,$A15))</f>
        <v/>
      </c>
      <c r="P15" s="34" t="str">
        <f t="shared" si="2"/>
        <v/>
      </c>
      <c r="Q15" s="35" t="str">
        <f t="shared" si="3"/>
        <v/>
      </c>
      <c r="R15" s="34" t="str">
        <f>IF($A15="","",SUMIFS(SERVIZI!$AK:$AK,SERVIZI!$B:$B,$A15))</f>
        <v/>
      </c>
      <c r="S15" s="34" t="str">
        <f>IF($A15="","",$J15-SUMIFS(SERVIZI!$AJ:$AJ,SERVIZI!$B:$B,$A15))</f>
        <v/>
      </c>
      <c r="T15" s="36" t="str">
        <f>IF($A15="","",IF($K15&lt;&gt;"OK","QUOTE NON QUADRATE",IF(COUNTIFS(SERVIZI!$B:$B,$A15,SERVIZI!$AN:$AN,"OK")&lt;$I15,"VERIFICARE SERVIZI","OK")))</f>
        <v/>
      </c>
    </row>
    <row r="16" spans="1:20" x14ac:dyDescent="0.3">
      <c r="A16" s="42"/>
      <c r="B16" s="42"/>
      <c r="C16" s="42"/>
      <c r="D16" s="42"/>
      <c r="E16" s="43"/>
      <c r="F16" s="43"/>
      <c r="G16" s="42"/>
      <c r="H16" s="44"/>
      <c r="I16" s="33" t="str">
        <f>IF($A16="","",COUNTIFS(SERVIZI!$B:$B,$A16))</f>
        <v/>
      </c>
      <c r="J16" s="34" t="str">
        <f>IF($A16="","",SUMIFS(SERVIZI!$Q:$Q,SERVIZI!$B:$B,$A16))</f>
        <v/>
      </c>
      <c r="K16" s="36" t="str">
        <f t="shared" si="0"/>
        <v/>
      </c>
      <c r="L16" s="34" t="str">
        <f>IF($A16="","",SUMIFS(SERVIZI!$P:$P,SERVIZI!$B:$B,$A16))</f>
        <v/>
      </c>
      <c r="M16" s="34" t="str">
        <f t="shared" si="1"/>
        <v/>
      </c>
      <c r="N16" s="33" t="str">
        <f>IF($A16="","",SUMIFS(SERVIZI!$M:$M,SERVIZI!$B:$B,$A16))</f>
        <v/>
      </c>
      <c r="O16" s="34" t="str">
        <f>IF($A16="","",SUMIFS(SERVIZI!$AC:$AC,SERVIZI!$B:$B,$A16))</f>
        <v/>
      </c>
      <c r="P16" s="34" t="str">
        <f t="shared" si="2"/>
        <v/>
      </c>
      <c r="Q16" s="35" t="str">
        <f t="shared" si="3"/>
        <v/>
      </c>
      <c r="R16" s="34" t="str">
        <f>IF($A16="","",SUMIFS(SERVIZI!$AK:$AK,SERVIZI!$B:$B,$A16))</f>
        <v/>
      </c>
      <c r="S16" s="34" t="str">
        <f>IF($A16="","",$J16-SUMIFS(SERVIZI!$AJ:$AJ,SERVIZI!$B:$B,$A16))</f>
        <v/>
      </c>
      <c r="T16" s="36" t="str">
        <f>IF($A16="","",IF($K16&lt;&gt;"OK","QUOTE NON QUADRATE",IF(COUNTIFS(SERVIZI!$B:$B,$A16,SERVIZI!$AN:$AN,"OK")&lt;$I16,"VERIFICARE SERVIZI","OK")))</f>
        <v/>
      </c>
    </row>
    <row r="17" spans="1:20" x14ac:dyDescent="0.3">
      <c r="A17" s="42"/>
      <c r="B17" s="42"/>
      <c r="C17" s="42"/>
      <c r="D17" s="42"/>
      <c r="E17" s="43"/>
      <c r="F17" s="43"/>
      <c r="G17" s="42"/>
      <c r="H17" s="44"/>
      <c r="I17" s="33" t="str">
        <f>IF($A17="","",COUNTIFS(SERVIZI!$B:$B,$A17))</f>
        <v/>
      </c>
      <c r="J17" s="34" t="str">
        <f>IF($A17="","",SUMIFS(SERVIZI!$Q:$Q,SERVIZI!$B:$B,$A17))</f>
        <v/>
      </c>
      <c r="K17" s="36" t="str">
        <f t="shared" si="0"/>
        <v/>
      </c>
      <c r="L17" s="34" t="str">
        <f>IF($A17="","",SUMIFS(SERVIZI!$P:$P,SERVIZI!$B:$B,$A17))</f>
        <v/>
      </c>
      <c r="M17" s="34" t="str">
        <f t="shared" si="1"/>
        <v/>
      </c>
      <c r="N17" s="33" t="str">
        <f>IF($A17="","",SUMIFS(SERVIZI!$M:$M,SERVIZI!$B:$B,$A17))</f>
        <v/>
      </c>
      <c r="O17" s="34" t="str">
        <f>IF($A17="","",SUMIFS(SERVIZI!$AC:$AC,SERVIZI!$B:$B,$A17))</f>
        <v/>
      </c>
      <c r="P17" s="34" t="str">
        <f t="shared" si="2"/>
        <v/>
      </c>
      <c r="Q17" s="35" t="str">
        <f t="shared" si="3"/>
        <v/>
      </c>
      <c r="R17" s="34" t="str">
        <f>IF($A17="","",SUMIFS(SERVIZI!$AK:$AK,SERVIZI!$B:$B,$A17))</f>
        <v/>
      </c>
      <c r="S17" s="34" t="str">
        <f>IF($A17="","",$J17-SUMIFS(SERVIZI!$AJ:$AJ,SERVIZI!$B:$B,$A17))</f>
        <v/>
      </c>
      <c r="T17" s="36" t="str">
        <f>IF($A17="","",IF($K17&lt;&gt;"OK","QUOTE NON QUADRATE",IF(COUNTIFS(SERVIZI!$B:$B,$A17,SERVIZI!$AN:$AN,"OK")&lt;$I17,"VERIFICARE SERVIZI","OK")))</f>
        <v/>
      </c>
    </row>
    <row r="18" spans="1:20" x14ac:dyDescent="0.3">
      <c r="A18" s="42"/>
      <c r="B18" s="42"/>
      <c r="C18" s="42"/>
      <c r="D18" s="42"/>
      <c r="E18" s="43"/>
      <c r="F18" s="43"/>
      <c r="G18" s="42"/>
      <c r="H18" s="44"/>
      <c r="I18" s="33" t="str">
        <f>IF($A18="","",COUNTIFS(SERVIZI!$B:$B,$A18))</f>
        <v/>
      </c>
      <c r="J18" s="34" t="str">
        <f>IF($A18="","",SUMIFS(SERVIZI!$Q:$Q,SERVIZI!$B:$B,$A18))</f>
        <v/>
      </c>
      <c r="K18" s="36" t="str">
        <f t="shared" si="0"/>
        <v/>
      </c>
      <c r="L18" s="34" t="str">
        <f>IF($A18="","",SUMIFS(SERVIZI!$P:$P,SERVIZI!$B:$B,$A18))</f>
        <v/>
      </c>
      <c r="M18" s="34" t="str">
        <f t="shared" si="1"/>
        <v/>
      </c>
      <c r="N18" s="33" t="str">
        <f>IF($A18="","",SUMIFS(SERVIZI!$M:$M,SERVIZI!$B:$B,$A18))</f>
        <v/>
      </c>
      <c r="O18" s="34" t="str">
        <f>IF($A18="","",SUMIFS(SERVIZI!$AC:$AC,SERVIZI!$B:$B,$A18))</f>
        <v/>
      </c>
      <c r="P18" s="34" t="str">
        <f t="shared" si="2"/>
        <v/>
      </c>
      <c r="Q18" s="35" t="str">
        <f t="shared" si="3"/>
        <v/>
      </c>
      <c r="R18" s="34" t="str">
        <f>IF($A18="","",SUMIFS(SERVIZI!$AK:$AK,SERVIZI!$B:$B,$A18))</f>
        <v/>
      </c>
      <c r="S18" s="34" t="str">
        <f>IF($A18="","",$J18-SUMIFS(SERVIZI!$AJ:$AJ,SERVIZI!$B:$B,$A18))</f>
        <v/>
      </c>
      <c r="T18" s="36" t="str">
        <f>IF($A18="","",IF($K18&lt;&gt;"OK","QUOTE NON QUADRATE",IF(COUNTIFS(SERVIZI!$B:$B,$A18,SERVIZI!$AN:$AN,"OK")&lt;$I18,"VERIFICARE SERVIZI","OK")))</f>
        <v/>
      </c>
    </row>
    <row r="19" spans="1:20" x14ac:dyDescent="0.3">
      <c r="A19" s="42"/>
      <c r="B19" s="42"/>
      <c r="C19" s="42"/>
      <c r="D19" s="42"/>
      <c r="E19" s="43"/>
      <c r="F19" s="43"/>
      <c r="G19" s="42"/>
      <c r="H19" s="44"/>
      <c r="I19" s="33" t="str">
        <f>IF($A19="","",COUNTIFS(SERVIZI!$B:$B,$A19))</f>
        <v/>
      </c>
      <c r="J19" s="34" t="str">
        <f>IF($A19="","",SUMIFS(SERVIZI!$Q:$Q,SERVIZI!$B:$B,$A19))</f>
        <v/>
      </c>
      <c r="K19" s="36" t="str">
        <f t="shared" si="0"/>
        <v/>
      </c>
      <c r="L19" s="34" t="str">
        <f>IF($A19="","",SUMIFS(SERVIZI!$P:$P,SERVIZI!$B:$B,$A19))</f>
        <v/>
      </c>
      <c r="M19" s="34" t="str">
        <f t="shared" si="1"/>
        <v/>
      </c>
      <c r="N19" s="33" t="str">
        <f>IF($A19="","",SUMIFS(SERVIZI!$M:$M,SERVIZI!$B:$B,$A19))</f>
        <v/>
      </c>
      <c r="O19" s="34" t="str">
        <f>IF($A19="","",SUMIFS(SERVIZI!$AC:$AC,SERVIZI!$B:$B,$A19))</f>
        <v/>
      </c>
      <c r="P19" s="34" t="str">
        <f t="shared" si="2"/>
        <v/>
      </c>
      <c r="Q19" s="35" t="str">
        <f t="shared" si="3"/>
        <v/>
      </c>
      <c r="R19" s="34" t="str">
        <f>IF($A19="","",SUMIFS(SERVIZI!$AK:$AK,SERVIZI!$B:$B,$A19))</f>
        <v/>
      </c>
      <c r="S19" s="34" t="str">
        <f>IF($A19="","",$J19-SUMIFS(SERVIZI!$AJ:$AJ,SERVIZI!$B:$B,$A19))</f>
        <v/>
      </c>
      <c r="T19" s="36" t="str">
        <f>IF($A19="","",IF($K19&lt;&gt;"OK","QUOTE NON QUADRATE",IF(COUNTIFS(SERVIZI!$B:$B,$A19,SERVIZI!$AN:$AN,"OK")&lt;$I19,"VERIFICARE SERVIZI","OK")))</f>
        <v/>
      </c>
    </row>
    <row r="20" spans="1:20" x14ac:dyDescent="0.3">
      <c r="A20" s="42"/>
      <c r="B20" s="42"/>
      <c r="C20" s="42"/>
      <c r="D20" s="42"/>
      <c r="E20" s="43"/>
      <c r="F20" s="43"/>
      <c r="G20" s="42"/>
      <c r="H20" s="44"/>
      <c r="I20" s="33" t="str">
        <f>IF($A20="","",COUNTIFS(SERVIZI!$B:$B,$A20))</f>
        <v/>
      </c>
      <c r="J20" s="34" t="str">
        <f>IF($A20="","",SUMIFS(SERVIZI!$Q:$Q,SERVIZI!$B:$B,$A20))</f>
        <v/>
      </c>
      <c r="K20" s="36" t="str">
        <f t="shared" si="0"/>
        <v/>
      </c>
      <c r="L20" s="34" t="str">
        <f>IF($A20="","",SUMIFS(SERVIZI!$P:$P,SERVIZI!$B:$B,$A20))</f>
        <v/>
      </c>
      <c r="M20" s="34" t="str">
        <f t="shared" si="1"/>
        <v/>
      </c>
      <c r="N20" s="33" t="str">
        <f>IF($A20="","",SUMIFS(SERVIZI!$M:$M,SERVIZI!$B:$B,$A20))</f>
        <v/>
      </c>
      <c r="O20" s="34" t="str">
        <f>IF($A20="","",SUMIFS(SERVIZI!$AC:$AC,SERVIZI!$B:$B,$A20))</f>
        <v/>
      </c>
      <c r="P20" s="34" t="str">
        <f t="shared" si="2"/>
        <v/>
      </c>
      <c r="Q20" s="35" t="str">
        <f t="shared" si="3"/>
        <v/>
      </c>
      <c r="R20" s="34" t="str">
        <f>IF($A20="","",SUMIFS(SERVIZI!$AK:$AK,SERVIZI!$B:$B,$A20))</f>
        <v/>
      </c>
      <c r="S20" s="34" t="str">
        <f>IF($A20="","",$J20-SUMIFS(SERVIZI!$AJ:$AJ,SERVIZI!$B:$B,$A20))</f>
        <v/>
      </c>
      <c r="T20" s="36" t="str">
        <f>IF($A20="","",IF($K20&lt;&gt;"OK","QUOTE NON QUADRATE",IF(COUNTIFS(SERVIZI!$B:$B,$A20,SERVIZI!$AN:$AN,"OK")&lt;$I20,"VERIFICARE SERVIZI","OK")))</f>
        <v/>
      </c>
    </row>
    <row r="21" spans="1:20" x14ac:dyDescent="0.3">
      <c r="A21" s="42"/>
      <c r="B21" s="42"/>
      <c r="C21" s="42"/>
      <c r="D21" s="42"/>
      <c r="E21" s="43"/>
      <c r="F21" s="43"/>
      <c r="G21" s="42"/>
      <c r="H21" s="44"/>
      <c r="I21" s="33" t="str">
        <f>IF($A21="","",COUNTIFS(SERVIZI!$B:$B,$A21))</f>
        <v/>
      </c>
      <c r="J21" s="34" t="str">
        <f>IF($A21="","",SUMIFS(SERVIZI!$Q:$Q,SERVIZI!$B:$B,$A21))</f>
        <v/>
      </c>
      <c r="K21" s="36" t="str">
        <f t="shared" si="0"/>
        <v/>
      </c>
      <c r="L21" s="34" t="str">
        <f>IF($A21="","",SUMIFS(SERVIZI!$P:$P,SERVIZI!$B:$B,$A21))</f>
        <v/>
      </c>
      <c r="M21" s="34" t="str">
        <f t="shared" si="1"/>
        <v/>
      </c>
      <c r="N21" s="33" t="str">
        <f>IF($A21="","",SUMIFS(SERVIZI!$M:$M,SERVIZI!$B:$B,$A21))</f>
        <v/>
      </c>
      <c r="O21" s="34" t="str">
        <f>IF($A21="","",SUMIFS(SERVIZI!$AC:$AC,SERVIZI!$B:$B,$A21))</f>
        <v/>
      </c>
      <c r="P21" s="34" t="str">
        <f t="shared" si="2"/>
        <v/>
      </c>
      <c r="Q21" s="35" t="str">
        <f t="shared" si="3"/>
        <v/>
      </c>
      <c r="R21" s="34" t="str">
        <f>IF($A21="","",SUMIFS(SERVIZI!$AK:$AK,SERVIZI!$B:$B,$A21))</f>
        <v/>
      </c>
      <c r="S21" s="34" t="str">
        <f>IF($A21="","",$J21-SUMIFS(SERVIZI!$AJ:$AJ,SERVIZI!$B:$B,$A21))</f>
        <v/>
      </c>
      <c r="T21" s="36" t="str">
        <f>IF($A21="","",IF($K21&lt;&gt;"OK","QUOTE NON QUADRATE",IF(COUNTIFS(SERVIZI!$B:$B,$A21,SERVIZI!$AN:$AN,"OK")&lt;$I21,"VERIFICARE SERVIZI","OK")))</f>
        <v/>
      </c>
    </row>
    <row r="22" spans="1:20" x14ac:dyDescent="0.3">
      <c r="A22" s="42"/>
      <c r="B22" s="42"/>
      <c r="C22" s="42"/>
      <c r="D22" s="42"/>
      <c r="E22" s="43"/>
      <c r="F22" s="43"/>
      <c r="G22" s="42"/>
      <c r="H22" s="44"/>
      <c r="I22" s="33" t="str">
        <f>IF($A22="","",COUNTIFS(SERVIZI!$B:$B,$A22))</f>
        <v/>
      </c>
      <c r="J22" s="34" t="str">
        <f>IF($A22="","",SUMIFS(SERVIZI!$Q:$Q,SERVIZI!$B:$B,$A22))</f>
        <v/>
      </c>
      <c r="K22" s="36" t="str">
        <f t="shared" si="0"/>
        <v/>
      </c>
      <c r="L22" s="34" t="str">
        <f>IF($A22="","",SUMIFS(SERVIZI!$P:$P,SERVIZI!$B:$B,$A22))</f>
        <v/>
      </c>
      <c r="M22" s="34" t="str">
        <f t="shared" si="1"/>
        <v/>
      </c>
      <c r="N22" s="33" t="str">
        <f>IF($A22="","",SUMIFS(SERVIZI!$M:$M,SERVIZI!$B:$B,$A22))</f>
        <v/>
      </c>
      <c r="O22" s="34" t="str">
        <f>IF($A22="","",SUMIFS(SERVIZI!$AC:$AC,SERVIZI!$B:$B,$A22))</f>
        <v/>
      </c>
      <c r="P22" s="34" t="str">
        <f t="shared" si="2"/>
        <v/>
      </c>
      <c r="Q22" s="35" t="str">
        <f t="shared" si="3"/>
        <v/>
      </c>
      <c r="R22" s="34" t="str">
        <f>IF($A22="","",SUMIFS(SERVIZI!$AK:$AK,SERVIZI!$B:$B,$A22))</f>
        <v/>
      </c>
      <c r="S22" s="34" t="str">
        <f>IF($A22="","",$J22-SUMIFS(SERVIZI!$AJ:$AJ,SERVIZI!$B:$B,$A22))</f>
        <v/>
      </c>
      <c r="T22" s="36" t="str">
        <f>IF($A22="","",IF($K22&lt;&gt;"OK","QUOTE NON QUADRATE",IF(COUNTIFS(SERVIZI!$B:$B,$A22,SERVIZI!$AN:$AN,"OK")&lt;$I22,"VERIFICARE SERVIZI","OK")))</f>
        <v/>
      </c>
    </row>
    <row r="23" spans="1:20" x14ac:dyDescent="0.3">
      <c r="A23" s="42"/>
      <c r="B23" s="42"/>
      <c r="C23" s="42"/>
      <c r="D23" s="42"/>
      <c r="E23" s="43"/>
      <c r="F23" s="43"/>
      <c r="G23" s="42"/>
      <c r="H23" s="44"/>
      <c r="I23" s="33" t="str">
        <f>IF($A23="","",COUNTIFS(SERVIZI!$B:$B,$A23))</f>
        <v/>
      </c>
      <c r="J23" s="34" t="str">
        <f>IF($A23="","",SUMIFS(SERVIZI!$Q:$Q,SERVIZI!$B:$B,$A23))</f>
        <v/>
      </c>
      <c r="K23" s="36" t="str">
        <f t="shared" si="0"/>
        <v/>
      </c>
      <c r="L23" s="34" t="str">
        <f>IF($A23="","",SUMIFS(SERVIZI!$P:$P,SERVIZI!$B:$B,$A23))</f>
        <v/>
      </c>
      <c r="M23" s="34" t="str">
        <f t="shared" si="1"/>
        <v/>
      </c>
      <c r="N23" s="33" t="str">
        <f>IF($A23="","",SUMIFS(SERVIZI!$M:$M,SERVIZI!$B:$B,$A23))</f>
        <v/>
      </c>
      <c r="O23" s="34" t="str">
        <f>IF($A23="","",SUMIFS(SERVIZI!$AC:$AC,SERVIZI!$B:$B,$A23))</f>
        <v/>
      </c>
      <c r="P23" s="34" t="str">
        <f t="shared" si="2"/>
        <v/>
      </c>
      <c r="Q23" s="35" t="str">
        <f t="shared" si="3"/>
        <v/>
      </c>
      <c r="R23" s="34" t="str">
        <f>IF($A23="","",SUMIFS(SERVIZI!$AK:$AK,SERVIZI!$B:$B,$A23))</f>
        <v/>
      </c>
      <c r="S23" s="34" t="str">
        <f>IF($A23="","",$J23-SUMIFS(SERVIZI!$AJ:$AJ,SERVIZI!$B:$B,$A23))</f>
        <v/>
      </c>
      <c r="T23" s="36" t="str">
        <f>IF($A23="","",IF($K23&lt;&gt;"OK","QUOTE NON QUADRATE",IF(COUNTIFS(SERVIZI!$B:$B,$A23,SERVIZI!$AN:$AN,"OK")&lt;$I23,"VERIFICARE SERVIZI","OK")))</f>
        <v/>
      </c>
    </row>
    <row r="24" spans="1:20" x14ac:dyDescent="0.3">
      <c r="A24" s="42"/>
      <c r="B24" s="42"/>
      <c r="C24" s="42"/>
      <c r="D24" s="42"/>
      <c r="E24" s="43"/>
      <c r="F24" s="43"/>
      <c r="G24" s="42"/>
      <c r="H24" s="44"/>
      <c r="I24" s="33" t="str">
        <f>IF($A24="","",COUNTIFS(SERVIZI!$B:$B,$A24))</f>
        <v/>
      </c>
      <c r="J24" s="34" t="str">
        <f>IF($A24="","",SUMIFS(SERVIZI!$Q:$Q,SERVIZI!$B:$B,$A24))</f>
        <v/>
      </c>
      <c r="K24" s="36" t="str">
        <f t="shared" si="0"/>
        <v/>
      </c>
      <c r="L24" s="34" t="str">
        <f>IF($A24="","",SUMIFS(SERVIZI!$P:$P,SERVIZI!$B:$B,$A24))</f>
        <v/>
      </c>
      <c r="M24" s="34" t="str">
        <f t="shared" si="1"/>
        <v/>
      </c>
      <c r="N24" s="33" t="str">
        <f>IF($A24="","",SUMIFS(SERVIZI!$M:$M,SERVIZI!$B:$B,$A24))</f>
        <v/>
      </c>
      <c r="O24" s="34" t="str">
        <f>IF($A24="","",SUMIFS(SERVIZI!$AC:$AC,SERVIZI!$B:$B,$A24))</f>
        <v/>
      </c>
      <c r="P24" s="34" t="str">
        <f t="shared" si="2"/>
        <v/>
      </c>
      <c r="Q24" s="35" t="str">
        <f t="shared" si="3"/>
        <v/>
      </c>
      <c r="R24" s="34" t="str">
        <f>IF($A24="","",SUMIFS(SERVIZI!$AK:$AK,SERVIZI!$B:$B,$A24))</f>
        <v/>
      </c>
      <c r="S24" s="34" t="str">
        <f>IF($A24="","",$J24-SUMIFS(SERVIZI!$AJ:$AJ,SERVIZI!$B:$B,$A24))</f>
        <v/>
      </c>
      <c r="T24" s="36" t="str">
        <f>IF($A24="","",IF($K24&lt;&gt;"OK","QUOTE NON QUADRATE",IF(COUNTIFS(SERVIZI!$B:$B,$A24,SERVIZI!$AN:$AN,"OK")&lt;$I24,"VERIFICARE SERVIZI","OK")))</f>
        <v/>
      </c>
    </row>
    <row r="25" spans="1:20" x14ac:dyDescent="0.3">
      <c r="A25" s="42"/>
      <c r="B25" s="42"/>
      <c r="C25" s="42"/>
      <c r="D25" s="42"/>
      <c r="E25" s="43"/>
      <c r="F25" s="43"/>
      <c r="G25" s="42"/>
      <c r="H25" s="44"/>
      <c r="I25" s="33" t="str">
        <f>IF($A25="","",COUNTIFS(SERVIZI!$B:$B,$A25))</f>
        <v/>
      </c>
      <c r="J25" s="34" t="str">
        <f>IF($A25="","",SUMIFS(SERVIZI!$Q:$Q,SERVIZI!$B:$B,$A25))</f>
        <v/>
      </c>
      <c r="K25" s="36" t="str">
        <f t="shared" si="0"/>
        <v/>
      </c>
      <c r="L25" s="34" t="str">
        <f>IF($A25="","",SUMIFS(SERVIZI!$P:$P,SERVIZI!$B:$B,$A25))</f>
        <v/>
      </c>
      <c r="M25" s="34" t="str">
        <f t="shared" si="1"/>
        <v/>
      </c>
      <c r="N25" s="33" t="str">
        <f>IF($A25="","",SUMIFS(SERVIZI!$M:$M,SERVIZI!$B:$B,$A25))</f>
        <v/>
      </c>
      <c r="O25" s="34" t="str">
        <f>IF($A25="","",SUMIFS(SERVIZI!$AC:$AC,SERVIZI!$B:$B,$A25))</f>
        <v/>
      </c>
      <c r="P25" s="34" t="str">
        <f t="shared" si="2"/>
        <v/>
      </c>
      <c r="Q25" s="35" t="str">
        <f t="shared" si="3"/>
        <v/>
      </c>
      <c r="R25" s="34" t="str">
        <f>IF($A25="","",SUMIFS(SERVIZI!$AK:$AK,SERVIZI!$B:$B,$A25))</f>
        <v/>
      </c>
      <c r="S25" s="34" t="str">
        <f>IF($A25="","",$J25-SUMIFS(SERVIZI!$AJ:$AJ,SERVIZI!$B:$B,$A25))</f>
        <v/>
      </c>
      <c r="T25" s="36" t="str">
        <f>IF($A25="","",IF($K25&lt;&gt;"OK","QUOTE NON QUADRATE",IF(COUNTIFS(SERVIZI!$B:$B,$A25,SERVIZI!$AN:$AN,"OK")&lt;$I25,"VERIFICARE SERVIZI","OK")))</f>
        <v/>
      </c>
    </row>
    <row r="26" spans="1:20" x14ac:dyDescent="0.3">
      <c r="A26" s="42"/>
      <c r="B26" s="42"/>
      <c r="C26" s="42"/>
      <c r="D26" s="42"/>
      <c r="E26" s="43"/>
      <c r="F26" s="43"/>
      <c r="G26" s="42"/>
      <c r="H26" s="44"/>
      <c r="I26" s="33" t="str">
        <f>IF($A26="","",COUNTIFS(SERVIZI!$B:$B,$A26))</f>
        <v/>
      </c>
      <c r="J26" s="34" t="str">
        <f>IF($A26="","",SUMIFS(SERVIZI!$Q:$Q,SERVIZI!$B:$B,$A26))</f>
        <v/>
      </c>
      <c r="K26" s="36" t="str">
        <f t="shared" si="0"/>
        <v/>
      </c>
      <c r="L26" s="34" t="str">
        <f>IF($A26="","",SUMIFS(SERVIZI!$P:$P,SERVIZI!$B:$B,$A26))</f>
        <v/>
      </c>
      <c r="M26" s="34" t="str">
        <f t="shared" si="1"/>
        <v/>
      </c>
      <c r="N26" s="33" t="str">
        <f>IF($A26="","",SUMIFS(SERVIZI!$M:$M,SERVIZI!$B:$B,$A26))</f>
        <v/>
      </c>
      <c r="O26" s="34" t="str">
        <f>IF($A26="","",SUMIFS(SERVIZI!$AC:$AC,SERVIZI!$B:$B,$A26))</f>
        <v/>
      </c>
      <c r="P26" s="34" t="str">
        <f t="shared" si="2"/>
        <v/>
      </c>
      <c r="Q26" s="35" t="str">
        <f t="shared" si="3"/>
        <v/>
      </c>
      <c r="R26" s="34" t="str">
        <f>IF($A26="","",SUMIFS(SERVIZI!$AK:$AK,SERVIZI!$B:$B,$A26))</f>
        <v/>
      </c>
      <c r="S26" s="34" t="str">
        <f>IF($A26="","",$J26-SUMIFS(SERVIZI!$AJ:$AJ,SERVIZI!$B:$B,$A26))</f>
        <v/>
      </c>
      <c r="T26" s="36" t="str">
        <f>IF($A26="","",IF($K26&lt;&gt;"OK","QUOTE NON QUADRATE",IF(COUNTIFS(SERVIZI!$B:$B,$A26,SERVIZI!$AN:$AN,"OK")&lt;$I26,"VERIFICARE SERVIZI","OK")))</f>
        <v/>
      </c>
    </row>
    <row r="27" spans="1:20" x14ac:dyDescent="0.3">
      <c r="A27" s="42"/>
      <c r="B27" s="42"/>
      <c r="C27" s="42"/>
      <c r="D27" s="42"/>
      <c r="E27" s="43"/>
      <c r="F27" s="43"/>
      <c r="G27" s="42"/>
      <c r="H27" s="44"/>
      <c r="I27" s="33" t="str">
        <f>IF($A27="","",COUNTIFS(SERVIZI!$B:$B,$A27))</f>
        <v/>
      </c>
      <c r="J27" s="34" t="str">
        <f>IF($A27="","",SUMIFS(SERVIZI!$Q:$Q,SERVIZI!$B:$B,$A27))</f>
        <v/>
      </c>
      <c r="K27" s="36" t="str">
        <f t="shared" si="0"/>
        <v/>
      </c>
      <c r="L27" s="34" t="str">
        <f>IF($A27="","",SUMIFS(SERVIZI!$P:$P,SERVIZI!$B:$B,$A27))</f>
        <v/>
      </c>
      <c r="M27" s="34" t="str">
        <f t="shared" si="1"/>
        <v/>
      </c>
      <c r="N27" s="33" t="str">
        <f>IF($A27="","",SUMIFS(SERVIZI!$M:$M,SERVIZI!$B:$B,$A27))</f>
        <v/>
      </c>
      <c r="O27" s="34" t="str">
        <f>IF($A27="","",SUMIFS(SERVIZI!$AC:$AC,SERVIZI!$B:$B,$A27))</f>
        <v/>
      </c>
      <c r="P27" s="34" t="str">
        <f t="shared" si="2"/>
        <v/>
      </c>
      <c r="Q27" s="35" t="str">
        <f t="shared" si="3"/>
        <v/>
      </c>
      <c r="R27" s="34" t="str">
        <f>IF($A27="","",SUMIFS(SERVIZI!$AK:$AK,SERVIZI!$B:$B,$A27))</f>
        <v/>
      </c>
      <c r="S27" s="34" t="str">
        <f>IF($A27="","",$J27-SUMIFS(SERVIZI!$AJ:$AJ,SERVIZI!$B:$B,$A27))</f>
        <v/>
      </c>
      <c r="T27" s="36" t="str">
        <f>IF($A27="","",IF($K27&lt;&gt;"OK","QUOTE NON QUADRATE",IF(COUNTIFS(SERVIZI!$B:$B,$A27,SERVIZI!$AN:$AN,"OK")&lt;$I27,"VERIFICARE SERVIZI","OK")))</f>
        <v/>
      </c>
    </row>
    <row r="28" spans="1:20" x14ac:dyDescent="0.3">
      <c r="A28" s="42"/>
      <c r="B28" s="42"/>
      <c r="C28" s="42"/>
      <c r="D28" s="42"/>
      <c r="E28" s="43"/>
      <c r="F28" s="43"/>
      <c r="G28" s="42"/>
      <c r="H28" s="44"/>
      <c r="I28" s="33" t="str">
        <f>IF($A28="","",COUNTIFS(SERVIZI!$B:$B,$A28))</f>
        <v/>
      </c>
      <c r="J28" s="34" t="str">
        <f>IF($A28="","",SUMIFS(SERVIZI!$Q:$Q,SERVIZI!$B:$B,$A28))</f>
        <v/>
      </c>
      <c r="K28" s="36" t="str">
        <f t="shared" si="0"/>
        <v/>
      </c>
      <c r="L28" s="34" t="str">
        <f>IF($A28="","",SUMIFS(SERVIZI!$P:$P,SERVIZI!$B:$B,$A28))</f>
        <v/>
      </c>
      <c r="M28" s="34" t="str">
        <f t="shared" si="1"/>
        <v/>
      </c>
      <c r="N28" s="33" t="str">
        <f>IF($A28="","",SUMIFS(SERVIZI!$M:$M,SERVIZI!$B:$B,$A28))</f>
        <v/>
      </c>
      <c r="O28" s="34" t="str">
        <f>IF($A28="","",SUMIFS(SERVIZI!$AC:$AC,SERVIZI!$B:$B,$A28))</f>
        <v/>
      </c>
      <c r="P28" s="34" t="str">
        <f t="shared" si="2"/>
        <v/>
      </c>
      <c r="Q28" s="35" t="str">
        <f t="shared" si="3"/>
        <v/>
      </c>
      <c r="R28" s="34" t="str">
        <f>IF($A28="","",SUMIFS(SERVIZI!$AK:$AK,SERVIZI!$B:$B,$A28))</f>
        <v/>
      </c>
      <c r="S28" s="34" t="str">
        <f>IF($A28="","",$J28-SUMIFS(SERVIZI!$AJ:$AJ,SERVIZI!$B:$B,$A28))</f>
        <v/>
      </c>
      <c r="T28" s="36" t="str">
        <f>IF($A28="","",IF($K28&lt;&gt;"OK","QUOTE NON QUADRATE",IF(COUNTIFS(SERVIZI!$B:$B,$A28,SERVIZI!$AN:$AN,"OK")&lt;$I28,"VERIFICARE SERVIZI","OK")))</f>
        <v/>
      </c>
    </row>
    <row r="29" spans="1:20" x14ac:dyDescent="0.3">
      <c r="A29" s="42"/>
      <c r="B29" s="42"/>
      <c r="C29" s="42"/>
      <c r="D29" s="42"/>
      <c r="E29" s="43"/>
      <c r="F29" s="43"/>
      <c r="G29" s="42"/>
      <c r="H29" s="44"/>
      <c r="I29" s="33" t="str">
        <f>IF($A29="","",COUNTIFS(SERVIZI!$B:$B,$A29))</f>
        <v/>
      </c>
      <c r="J29" s="34" t="str">
        <f>IF($A29="","",SUMIFS(SERVIZI!$Q:$Q,SERVIZI!$B:$B,$A29))</f>
        <v/>
      </c>
      <c r="K29" s="36" t="str">
        <f t="shared" si="0"/>
        <v/>
      </c>
      <c r="L29" s="34" t="str">
        <f>IF($A29="","",SUMIFS(SERVIZI!$P:$P,SERVIZI!$B:$B,$A29))</f>
        <v/>
      </c>
      <c r="M29" s="34" t="str">
        <f t="shared" si="1"/>
        <v/>
      </c>
      <c r="N29" s="33" t="str">
        <f>IF($A29="","",SUMIFS(SERVIZI!$M:$M,SERVIZI!$B:$B,$A29))</f>
        <v/>
      </c>
      <c r="O29" s="34" t="str">
        <f>IF($A29="","",SUMIFS(SERVIZI!$AC:$AC,SERVIZI!$B:$B,$A29))</f>
        <v/>
      </c>
      <c r="P29" s="34" t="str">
        <f t="shared" si="2"/>
        <v/>
      </c>
      <c r="Q29" s="35" t="str">
        <f t="shared" si="3"/>
        <v/>
      </c>
      <c r="R29" s="34" t="str">
        <f>IF($A29="","",SUMIFS(SERVIZI!$AK:$AK,SERVIZI!$B:$B,$A29))</f>
        <v/>
      </c>
      <c r="S29" s="34" t="str">
        <f>IF($A29="","",$J29-SUMIFS(SERVIZI!$AJ:$AJ,SERVIZI!$B:$B,$A29))</f>
        <v/>
      </c>
      <c r="T29" s="36" t="str">
        <f>IF($A29="","",IF($K29&lt;&gt;"OK","QUOTE NON QUADRATE",IF(COUNTIFS(SERVIZI!$B:$B,$A29,SERVIZI!$AN:$AN,"OK")&lt;$I29,"VERIFICARE SERVIZI","OK")))</f>
        <v/>
      </c>
    </row>
    <row r="30" spans="1:20" x14ac:dyDescent="0.3">
      <c r="A30" s="42"/>
      <c r="B30" s="42"/>
      <c r="C30" s="42"/>
      <c r="D30" s="42"/>
      <c r="E30" s="43"/>
      <c r="F30" s="43"/>
      <c r="G30" s="42"/>
      <c r="H30" s="44"/>
      <c r="I30" s="33" t="str">
        <f>IF($A30="","",COUNTIFS(SERVIZI!$B:$B,$A30))</f>
        <v/>
      </c>
      <c r="J30" s="34" t="str">
        <f>IF($A30="","",SUMIFS(SERVIZI!$Q:$Q,SERVIZI!$B:$B,$A30))</f>
        <v/>
      </c>
      <c r="K30" s="36" t="str">
        <f t="shared" si="0"/>
        <v/>
      </c>
      <c r="L30" s="34" t="str">
        <f>IF($A30="","",SUMIFS(SERVIZI!$P:$P,SERVIZI!$B:$B,$A30))</f>
        <v/>
      </c>
      <c r="M30" s="34" t="str">
        <f t="shared" si="1"/>
        <v/>
      </c>
      <c r="N30" s="33" t="str">
        <f>IF($A30="","",SUMIFS(SERVIZI!$M:$M,SERVIZI!$B:$B,$A30))</f>
        <v/>
      </c>
      <c r="O30" s="34" t="str">
        <f>IF($A30="","",SUMIFS(SERVIZI!$AC:$AC,SERVIZI!$B:$B,$A30))</f>
        <v/>
      </c>
      <c r="P30" s="34" t="str">
        <f t="shared" si="2"/>
        <v/>
      </c>
      <c r="Q30" s="35" t="str">
        <f t="shared" si="3"/>
        <v/>
      </c>
      <c r="R30" s="34" t="str">
        <f>IF($A30="","",SUMIFS(SERVIZI!$AK:$AK,SERVIZI!$B:$B,$A30))</f>
        <v/>
      </c>
      <c r="S30" s="34" t="str">
        <f>IF($A30="","",$J30-SUMIFS(SERVIZI!$AJ:$AJ,SERVIZI!$B:$B,$A30))</f>
        <v/>
      </c>
      <c r="T30" s="36" t="str">
        <f>IF($A30="","",IF($K30&lt;&gt;"OK","QUOTE NON QUADRATE",IF(COUNTIFS(SERVIZI!$B:$B,$A30,SERVIZI!$AN:$AN,"OK")&lt;$I30,"VERIFICARE SERVIZI","OK")))</f>
        <v/>
      </c>
    </row>
    <row r="31" spans="1:20" x14ac:dyDescent="0.3">
      <c r="A31" s="42"/>
      <c r="B31" s="42"/>
      <c r="C31" s="42"/>
      <c r="D31" s="42"/>
      <c r="E31" s="43"/>
      <c r="F31" s="43"/>
      <c r="G31" s="42"/>
      <c r="H31" s="44"/>
      <c r="I31" s="33" t="str">
        <f>IF($A31="","",COUNTIFS(SERVIZI!$B:$B,$A31))</f>
        <v/>
      </c>
      <c r="J31" s="34" t="str">
        <f>IF($A31="","",SUMIFS(SERVIZI!$Q:$Q,SERVIZI!$B:$B,$A31))</f>
        <v/>
      </c>
      <c r="K31" s="36" t="str">
        <f t="shared" si="0"/>
        <v/>
      </c>
      <c r="L31" s="34" t="str">
        <f>IF($A31="","",SUMIFS(SERVIZI!$P:$P,SERVIZI!$B:$B,$A31))</f>
        <v/>
      </c>
      <c r="M31" s="34" t="str">
        <f t="shared" si="1"/>
        <v/>
      </c>
      <c r="N31" s="33" t="str">
        <f>IF($A31="","",SUMIFS(SERVIZI!$M:$M,SERVIZI!$B:$B,$A31))</f>
        <v/>
      </c>
      <c r="O31" s="34" t="str">
        <f>IF($A31="","",SUMIFS(SERVIZI!$AC:$AC,SERVIZI!$B:$B,$A31))</f>
        <v/>
      </c>
      <c r="P31" s="34" t="str">
        <f t="shared" si="2"/>
        <v/>
      </c>
      <c r="Q31" s="35" t="str">
        <f t="shared" si="3"/>
        <v/>
      </c>
      <c r="R31" s="34" t="str">
        <f>IF($A31="","",SUMIFS(SERVIZI!$AK:$AK,SERVIZI!$B:$B,$A31))</f>
        <v/>
      </c>
      <c r="S31" s="34" t="str">
        <f>IF($A31="","",$J31-SUMIFS(SERVIZI!$AJ:$AJ,SERVIZI!$B:$B,$A31))</f>
        <v/>
      </c>
      <c r="T31" s="36" t="str">
        <f>IF($A31="","",IF($K31&lt;&gt;"OK","QUOTE NON QUADRATE",IF(COUNTIFS(SERVIZI!$B:$B,$A31,SERVIZI!$AN:$AN,"OK")&lt;$I31,"VERIFICARE SERVIZI","OK")))</f>
        <v/>
      </c>
    </row>
    <row r="32" spans="1:20" x14ac:dyDescent="0.3">
      <c r="A32" s="42"/>
      <c r="B32" s="42"/>
      <c r="C32" s="42"/>
      <c r="D32" s="42"/>
      <c r="E32" s="43"/>
      <c r="F32" s="43"/>
      <c r="G32" s="42"/>
      <c r="H32" s="44"/>
      <c r="I32" s="33" t="str">
        <f>IF($A32="","",COUNTIFS(SERVIZI!$B:$B,$A32))</f>
        <v/>
      </c>
      <c r="J32" s="34" t="str">
        <f>IF($A32="","",SUMIFS(SERVIZI!$Q:$Q,SERVIZI!$B:$B,$A32))</f>
        <v/>
      </c>
      <c r="K32" s="36" t="str">
        <f t="shared" si="0"/>
        <v/>
      </c>
      <c r="L32" s="34" t="str">
        <f>IF($A32="","",SUMIFS(SERVIZI!$P:$P,SERVIZI!$B:$B,$A32))</f>
        <v/>
      </c>
      <c r="M32" s="34" t="str">
        <f t="shared" si="1"/>
        <v/>
      </c>
      <c r="N32" s="33" t="str">
        <f>IF($A32="","",SUMIFS(SERVIZI!$M:$M,SERVIZI!$B:$B,$A32))</f>
        <v/>
      </c>
      <c r="O32" s="34" t="str">
        <f>IF($A32="","",SUMIFS(SERVIZI!$AC:$AC,SERVIZI!$B:$B,$A32))</f>
        <v/>
      </c>
      <c r="P32" s="34" t="str">
        <f t="shared" si="2"/>
        <v/>
      </c>
      <c r="Q32" s="35" t="str">
        <f t="shared" si="3"/>
        <v/>
      </c>
      <c r="R32" s="34" t="str">
        <f>IF($A32="","",SUMIFS(SERVIZI!$AK:$AK,SERVIZI!$B:$B,$A32))</f>
        <v/>
      </c>
      <c r="S32" s="34" t="str">
        <f>IF($A32="","",$J32-SUMIFS(SERVIZI!$AJ:$AJ,SERVIZI!$B:$B,$A32))</f>
        <v/>
      </c>
      <c r="T32" s="36" t="str">
        <f>IF($A32="","",IF($K32&lt;&gt;"OK","QUOTE NON QUADRATE",IF(COUNTIFS(SERVIZI!$B:$B,$A32,SERVIZI!$AN:$AN,"OK")&lt;$I32,"VERIFICARE SERVIZI","OK")))</f>
        <v/>
      </c>
    </row>
    <row r="33" spans="1:20" x14ac:dyDescent="0.3">
      <c r="A33" s="42"/>
      <c r="B33" s="42"/>
      <c r="C33" s="42"/>
      <c r="D33" s="42"/>
      <c r="E33" s="43"/>
      <c r="F33" s="43"/>
      <c r="G33" s="42"/>
      <c r="H33" s="44"/>
      <c r="I33" s="33" t="str">
        <f>IF($A33="","",COUNTIFS(SERVIZI!$B:$B,$A33))</f>
        <v/>
      </c>
      <c r="J33" s="34" t="str">
        <f>IF($A33="","",SUMIFS(SERVIZI!$Q:$Q,SERVIZI!$B:$B,$A33))</f>
        <v/>
      </c>
      <c r="K33" s="36" t="str">
        <f t="shared" si="0"/>
        <v/>
      </c>
      <c r="L33" s="34" t="str">
        <f>IF($A33="","",SUMIFS(SERVIZI!$P:$P,SERVIZI!$B:$B,$A33))</f>
        <v/>
      </c>
      <c r="M33" s="34" t="str">
        <f t="shared" si="1"/>
        <v/>
      </c>
      <c r="N33" s="33" t="str">
        <f>IF($A33="","",SUMIFS(SERVIZI!$M:$M,SERVIZI!$B:$B,$A33))</f>
        <v/>
      </c>
      <c r="O33" s="34" t="str">
        <f>IF($A33="","",SUMIFS(SERVIZI!$AC:$AC,SERVIZI!$B:$B,$A33))</f>
        <v/>
      </c>
      <c r="P33" s="34" t="str">
        <f t="shared" si="2"/>
        <v/>
      </c>
      <c r="Q33" s="35" t="str">
        <f t="shared" si="3"/>
        <v/>
      </c>
      <c r="R33" s="34" t="str">
        <f>IF($A33="","",SUMIFS(SERVIZI!$AK:$AK,SERVIZI!$B:$B,$A33))</f>
        <v/>
      </c>
      <c r="S33" s="34" t="str">
        <f>IF($A33="","",$J33-SUMIFS(SERVIZI!$AJ:$AJ,SERVIZI!$B:$B,$A33))</f>
        <v/>
      </c>
      <c r="T33" s="36" t="str">
        <f>IF($A33="","",IF($K33&lt;&gt;"OK","QUOTE NON QUADRATE",IF(COUNTIFS(SERVIZI!$B:$B,$A33,SERVIZI!$AN:$AN,"OK")&lt;$I33,"VERIFICARE SERVIZI","OK")))</f>
        <v/>
      </c>
    </row>
    <row r="34" spans="1:20" x14ac:dyDescent="0.3">
      <c r="A34" s="42"/>
      <c r="B34" s="42"/>
      <c r="C34" s="42"/>
      <c r="D34" s="42"/>
      <c r="E34" s="43"/>
      <c r="F34" s="43"/>
      <c r="G34" s="42"/>
      <c r="H34" s="44"/>
      <c r="I34" s="33" t="str">
        <f>IF($A34="","",COUNTIFS(SERVIZI!$B:$B,$A34))</f>
        <v/>
      </c>
      <c r="J34" s="34" t="str">
        <f>IF($A34="","",SUMIFS(SERVIZI!$Q:$Q,SERVIZI!$B:$B,$A34))</f>
        <v/>
      </c>
      <c r="K34" s="36" t="str">
        <f t="shared" ref="K34:K65" si="4">IF($A34="","",IF(ABS($H34-$J34)&lt;1,"OK","DIFFERENZA "&amp;TEXT($H34-$J34,"#,##0")&amp;" €"))</f>
        <v/>
      </c>
      <c r="L34" s="34" t="str">
        <f>IF($A34="","",SUMIFS(SERVIZI!$P:$P,SERVIZI!$B:$B,$A34))</f>
        <v/>
      </c>
      <c r="M34" s="34" t="str">
        <f t="shared" ref="M34:M65" si="5">IF($A34="","",$J34-$L34)</f>
        <v/>
      </c>
      <c r="N34" s="33" t="str">
        <f>IF($A34="","",SUMIFS(SERVIZI!$M:$M,SERVIZI!$B:$B,$A34))</f>
        <v/>
      </c>
      <c r="O34" s="34" t="str">
        <f>IF($A34="","",SUMIFS(SERVIZI!$AC:$AC,SERVIZI!$B:$B,$A34))</f>
        <v/>
      </c>
      <c r="P34" s="34" t="str">
        <f t="shared" ref="P34:P65" si="6">IF($A34="","",$J34-$O34)</f>
        <v/>
      </c>
      <c r="Q34" s="35" t="str">
        <f t="shared" ref="Q34:Q65" si="7">IF($A34="","",IFERROR($P34/$J34,0))</f>
        <v/>
      </c>
      <c r="R34" s="34" t="str">
        <f>IF($A34="","",SUMIFS(SERVIZI!$AK:$AK,SERVIZI!$B:$B,$A34))</f>
        <v/>
      </c>
      <c r="S34" s="34" t="str">
        <f>IF($A34="","",$J34-SUMIFS(SERVIZI!$AJ:$AJ,SERVIZI!$B:$B,$A34))</f>
        <v/>
      </c>
      <c r="T34" s="36" t="str">
        <f>IF($A34="","",IF($K34&lt;&gt;"OK","QUOTE NON QUADRATE",IF(COUNTIFS(SERVIZI!$B:$B,$A34,SERVIZI!$AN:$AN,"OK")&lt;$I34,"VERIFICARE SERVIZI","OK")))</f>
        <v/>
      </c>
    </row>
    <row r="35" spans="1:20" x14ac:dyDescent="0.3">
      <c r="A35" s="42"/>
      <c r="B35" s="42"/>
      <c r="C35" s="42"/>
      <c r="D35" s="42"/>
      <c r="E35" s="43"/>
      <c r="F35" s="43"/>
      <c r="G35" s="42"/>
      <c r="H35" s="44"/>
      <c r="I35" s="33" t="str">
        <f>IF($A35="","",COUNTIFS(SERVIZI!$B:$B,$A35))</f>
        <v/>
      </c>
      <c r="J35" s="34" t="str">
        <f>IF($A35="","",SUMIFS(SERVIZI!$Q:$Q,SERVIZI!$B:$B,$A35))</f>
        <v/>
      </c>
      <c r="K35" s="36" t="str">
        <f t="shared" si="4"/>
        <v/>
      </c>
      <c r="L35" s="34" t="str">
        <f>IF($A35="","",SUMIFS(SERVIZI!$P:$P,SERVIZI!$B:$B,$A35))</f>
        <v/>
      </c>
      <c r="M35" s="34" t="str">
        <f t="shared" si="5"/>
        <v/>
      </c>
      <c r="N35" s="33" t="str">
        <f>IF($A35="","",SUMIFS(SERVIZI!$M:$M,SERVIZI!$B:$B,$A35))</f>
        <v/>
      </c>
      <c r="O35" s="34" t="str">
        <f>IF($A35="","",SUMIFS(SERVIZI!$AC:$AC,SERVIZI!$B:$B,$A35))</f>
        <v/>
      </c>
      <c r="P35" s="34" t="str">
        <f t="shared" si="6"/>
        <v/>
      </c>
      <c r="Q35" s="35" t="str">
        <f t="shared" si="7"/>
        <v/>
      </c>
      <c r="R35" s="34" t="str">
        <f>IF($A35="","",SUMIFS(SERVIZI!$AK:$AK,SERVIZI!$B:$B,$A35))</f>
        <v/>
      </c>
      <c r="S35" s="34" t="str">
        <f>IF($A35="","",$J35-SUMIFS(SERVIZI!$AJ:$AJ,SERVIZI!$B:$B,$A35))</f>
        <v/>
      </c>
      <c r="T35" s="36" t="str">
        <f>IF($A35="","",IF($K35&lt;&gt;"OK","QUOTE NON QUADRATE",IF(COUNTIFS(SERVIZI!$B:$B,$A35,SERVIZI!$AN:$AN,"OK")&lt;$I35,"VERIFICARE SERVIZI","OK")))</f>
        <v/>
      </c>
    </row>
    <row r="36" spans="1:20" x14ac:dyDescent="0.3">
      <c r="A36" s="42"/>
      <c r="B36" s="42"/>
      <c r="C36" s="42"/>
      <c r="D36" s="42"/>
      <c r="E36" s="43"/>
      <c r="F36" s="43"/>
      <c r="G36" s="42"/>
      <c r="H36" s="44"/>
      <c r="I36" s="33" t="str">
        <f>IF($A36="","",COUNTIFS(SERVIZI!$B:$B,$A36))</f>
        <v/>
      </c>
      <c r="J36" s="34" t="str">
        <f>IF($A36="","",SUMIFS(SERVIZI!$Q:$Q,SERVIZI!$B:$B,$A36))</f>
        <v/>
      </c>
      <c r="K36" s="36" t="str">
        <f t="shared" si="4"/>
        <v/>
      </c>
      <c r="L36" s="34" t="str">
        <f>IF($A36="","",SUMIFS(SERVIZI!$P:$P,SERVIZI!$B:$B,$A36))</f>
        <v/>
      </c>
      <c r="M36" s="34" t="str">
        <f t="shared" si="5"/>
        <v/>
      </c>
      <c r="N36" s="33" t="str">
        <f>IF($A36="","",SUMIFS(SERVIZI!$M:$M,SERVIZI!$B:$B,$A36))</f>
        <v/>
      </c>
      <c r="O36" s="34" t="str">
        <f>IF($A36="","",SUMIFS(SERVIZI!$AC:$AC,SERVIZI!$B:$B,$A36))</f>
        <v/>
      </c>
      <c r="P36" s="34" t="str">
        <f t="shared" si="6"/>
        <v/>
      </c>
      <c r="Q36" s="35" t="str">
        <f t="shared" si="7"/>
        <v/>
      </c>
      <c r="R36" s="34" t="str">
        <f>IF($A36="","",SUMIFS(SERVIZI!$AK:$AK,SERVIZI!$B:$B,$A36))</f>
        <v/>
      </c>
      <c r="S36" s="34" t="str">
        <f>IF($A36="","",$J36-SUMIFS(SERVIZI!$AJ:$AJ,SERVIZI!$B:$B,$A36))</f>
        <v/>
      </c>
      <c r="T36" s="36" t="str">
        <f>IF($A36="","",IF($K36&lt;&gt;"OK","QUOTE NON QUADRATE",IF(COUNTIFS(SERVIZI!$B:$B,$A36,SERVIZI!$AN:$AN,"OK")&lt;$I36,"VERIFICARE SERVIZI","OK")))</f>
        <v/>
      </c>
    </row>
    <row r="37" spans="1:20" x14ac:dyDescent="0.3">
      <c r="A37" s="42"/>
      <c r="B37" s="42"/>
      <c r="C37" s="42"/>
      <c r="D37" s="42"/>
      <c r="E37" s="43"/>
      <c r="F37" s="43"/>
      <c r="G37" s="42"/>
      <c r="H37" s="44"/>
      <c r="I37" s="33" t="str">
        <f>IF($A37="","",COUNTIFS(SERVIZI!$B:$B,$A37))</f>
        <v/>
      </c>
      <c r="J37" s="34" t="str">
        <f>IF($A37="","",SUMIFS(SERVIZI!$Q:$Q,SERVIZI!$B:$B,$A37))</f>
        <v/>
      </c>
      <c r="K37" s="36" t="str">
        <f t="shared" si="4"/>
        <v/>
      </c>
      <c r="L37" s="34" t="str">
        <f>IF($A37="","",SUMIFS(SERVIZI!$P:$P,SERVIZI!$B:$B,$A37))</f>
        <v/>
      </c>
      <c r="M37" s="34" t="str">
        <f t="shared" si="5"/>
        <v/>
      </c>
      <c r="N37" s="33" t="str">
        <f>IF($A37="","",SUMIFS(SERVIZI!$M:$M,SERVIZI!$B:$B,$A37))</f>
        <v/>
      </c>
      <c r="O37" s="34" t="str">
        <f>IF($A37="","",SUMIFS(SERVIZI!$AC:$AC,SERVIZI!$B:$B,$A37))</f>
        <v/>
      </c>
      <c r="P37" s="34" t="str">
        <f t="shared" si="6"/>
        <v/>
      </c>
      <c r="Q37" s="35" t="str">
        <f t="shared" si="7"/>
        <v/>
      </c>
      <c r="R37" s="34" t="str">
        <f>IF($A37="","",SUMIFS(SERVIZI!$AK:$AK,SERVIZI!$B:$B,$A37))</f>
        <v/>
      </c>
      <c r="S37" s="34" t="str">
        <f>IF($A37="","",$J37-SUMIFS(SERVIZI!$AJ:$AJ,SERVIZI!$B:$B,$A37))</f>
        <v/>
      </c>
      <c r="T37" s="36" t="str">
        <f>IF($A37="","",IF($K37&lt;&gt;"OK","QUOTE NON QUADRATE",IF(COUNTIFS(SERVIZI!$B:$B,$A37,SERVIZI!$AN:$AN,"OK")&lt;$I37,"VERIFICARE SERVIZI","OK")))</f>
        <v/>
      </c>
    </row>
    <row r="38" spans="1:20" x14ac:dyDescent="0.3">
      <c r="A38" s="42"/>
      <c r="B38" s="42"/>
      <c r="C38" s="42"/>
      <c r="D38" s="42"/>
      <c r="E38" s="43"/>
      <c r="F38" s="43"/>
      <c r="G38" s="42"/>
      <c r="H38" s="44"/>
      <c r="I38" s="33" t="str">
        <f>IF($A38="","",COUNTIFS(SERVIZI!$B:$B,$A38))</f>
        <v/>
      </c>
      <c r="J38" s="34" t="str">
        <f>IF($A38="","",SUMIFS(SERVIZI!$Q:$Q,SERVIZI!$B:$B,$A38))</f>
        <v/>
      </c>
      <c r="K38" s="36" t="str">
        <f t="shared" si="4"/>
        <v/>
      </c>
      <c r="L38" s="34" t="str">
        <f>IF($A38="","",SUMIFS(SERVIZI!$P:$P,SERVIZI!$B:$B,$A38))</f>
        <v/>
      </c>
      <c r="M38" s="34" t="str">
        <f t="shared" si="5"/>
        <v/>
      </c>
      <c r="N38" s="33" t="str">
        <f>IF($A38="","",SUMIFS(SERVIZI!$M:$M,SERVIZI!$B:$B,$A38))</f>
        <v/>
      </c>
      <c r="O38" s="34" t="str">
        <f>IF($A38="","",SUMIFS(SERVIZI!$AC:$AC,SERVIZI!$B:$B,$A38))</f>
        <v/>
      </c>
      <c r="P38" s="34" t="str">
        <f t="shared" si="6"/>
        <v/>
      </c>
      <c r="Q38" s="35" t="str">
        <f t="shared" si="7"/>
        <v/>
      </c>
      <c r="R38" s="34" t="str">
        <f>IF($A38="","",SUMIFS(SERVIZI!$AK:$AK,SERVIZI!$B:$B,$A38))</f>
        <v/>
      </c>
      <c r="S38" s="34" t="str">
        <f>IF($A38="","",$J38-SUMIFS(SERVIZI!$AJ:$AJ,SERVIZI!$B:$B,$A38))</f>
        <v/>
      </c>
      <c r="T38" s="36" t="str">
        <f>IF($A38="","",IF($K38&lt;&gt;"OK","QUOTE NON QUADRATE",IF(COUNTIFS(SERVIZI!$B:$B,$A38,SERVIZI!$AN:$AN,"OK")&lt;$I38,"VERIFICARE SERVIZI","OK")))</f>
        <v/>
      </c>
    </row>
    <row r="39" spans="1:20" x14ac:dyDescent="0.3">
      <c r="A39" s="42"/>
      <c r="B39" s="42"/>
      <c r="C39" s="42"/>
      <c r="D39" s="42"/>
      <c r="E39" s="43"/>
      <c r="F39" s="43"/>
      <c r="G39" s="42"/>
      <c r="H39" s="44"/>
      <c r="I39" s="33" t="str">
        <f>IF($A39="","",COUNTIFS(SERVIZI!$B:$B,$A39))</f>
        <v/>
      </c>
      <c r="J39" s="34" t="str">
        <f>IF($A39="","",SUMIFS(SERVIZI!$Q:$Q,SERVIZI!$B:$B,$A39))</f>
        <v/>
      </c>
      <c r="K39" s="36" t="str">
        <f t="shared" si="4"/>
        <v/>
      </c>
      <c r="L39" s="34" t="str">
        <f>IF($A39="","",SUMIFS(SERVIZI!$P:$P,SERVIZI!$B:$B,$A39))</f>
        <v/>
      </c>
      <c r="M39" s="34" t="str">
        <f t="shared" si="5"/>
        <v/>
      </c>
      <c r="N39" s="33" t="str">
        <f>IF($A39="","",SUMIFS(SERVIZI!$M:$M,SERVIZI!$B:$B,$A39))</f>
        <v/>
      </c>
      <c r="O39" s="34" t="str">
        <f>IF($A39="","",SUMIFS(SERVIZI!$AC:$AC,SERVIZI!$B:$B,$A39))</f>
        <v/>
      </c>
      <c r="P39" s="34" t="str">
        <f t="shared" si="6"/>
        <v/>
      </c>
      <c r="Q39" s="35" t="str">
        <f t="shared" si="7"/>
        <v/>
      </c>
      <c r="R39" s="34" t="str">
        <f>IF($A39="","",SUMIFS(SERVIZI!$AK:$AK,SERVIZI!$B:$B,$A39))</f>
        <v/>
      </c>
      <c r="S39" s="34" t="str">
        <f>IF($A39="","",$J39-SUMIFS(SERVIZI!$AJ:$AJ,SERVIZI!$B:$B,$A39))</f>
        <v/>
      </c>
      <c r="T39" s="36" t="str">
        <f>IF($A39="","",IF($K39&lt;&gt;"OK","QUOTE NON QUADRATE",IF(COUNTIFS(SERVIZI!$B:$B,$A39,SERVIZI!$AN:$AN,"OK")&lt;$I39,"VERIFICARE SERVIZI","OK")))</f>
        <v/>
      </c>
    </row>
    <row r="40" spans="1:20" x14ac:dyDescent="0.3">
      <c r="A40" s="42"/>
      <c r="B40" s="42"/>
      <c r="C40" s="42"/>
      <c r="D40" s="42"/>
      <c r="E40" s="43"/>
      <c r="F40" s="43"/>
      <c r="G40" s="42"/>
      <c r="H40" s="44"/>
      <c r="I40" s="33" t="str">
        <f>IF($A40="","",COUNTIFS(SERVIZI!$B:$B,$A40))</f>
        <v/>
      </c>
      <c r="J40" s="34" t="str">
        <f>IF($A40="","",SUMIFS(SERVIZI!$Q:$Q,SERVIZI!$B:$B,$A40))</f>
        <v/>
      </c>
      <c r="K40" s="36" t="str">
        <f t="shared" si="4"/>
        <v/>
      </c>
      <c r="L40" s="34" t="str">
        <f>IF($A40="","",SUMIFS(SERVIZI!$P:$P,SERVIZI!$B:$B,$A40))</f>
        <v/>
      </c>
      <c r="M40" s="34" t="str">
        <f t="shared" si="5"/>
        <v/>
      </c>
      <c r="N40" s="33" t="str">
        <f>IF($A40="","",SUMIFS(SERVIZI!$M:$M,SERVIZI!$B:$B,$A40))</f>
        <v/>
      </c>
      <c r="O40" s="34" t="str">
        <f>IF($A40="","",SUMIFS(SERVIZI!$AC:$AC,SERVIZI!$B:$B,$A40))</f>
        <v/>
      </c>
      <c r="P40" s="34" t="str">
        <f t="shared" si="6"/>
        <v/>
      </c>
      <c r="Q40" s="35" t="str">
        <f t="shared" si="7"/>
        <v/>
      </c>
      <c r="R40" s="34" t="str">
        <f>IF($A40="","",SUMIFS(SERVIZI!$AK:$AK,SERVIZI!$B:$B,$A40))</f>
        <v/>
      </c>
      <c r="S40" s="34" t="str">
        <f>IF($A40="","",$J40-SUMIFS(SERVIZI!$AJ:$AJ,SERVIZI!$B:$B,$A40))</f>
        <v/>
      </c>
      <c r="T40" s="36" t="str">
        <f>IF($A40="","",IF($K40&lt;&gt;"OK","QUOTE NON QUADRATE",IF(COUNTIFS(SERVIZI!$B:$B,$A40,SERVIZI!$AN:$AN,"OK")&lt;$I40,"VERIFICARE SERVIZI","OK")))</f>
        <v/>
      </c>
    </row>
    <row r="41" spans="1:20" x14ac:dyDescent="0.3">
      <c r="A41" s="42"/>
      <c r="B41" s="42"/>
      <c r="C41" s="42"/>
      <c r="D41" s="42"/>
      <c r="E41" s="43"/>
      <c r="F41" s="43"/>
      <c r="G41" s="42"/>
      <c r="H41" s="44"/>
      <c r="I41" s="33" t="str">
        <f>IF($A41="","",COUNTIFS(SERVIZI!$B:$B,$A41))</f>
        <v/>
      </c>
      <c r="J41" s="34" t="str">
        <f>IF($A41="","",SUMIFS(SERVIZI!$Q:$Q,SERVIZI!$B:$B,$A41))</f>
        <v/>
      </c>
      <c r="K41" s="36" t="str">
        <f t="shared" si="4"/>
        <v/>
      </c>
      <c r="L41" s="34" t="str">
        <f>IF($A41="","",SUMIFS(SERVIZI!$P:$P,SERVIZI!$B:$B,$A41))</f>
        <v/>
      </c>
      <c r="M41" s="34" t="str">
        <f t="shared" si="5"/>
        <v/>
      </c>
      <c r="N41" s="33" t="str">
        <f>IF($A41="","",SUMIFS(SERVIZI!$M:$M,SERVIZI!$B:$B,$A41))</f>
        <v/>
      </c>
      <c r="O41" s="34" t="str">
        <f>IF($A41="","",SUMIFS(SERVIZI!$AC:$AC,SERVIZI!$B:$B,$A41))</f>
        <v/>
      </c>
      <c r="P41" s="34" t="str">
        <f t="shared" si="6"/>
        <v/>
      </c>
      <c r="Q41" s="35" t="str">
        <f t="shared" si="7"/>
        <v/>
      </c>
      <c r="R41" s="34" t="str">
        <f>IF($A41="","",SUMIFS(SERVIZI!$AK:$AK,SERVIZI!$B:$B,$A41))</f>
        <v/>
      </c>
      <c r="S41" s="34" t="str">
        <f>IF($A41="","",$J41-SUMIFS(SERVIZI!$AJ:$AJ,SERVIZI!$B:$B,$A41))</f>
        <v/>
      </c>
      <c r="T41" s="36" t="str">
        <f>IF($A41="","",IF($K41&lt;&gt;"OK","QUOTE NON QUADRATE",IF(COUNTIFS(SERVIZI!$B:$B,$A41,SERVIZI!$AN:$AN,"OK")&lt;$I41,"VERIFICARE SERVIZI","OK")))</f>
        <v/>
      </c>
    </row>
    <row r="42" spans="1:20" x14ac:dyDescent="0.3">
      <c r="A42" s="42"/>
      <c r="B42" s="42"/>
      <c r="C42" s="42"/>
      <c r="D42" s="42"/>
      <c r="E42" s="43"/>
      <c r="F42" s="43"/>
      <c r="G42" s="42"/>
      <c r="H42" s="44"/>
      <c r="I42" s="33" t="str">
        <f>IF($A42="","",COUNTIFS(SERVIZI!$B:$B,$A42))</f>
        <v/>
      </c>
      <c r="J42" s="34" t="str">
        <f>IF($A42="","",SUMIFS(SERVIZI!$Q:$Q,SERVIZI!$B:$B,$A42))</f>
        <v/>
      </c>
      <c r="K42" s="36" t="str">
        <f t="shared" si="4"/>
        <v/>
      </c>
      <c r="L42" s="34" t="str">
        <f>IF($A42="","",SUMIFS(SERVIZI!$P:$P,SERVIZI!$B:$B,$A42))</f>
        <v/>
      </c>
      <c r="M42" s="34" t="str">
        <f t="shared" si="5"/>
        <v/>
      </c>
      <c r="N42" s="33" t="str">
        <f>IF($A42="","",SUMIFS(SERVIZI!$M:$M,SERVIZI!$B:$B,$A42))</f>
        <v/>
      </c>
      <c r="O42" s="34" t="str">
        <f>IF($A42="","",SUMIFS(SERVIZI!$AC:$AC,SERVIZI!$B:$B,$A42))</f>
        <v/>
      </c>
      <c r="P42" s="34" t="str">
        <f t="shared" si="6"/>
        <v/>
      </c>
      <c r="Q42" s="35" t="str">
        <f t="shared" si="7"/>
        <v/>
      </c>
      <c r="R42" s="34" t="str">
        <f>IF($A42="","",SUMIFS(SERVIZI!$AK:$AK,SERVIZI!$B:$B,$A42))</f>
        <v/>
      </c>
      <c r="S42" s="34" t="str">
        <f>IF($A42="","",$J42-SUMIFS(SERVIZI!$AJ:$AJ,SERVIZI!$B:$B,$A42))</f>
        <v/>
      </c>
      <c r="T42" s="36" t="str">
        <f>IF($A42="","",IF($K42&lt;&gt;"OK","QUOTE NON QUADRATE",IF(COUNTIFS(SERVIZI!$B:$B,$A42,SERVIZI!$AN:$AN,"OK")&lt;$I42,"VERIFICARE SERVIZI","OK")))</f>
        <v/>
      </c>
    </row>
    <row r="43" spans="1:20" x14ac:dyDescent="0.3">
      <c r="A43" s="42"/>
      <c r="B43" s="42"/>
      <c r="C43" s="42"/>
      <c r="D43" s="42"/>
      <c r="E43" s="43"/>
      <c r="F43" s="43"/>
      <c r="G43" s="42"/>
      <c r="H43" s="44"/>
      <c r="I43" s="33" t="str">
        <f>IF($A43="","",COUNTIFS(SERVIZI!$B:$B,$A43))</f>
        <v/>
      </c>
      <c r="J43" s="34" t="str">
        <f>IF($A43="","",SUMIFS(SERVIZI!$Q:$Q,SERVIZI!$B:$B,$A43))</f>
        <v/>
      </c>
      <c r="K43" s="36" t="str">
        <f t="shared" si="4"/>
        <v/>
      </c>
      <c r="L43" s="34" t="str">
        <f>IF($A43="","",SUMIFS(SERVIZI!$P:$P,SERVIZI!$B:$B,$A43))</f>
        <v/>
      </c>
      <c r="M43" s="34" t="str">
        <f t="shared" si="5"/>
        <v/>
      </c>
      <c r="N43" s="33" t="str">
        <f>IF($A43="","",SUMIFS(SERVIZI!$M:$M,SERVIZI!$B:$B,$A43))</f>
        <v/>
      </c>
      <c r="O43" s="34" t="str">
        <f>IF($A43="","",SUMIFS(SERVIZI!$AC:$AC,SERVIZI!$B:$B,$A43))</f>
        <v/>
      </c>
      <c r="P43" s="34" t="str">
        <f t="shared" si="6"/>
        <v/>
      </c>
      <c r="Q43" s="35" t="str">
        <f t="shared" si="7"/>
        <v/>
      </c>
      <c r="R43" s="34" t="str">
        <f>IF($A43="","",SUMIFS(SERVIZI!$AK:$AK,SERVIZI!$B:$B,$A43))</f>
        <v/>
      </c>
      <c r="S43" s="34" t="str">
        <f>IF($A43="","",$J43-SUMIFS(SERVIZI!$AJ:$AJ,SERVIZI!$B:$B,$A43))</f>
        <v/>
      </c>
      <c r="T43" s="36" t="str">
        <f>IF($A43="","",IF($K43&lt;&gt;"OK","QUOTE NON QUADRATE",IF(COUNTIFS(SERVIZI!$B:$B,$A43,SERVIZI!$AN:$AN,"OK")&lt;$I43,"VERIFICARE SERVIZI","OK")))</f>
        <v/>
      </c>
    </row>
    <row r="44" spans="1:20" x14ac:dyDescent="0.3">
      <c r="A44" s="42"/>
      <c r="B44" s="42"/>
      <c r="C44" s="42"/>
      <c r="D44" s="42"/>
      <c r="E44" s="43"/>
      <c r="F44" s="43"/>
      <c r="G44" s="42"/>
      <c r="H44" s="44"/>
      <c r="I44" s="33" t="str">
        <f>IF($A44="","",COUNTIFS(SERVIZI!$B:$B,$A44))</f>
        <v/>
      </c>
      <c r="J44" s="34" t="str">
        <f>IF($A44="","",SUMIFS(SERVIZI!$Q:$Q,SERVIZI!$B:$B,$A44))</f>
        <v/>
      </c>
      <c r="K44" s="36" t="str">
        <f t="shared" si="4"/>
        <v/>
      </c>
      <c r="L44" s="34" t="str">
        <f>IF($A44="","",SUMIFS(SERVIZI!$P:$P,SERVIZI!$B:$B,$A44))</f>
        <v/>
      </c>
      <c r="M44" s="34" t="str">
        <f t="shared" si="5"/>
        <v/>
      </c>
      <c r="N44" s="33" t="str">
        <f>IF($A44="","",SUMIFS(SERVIZI!$M:$M,SERVIZI!$B:$B,$A44))</f>
        <v/>
      </c>
      <c r="O44" s="34" t="str">
        <f>IF($A44="","",SUMIFS(SERVIZI!$AC:$AC,SERVIZI!$B:$B,$A44))</f>
        <v/>
      </c>
      <c r="P44" s="34" t="str">
        <f t="shared" si="6"/>
        <v/>
      </c>
      <c r="Q44" s="35" t="str">
        <f t="shared" si="7"/>
        <v/>
      </c>
      <c r="R44" s="34" t="str">
        <f>IF($A44="","",SUMIFS(SERVIZI!$AK:$AK,SERVIZI!$B:$B,$A44))</f>
        <v/>
      </c>
      <c r="S44" s="34" t="str">
        <f>IF($A44="","",$J44-SUMIFS(SERVIZI!$AJ:$AJ,SERVIZI!$B:$B,$A44))</f>
        <v/>
      </c>
      <c r="T44" s="36" t="str">
        <f>IF($A44="","",IF($K44&lt;&gt;"OK","QUOTE NON QUADRATE",IF(COUNTIFS(SERVIZI!$B:$B,$A44,SERVIZI!$AN:$AN,"OK")&lt;$I44,"VERIFICARE SERVIZI","OK")))</f>
        <v/>
      </c>
    </row>
    <row r="45" spans="1:20" x14ac:dyDescent="0.3">
      <c r="A45" s="42"/>
      <c r="B45" s="42"/>
      <c r="C45" s="42"/>
      <c r="D45" s="42"/>
      <c r="E45" s="43"/>
      <c r="F45" s="43"/>
      <c r="G45" s="42"/>
      <c r="H45" s="44"/>
      <c r="I45" s="33" t="str">
        <f>IF($A45="","",COUNTIFS(SERVIZI!$B:$B,$A45))</f>
        <v/>
      </c>
      <c r="J45" s="34" t="str">
        <f>IF($A45="","",SUMIFS(SERVIZI!$Q:$Q,SERVIZI!$B:$B,$A45))</f>
        <v/>
      </c>
      <c r="K45" s="36" t="str">
        <f t="shared" si="4"/>
        <v/>
      </c>
      <c r="L45" s="34" t="str">
        <f>IF($A45="","",SUMIFS(SERVIZI!$P:$P,SERVIZI!$B:$B,$A45))</f>
        <v/>
      </c>
      <c r="M45" s="34" t="str">
        <f t="shared" si="5"/>
        <v/>
      </c>
      <c r="N45" s="33" t="str">
        <f>IF($A45="","",SUMIFS(SERVIZI!$M:$M,SERVIZI!$B:$B,$A45))</f>
        <v/>
      </c>
      <c r="O45" s="34" t="str">
        <f>IF($A45="","",SUMIFS(SERVIZI!$AC:$AC,SERVIZI!$B:$B,$A45))</f>
        <v/>
      </c>
      <c r="P45" s="34" t="str">
        <f t="shared" si="6"/>
        <v/>
      </c>
      <c r="Q45" s="35" t="str">
        <f t="shared" si="7"/>
        <v/>
      </c>
      <c r="R45" s="34" t="str">
        <f>IF($A45="","",SUMIFS(SERVIZI!$AK:$AK,SERVIZI!$B:$B,$A45))</f>
        <v/>
      </c>
      <c r="S45" s="34" t="str">
        <f>IF($A45="","",$J45-SUMIFS(SERVIZI!$AJ:$AJ,SERVIZI!$B:$B,$A45))</f>
        <v/>
      </c>
      <c r="T45" s="36" t="str">
        <f>IF($A45="","",IF($K45&lt;&gt;"OK","QUOTE NON QUADRATE",IF(COUNTIFS(SERVIZI!$B:$B,$A45,SERVIZI!$AN:$AN,"OK")&lt;$I45,"VERIFICARE SERVIZI","OK")))</f>
        <v/>
      </c>
    </row>
    <row r="46" spans="1:20" x14ac:dyDescent="0.3">
      <c r="A46" s="42"/>
      <c r="B46" s="42"/>
      <c r="C46" s="42"/>
      <c r="D46" s="42"/>
      <c r="E46" s="43"/>
      <c r="F46" s="43"/>
      <c r="G46" s="42"/>
      <c r="H46" s="44"/>
      <c r="I46" s="33" t="str">
        <f>IF($A46="","",COUNTIFS(SERVIZI!$B:$B,$A46))</f>
        <v/>
      </c>
      <c r="J46" s="34" t="str">
        <f>IF($A46="","",SUMIFS(SERVIZI!$Q:$Q,SERVIZI!$B:$B,$A46))</f>
        <v/>
      </c>
      <c r="K46" s="36" t="str">
        <f t="shared" si="4"/>
        <v/>
      </c>
      <c r="L46" s="34" t="str">
        <f>IF($A46="","",SUMIFS(SERVIZI!$P:$P,SERVIZI!$B:$B,$A46))</f>
        <v/>
      </c>
      <c r="M46" s="34" t="str">
        <f t="shared" si="5"/>
        <v/>
      </c>
      <c r="N46" s="33" t="str">
        <f>IF($A46="","",SUMIFS(SERVIZI!$M:$M,SERVIZI!$B:$B,$A46))</f>
        <v/>
      </c>
      <c r="O46" s="34" t="str">
        <f>IF($A46="","",SUMIFS(SERVIZI!$AC:$AC,SERVIZI!$B:$B,$A46))</f>
        <v/>
      </c>
      <c r="P46" s="34" t="str">
        <f t="shared" si="6"/>
        <v/>
      </c>
      <c r="Q46" s="35" t="str">
        <f t="shared" si="7"/>
        <v/>
      </c>
      <c r="R46" s="34" t="str">
        <f>IF($A46="","",SUMIFS(SERVIZI!$AK:$AK,SERVIZI!$B:$B,$A46))</f>
        <v/>
      </c>
      <c r="S46" s="34" t="str">
        <f>IF($A46="","",$J46-SUMIFS(SERVIZI!$AJ:$AJ,SERVIZI!$B:$B,$A46))</f>
        <v/>
      </c>
      <c r="T46" s="36" t="str">
        <f>IF($A46="","",IF($K46&lt;&gt;"OK","QUOTE NON QUADRATE",IF(COUNTIFS(SERVIZI!$B:$B,$A46,SERVIZI!$AN:$AN,"OK")&lt;$I46,"VERIFICARE SERVIZI","OK")))</f>
        <v/>
      </c>
    </row>
    <row r="47" spans="1:20" x14ac:dyDescent="0.3">
      <c r="A47" s="42"/>
      <c r="B47" s="42"/>
      <c r="C47" s="42"/>
      <c r="D47" s="42"/>
      <c r="E47" s="43"/>
      <c r="F47" s="43"/>
      <c r="G47" s="42"/>
      <c r="H47" s="44"/>
      <c r="I47" s="33" t="str">
        <f>IF($A47="","",COUNTIFS(SERVIZI!$B:$B,$A47))</f>
        <v/>
      </c>
      <c r="J47" s="34" t="str">
        <f>IF($A47="","",SUMIFS(SERVIZI!$Q:$Q,SERVIZI!$B:$B,$A47))</f>
        <v/>
      </c>
      <c r="K47" s="36" t="str">
        <f t="shared" si="4"/>
        <v/>
      </c>
      <c r="L47" s="34" t="str">
        <f>IF($A47="","",SUMIFS(SERVIZI!$P:$P,SERVIZI!$B:$B,$A47))</f>
        <v/>
      </c>
      <c r="M47" s="34" t="str">
        <f t="shared" si="5"/>
        <v/>
      </c>
      <c r="N47" s="33" t="str">
        <f>IF($A47="","",SUMIFS(SERVIZI!$M:$M,SERVIZI!$B:$B,$A47))</f>
        <v/>
      </c>
      <c r="O47" s="34" t="str">
        <f>IF($A47="","",SUMIFS(SERVIZI!$AC:$AC,SERVIZI!$B:$B,$A47))</f>
        <v/>
      </c>
      <c r="P47" s="34" t="str">
        <f t="shared" si="6"/>
        <v/>
      </c>
      <c r="Q47" s="35" t="str">
        <f t="shared" si="7"/>
        <v/>
      </c>
      <c r="R47" s="34" t="str">
        <f>IF($A47="","",SUMIFS(SERVIZI!$AK:$AK,SERVIZI!$B:$B,$A47))</f>
        <v/>
      </c>
      <c r="S47" s="34" t="str">
        <f>IF($A47="","",$J47-SUMIFS(SERVIZI!$AJ:$AJ,SERVIZI!$B:$B,$A47))</f>
        <v/>
      </c>
      <c r="T47" s="36" t="str">
        <f>IF($A47="","",IF($K47&lt;&gt;"OK","QUOTE NON QUADRATE",IF(COUNTIFS(SERVIZI!$B:$B,$A47,SERVIZI!$AN:$AN,"OK")&lt;$I47,"VERIFICARE SERVIZI","OK")))</f>
        <v/>
      </c>
    </row>
    <row r="48" spans="1:20" x14ac:dyDescent="0.3">
      <c r="A48" s="42"/>
      <c r="B48" s="42"/>
      <c r="C48" s="42"/>
      <c r="D48" s="42"/>
      <c r="E48" s="43"/>
      <c r="F48" s="43"/>
      <c r="G48" s="42"/>
      <c r="H48" s="44"/>
      <c r="I48" s="33" t="str">
        <f>IF($A48="","",COUNTIFS(SERVIZI!$B:$B,$A48))</f>
        <v/>
      </c>
      <c r="J48" s="34" t="str">
        <f>IF($A48="","",SUMIFS(SERVIZI!$Q:$Q,SERVIZI!$B:$B,$A48))</f>
        <v/>
      </c>
      <c r="K48" s="36" t="str">
        <f t="shared" si="4"/>
        <v/>
      </c>
      <c r="L48" s="34" t="str">
        <f>IF($A48="","",SUMIFS(SERVIZI!$P:$P,SERVIZI!$B:$B,$A48))</f>
        <v/>
      </c>
      <c r="M48" s="34" t="str">
        <f t="shared" si="5"/>
        <v/>
      </c>
      <c r="N48" s="33" t="str">
        <f>IF($A48="","",SUMIFS(SERVIZI!$M:$M,SERVIZI!$B:$B,$A48))</f>
        <v/>
      </c>
      <c r="O48" s="34" t="str">
        <f>IF($A48="","",SUMIFS(SERVIZI!$AC:$AC,SERVIZI!$B:$B,$A48))</f>
        <v/>
      </c>
      <c r="P48" s="34" t="str">
        <f t="shared" si="6"/>
        <v/>
      </c>
      <c r="Q48" s="35" t="str">
        <f t="shared" si="7"/>
        <v/>
      </c>
      <c r="R48" s="34" t="str">
        <f>IF($A48="","",SUMIFS(SERVIZI!$AK:$AK,SERVIZI!$B:$B,$A48))</f>
        <v/>
      </c>
      <c r="S48" s="34" t="str">
        <f>IF($A48="","",$J48-SUMIFS(SERVIZI!$AJ:$AJ,SERVIZI!$B:$B,$A48))</f>
        <v/>
      </c>
      <c r="T48" s="36" t="str">
        <f>IF($A48="","",IF($K48&lt;&gt;"OK","QUOTE NON QUADRATE",IF(COUNTIFS(SERVIZI!$B:$B,$A48,SERVIZI!$AN:$AN,"OK")&lt;$I48,"VERIFICARE SERVIZI","OK")))</f>
        <v/>
      </c>
    </row>
    <row r="49" spans="1:20" x14ac:dyDescent="0.3">
      <c r="A49" s="42"/>
      <c r="B49" s="42"/>
      <c r="C49" s="42"/>
      <c r="D49" s="42"/>
      <c r="E49" s="43"/>
      <c r="F49" s="43"/>
      <c r="G49" s="42"/>
      <c r="H49" s="44"/>
      <c r="I49" s="33" t="str">
        <f>IF($A49="","",COUNTIFS(SERVIZI!$B:$B,$A49))</f>
        <v/>
      </c>
      <c r="J49" s="34" t="str">
        <f>IF($A49="","",SUMIFS(SERVIZI!$Q:$Q,SERVIZI!$B:$B,$A49))</f>
        <v/>
      </c>
      <c r="K49" s="36" t="str">
        <f t="shared" si="4"/>
        <v/>
      </c>
      <c r="L49" s="34" t="str">
        <f>IF($A49="","",SUMIFS(SERVIZI!$P:$P,SERVIZI!$B:$B,$A49))</f>
        <v/>
      </c>
      <c r="M49" s="34" t="str">
        <f t="shared" si="5"/>
        <v/>
      </c>
      <c r="N49" s="33" t="str">
        <f>IF($A49="","",SUMIFS(SERVIZI!$M:$M,SERVIZI!$B:$B,$A49))</f>
        <v/>
      </c>
      <c r="O49" s="34" t="str">
        <f>IF($A49="","",SUMIFS(SERVIZI!$AC:$AC,SERVIZI!$B:$B,$A49))</f>
        <v/>
      </c>
      <c r="P49" s="34" t="str">
        <f t="shared" si="6"/>
        <v/>
      </c>
      <c r="Q49" s="35" t="str">
        <f t="shared" si="7"/>
        <v/>
      </c>
      <c r="R49" s="34" t="str">
        <f>IF($A49="","",SUMIFS(SERVIZI!$AK:$AK,SERVIZI!$B:$B,$A49))</f>
        <v/>
      </c>
      <c r="S49" s="34" t="str">
        <f>IF($A49="","",$J49-SUMIFS(SERVIZI!$AJ:$AJ,SERVIZI!$B:$B,$A49))</f>
        <v/>
      </c>
      <c r="T49" s="36" t="str">
        <f>IF($A49="","",IF($K49&lt;&gt;"OK","QUOTE NON QUADRATE",IF(COUNTIFS(SERVIZI!$B:$B,$A49,SERVIZI!$AN:$AN,"OK")&lt;$I49,"VERIFICARE SERVIZI","OK")))</f>
        <v/>
      </c>
    </row>
    <row r="50" spans="1:20" x14ac:dyDescent="0.3">
      <c r="A50" s="42"/>
      <c r="B50" s="42"/>
      <c r="C50" s="42"/>
      <c r="D50" s="42"/>
      <c r="E50" s="43"/>
      <c r="F50" s="43"/>
      <c r="G50" s="42"/>
      <c r="H50" s="44"/>
      <c r="I50" s="33" t="str">
        <f>IF($A50="","",COUNTIFS(SERVIZI!$B:$B,$A50))</f>
        <v/>
      </c>
      <c r="J50" s="34" t="str">
        <f>IF($A50="","",SUMIFS(SERVIZI!$Q:$Q,SERVIZI!$B:$B,$A50))</f>
        <v/>
      </c>
      <c r="K50" s="36" t="str">
        <f t="shared" si="4"/>
        <v/>
      </c>
      <c r="L50" s="34" t="str">
        <f>IF($A50="","",SUMIFS(SERVIZI!$P:$P,SERVIZI!$B:$B,$A50))</f>
        <v/>
      </c>
      <c r="M50" s="34" t="str">
        <f t="shared" si="5"/>
        <v/>
      </c>
      <c r="N50" s="33" t="str">
        <f>IF($A50="","",SUMIFS(SERVIZI!$M:$M,SERVIZI!$B:$B,$A50))</f>
        <v/>
      </c>
      <c r="O50" s="34" t="str">
        <f>IF($A50="","",SUMIFS(SERVIZI!$AC:$AC,SERVIZI!$B:$B,$A50))</f>
        <v/>
      </c>
      <c r="P50" s="34" t="str">
        <f t="shared" si="6"/>
        <v/>
      </c>
      <c r="Q50" s="35" t="str">
        <f t="shared" si="7"/>
        <v/>
      </c>
      <c r="R50" s="34" t="str">
        <f>IF($A50="","",SUMIFS(SERVIZI!$AK:$AK,SERVIZI!$B:$B,$A50))</f>
        <v/>
      </c>
      <c r="S50" s="34" t="str">
        <f>IF($A50="","",$J50-SUMIFS(SERVIZI!$AJ:$AJ,SERVIZI!$B:$B,$A50))</f>
        <v/>
      </c>
      <c r="T50" s="36" t="str">
        <f>IF($A50="","",IF($K50&lt;&gt;"OK","QUOTE NON QUADRATE",IF(COUNTIFS(SERVIZI!$B:$B,$A50,SERVIZI!$AN:$AN,"OK")&lt;$I50,"VERIFICARE SERVIZI","OK")))</f>
        <v/>
      </c>
    </row>
    <row r="51" spans="1:20" x14ac:dyDescent="0.3">
      <c r="A51" s="42"/>
      <c r="B51" s="42"/>
      <c r="C51" s="42"/>
      <c r="D51" s="42"/>
      <c r="E51" s="43"/>
      <c r="F51" s="43"/>
      <c r="G51" s="42"/>
      <c r="H51" s="44"/>
      <c r="I51" s="33" t="str">
        <f>IF($A51="","",COUNTIFS(SERVIZI!$B:$B,$A51))</f>
        <v/>
      </c>
      <c r="J51" s="34" t="str">
        <f>IF($A51="","",SUMIFS(SERVIZI!$Q:$Q,SERVIZI!$B:$B,$A51))</f>
        <v/>
      </c>
      <c r="K51" s="36" t="str">
        <f t="shared" si="4"/>
        <v/>
      </c>
      <c r="L51" s="34" t="str">
        <f>IF($A51="","",SUMIFS(SERVIZI!$P:$P,SERVIZI!$B:$B,$A51))</f>
        <v/>
      </c>
      <c r="M51" s="34" t="str">
        <f t="shared" si="5"/>
        <v/>
      </c>
      <c r="N51" s="33" t="str">
        <f>IF($A51="","",SUMIFS(SERVIZI!$M:$M,SERVIZI!$B:$B,$A51))</f>
        <v/>
      </c>
      <c r="O51" s="34" t="str">
        <f>IF($A51="","",SUMIFS(SERVIZI!$AC:$AC,SERVIZI!$B:$B,$A51))</f>
        <v/>
      </c>
      <c r="P51" s="34" t="str">
        <f t="shared" si="6"/>
        <v/>
      </c>
      <c r="Q51" s="35" t="str">
        <f t="shared" si="7"/>
        <v/>
      </c>
      <c r="R51" s="34" t="str">
        <f>IF($A51="","",SUMIFS(SERVIZI!$AK:$AK,SERVIZI!$B:$B,$A51))</f>
        <v/>
      </c>
      <c r="S51" s="34" t="str">
        <f>IF($A51="","",$J51-SUMIFS(SERVIZI!$AJ:$AJ,SERVIZI!$B:$B,$A51))</f>
        <v/>
      </c>
      <c r="T51" s="36" t="str">
        <f>IF($A51="","",IF($K51&lt;&gt;"OK","QUOTE NON QUADRATE",IF(COUNTIFS(SERVIZI!$B:$B,$A51,SERVIZI!$AN:$AN,"OK")&lt;$I51,"VERIFICARE SERVIZI","OK")))</f>
        <v/>
      </c>
    </row>
    <row r="52" spans="1:20" x14ac:dyDescent="0.3">
      <c r="A52" s="42"/>
      <c r="B52" s="42"/>
      <c r="C52" s="42"/>
      <c r="D52" s="42"/>
      <c r="E52" s="43"/>
      <c r="F52" s="43"/>
      <c r="G52" s="42"/>
      <c r="H52" s="44"/>
      <c r="I52" s="33" t="str">
        <f>IF($A52="","",COUNTIFS(SERVIZI!$B:$B,$A52))</f>
        <v/>
      </c>
      <c r="J52" s="34" t="str">
        <f>IF($A52="","",SUMIFS(SERVIZI!$Q:$Q,SERVIZI!$B:$B,$A52))</f>
        <v/>
      </c>
      <c r="K52" s="36" t="str">
        <f t="shared" si="4"/>
        <v/>
      </c>
      <c r="L52" s="34" t="str">
        <f>IF($A52="","",SUMIFS(SERVIZI!$P:$P,SERVIZI!$B:$B,$A52))</f>
        <v/>
      </c>
      <c r="M52" s="34" t="str">
        <f t="shared" si="5"/>
        <v/>
      </c>
      <c r="N52" s="33" t="str">
        <f>IF($A52="","",SUMIFS(SERVIZI!$M:$M,SERVIZI!$B:$B,$A52))</f>
        <v/>
      </c>
      <c r="O52" s="34" t="str">
        <f>IF($A52="","",SUMIFS(SERVIZI!$AC:$AC,SERVIZI!$B:$B,$A52))</f>
        <v/>
      </c>
      <c r="P52" s="34" t="str">
        <f t="shared" si="6"/>
        <v/>
      </c>
      <c r="Q52" s="35" t="str">
        <f t="shared" si="7"/>
        <v/>
      </c>
      <c r="R52" s="34" t="str">
        <f>IF($A52="","",SUMIFS(SERVIZI!$AK:$AK,SERVIZI!$B:$B,$A52))</f>
        <v/>
      </c>
      <c r="S52" s="34" t="str">
        <f>IF($A52="","",$J52-SUMIFS(SERVIZI!$AJ:$AJ,SERVIZI!$B:$B,$A52))</f>
        <v/>
      </c>
      <c r="T52" s="36" t="str">
        <f>IF($A52="","",IF($K52&lt;&gt;"OK","QUOTE NON QUADRATE",IF(COUNTIFS(SERVIZI!$B:$B,$A52,SERVIZI!$AN:$AN,"OK")&lt;$I52,"VERIFICARE SERVIZI","OK")))</f>
        <v/>
      </c>
    </row>
    <row r="53" spans="1:20" x14ac:dyDescent="0.3">
      <c r="A53" s="42"/>
      <c r="B53" s="42"/>
      <c r="C53" s="42"/>
      <c r="D53" s="42"/>
      <c r="E53" s="43"/>
      <c r="F53" s="43"/>
      <c r="G53" s="42"/>
      <c r="H53" s="44"/>
      <c r="I53" s="33" t="str">
        <f>IF($A53="","",COUNTIFS(SERVIZI!$B:$B,$A53))</f>
        <v/>
      </c>
      <c r="J53" s="34" t="str">
        <f>IF($A53="","",SUMIFS(SERVIZI!$Q:$Q,SERVIZI!$B:$B,$A53))</f>
        <v/>
      </c>
      <c r="K53" s="36" t="str">
        <f t="shared" si="4"/>
        <v/>
      </c>
      <c r="L53" s="34" t="str">
        <f>IF($A53="","",SUMIFS(SERVIZI!$P:$P,SERVIZI!$B:$B,$A53))</f>
        <v/>
      </c>
      <c r="M53" s="34" t="str">
        <f t="shared" si="5"/>
        <v/>
      </c>
      <c r="N53" s="33" t="str">
        <f>IF($A53="","",SUMIFS(SERVIZI!$M:$M,SERVIZI!$B:$B,$A53))</f>
        <v/>
      </c>
      <c r="O53" s="34" t="str">
        <f>IF($A53="","",SUMIFS(SERVIZI!$AC:$AC,SERVIZI!$B:$B,$A53))</f>
        <v/>
      </c>
      <c r="P53" s="34" t="str">
        <f t="shared" si="6"/>
        <v/>
      </c>
      <c r="Q53" s="35" t="str">
        <f t="shared" si="7"/>
        <v/>
      </c>
      <c r="R53" s="34" t="str">
        <f>IF($A53="","",SUMIFS(SERVIZI!$AK:$AK,SERVIZI!$B:$B,$A53))</f>
        <v/>
      </c>
      <c r="S53" s="34" t="str">
        <f>IF($A53="","",$J53-SUMIFS(SERVIZI!$AJ:$AJ,SERVIZI!$B:$B,$A53))</f>
        <v/>
      </c>
      <c r="T53" s="36" t="str">
        <f>IF($A53="","",IF($K53&lt;&gt;"OK","QUOTE NON QUADRATE",IF(COUNTIFS(SERVIZI!$B:$B,$A53,SERVIZI!$AN:$AN,"OK")&lt;$I53,"VERIFICARE SERVIZI","OK")))</f>
        <v/>
      </c>
    </row>
    <row r="54" spans="1:20" x14ac:dyDescent="0.3">
      <c r="A54" s="42"/>
      <c r="B54" s="42"/>
      <c r="C54" s="42"/>
      <c r="D54" s="42"/>
      <c r="E54" s="43"/>
      <c r="F54" s="43"/>
      <c r="G54" s="42"/>
      <c r="H54" s="44"/>
      <c r="I54" s="33" t="str">
        <f>IF($A54="","",COUNTIFS(SERVIZI!$B:$B,$A54))</f>
        <v/>
      </c>
      <c r="J54" s="34" t="str">
        <f>IF($A54="","",SUMIFS(SERVIZI!$Q:$Q,SERVIZI!$B:$B,$A54))</f>
        <v/>
      </c>
      <c r="K54" s="36" t="str">
        <f t="shared" si="4"/>
        <v/>
      </c>
      <c r="L54" s="34" t="str">
        <f>IF($A54="","",SUMIFS(SERVIZI!$P:$P,SERVIZI!$B:$B,$A54))</f>
        <v/>
      </c>
      <c r="M54" s="34" t="str">
        <f t="shared" si="5"/>
        <v/>
      </c>
      <c r="N54" s="33" t="str">
        <f>IF($A54="","",SUMIFS(SERVIZI!$M:$M,SERVIZI!$B:$B,$A54))</f>
        <v/>
      </c>
      <c r="O54" s="34" t="str">
        <f>IF($A54="","",SUMIFS(SERVIZI!$AC:$AC,SERVIZI!$B:$B,$A54))</f>
        <v/>
      </c>
      <c r="P54" s="34" t="str">
        <f t="shared" si="6"/>
        <v/>
      </c>
      <c r="Q54" s="35" t="str">
        <f t="shared" si="7"/>
        <v/>
      </c>
      <c r="R54" s="34" t="str">
        <f>IF($A54="","",SUMIFS(SERVIZI!$AK:$AK,SERVIZI!$B:$B,$A54))</f>
        <v/>
      </c>
      <c r="S54" s="34" t="str">
        <f>IF($A54="","",$J54-SUMIFS(SERVIZI!$AJ:$AJ,SERVIZI!$B:$B,$A54))</f>
        <v/>
      </c>
      <c r="T54" s="36" t="str">
        <f>IF($A54="","",IF($K54&lt;&gt;"OK","QUOTE NON QUADRATE",IF(COUNTIFS(SERVIZI!$B:$B,$A54,SERVIZI!$AN:$AN,"OK")&lt;$I54,"VERIFICARE SERVIZI","OK")))</f>
        <v/>
      </c>
    </row>
    <row r="55" spans="1:20" x14ac:dyDescent="0.3">
      <c r="A55" s="42"/>
      <c r="B55" s="42"/>
      <c r="C55" s="42"/>
      <c r="D55" s="42"/>
      <c r="E55" s="43"/>
      <c r="F55" s="43"/>
      <c r="G55" s="42"/>
      <c r="H55" s="44"/>
      <c r="I55" s="33" t="str">
        <f>IF($A55="","",COUNTIFS(SERVIZI!$B:$B,$A55))</f>
        <v/>
      </c>
      <c r="J55" s="34" t="str">
        <f>IF($A55="","",SUMIFS(SERVIZI!$Q:$Q,SERVIZI!$B:$B,$A55))</f>
        <v/>
      </c>
      <c r="K55" s="36" t="str">
        <f t="shared" si="4"/>
        <v/>
      </c>
      <c r="L55" s="34" t="str">
        <f>IF($A55="","",SUMIFS(SERVIZI!$P:$P,SERVIZI!$B:$B,$A55))</f>
        <v/>
      </c>
      <c r="M55" s="34" t="str">
        <f t="shared" si="5"/>
        <v/>
      </c>
      <c r="N55" s="33" t="str">
        <f>IF($A55="","",SUMIFS(SERVIZI!$M:$M,SERVIZI!$B:$B,$A55))</f>
        <v/>
      </c>
      <c r="O55" s="34" t="str">
        <f>IF($A55="","",SUMIFS(SERVIZI!$AC:$AC,SERVIZI!$B:$B,$A55))</f>
        <v/>
      </c>
      <c r="P55" s="34" t="str">
        <f t="shared" si="6"/>
        <v/>
      </c>
      <c r="Q55" s="35" t="str">
        <f t="shared" si="7"/>
        <v/>
      </c>
      <c r="R55" s="34" t="str">
        <f>IF($A55="","",SUMIFS(SERVIZI!$AK:$AK,SERVIZI!$B:$B,$A55))</f>
        <v/>
      </c>
      <c r="S55" s="34" t="str">
        <f>IF($A55="","",$J55-SUMIFS(SERVIZI!$AJ:$AJ,SERVIZI!$B:$B,$A55))</f>
        <v/>
      </c>
      <c r="T55" s="36" t="str">
        <f>IF($A55="","",IF($K55&lt;&gt;"OK","QUOTE NON QUADRATE",IF(COUNTIFS(SERVIZI!$B:$B,$A55,SERVIZI!$AN:$AN,"OK")&lt;$I55,"VERIFICARE SERVIZI","OK")))</f>
        <v/>
      </c>
    </row>
    <row r="56" spans="1:20" x14ac:dyDescent="0.3">
      <c r="A56" s="42"/>
      <c r="B56" s="42"/>
      <c r="C56" s="42"/>
      <c r="D56" s="42"/>
      <c r="E56" s="43"/>
      <c r="F56" s="43"/>
      <c r="G56" s="42"/>
      <c r="H56" s="44"/>
      <c r="I56" s="33" t="str">
        <f>IF($A56="","",COUNTIFS(SERVIZI!$B:$B,$A56))</f>
        <v/>
      </c>
      <c r="J56" s="34" t="str">
        <f>IF($A56="","",SUMIFS(SERVIZI!$Q:$Q,SERVIZI!$B:$B,$A56))</f>
        <v/>
      </c>
      <c r="K56" s="36" t="str">
        <f t="shared" si="4"/>
        <v/>
      </c>
      <c r="L56" s="34" t="str">
        <f>IF($A56="","",SUMIFS(SERVIZI!$P:$P,SERVIZI!$B:$B,$A56))</f>
        <v/>
      </c>
      <c r="M56" s="34" t="str">
        <f t="shared" si="5"/>
        <v/>
      </c>
      <c r="N56" s="33" t="str">
        <f>IF($A56="","",SUMIFS(SERVIZI!$M:$M,SERVIZI!$B:$B,$A56))</f>
        <v/>
      </c>
      <c r="O56" s="34" t="str">
        <f>IF($A56="","",SUMIFS(SERVIZI!$AC:$AC,SERVIZI!$B:$B,$A56))</f>
        <v/>
      </c>
      <c r="P56" s="34" t="str">
        <f t="shared" si="6"/>
        <v/>
      </c>
      <c r="Q56" s="35" t="str">
        <f t="shared" si="7"/>
        <v/>
      </c>
      <c r="R56" s="34" t="str">
        <f>IF($A56="","",SUMIFS(SERVIZI!$AK:$AK,SERVIZI!$B:$B,$A56))</f>
        <v/>
      </c>
      <c r="S56" s="34" t="str">
        <f>IF($A56="","",$J56-SUMIFS(SERVIZI!$AJ:$AJ,SERVIZI!$B:$B,$A56))</f>
        <v/>
      </c>
      <c r="T56" s="36" t="str">
        <f>IF($A56="","",IF($K56&lt;&gt;"OK","QUOTE NON QUADRATE",IF(COUNTIFS(SERVIZI!$B:$B,$A56,SERVIZI!$AN:$AN,"OK")&lt;$I56,"VERIFICARE SERVIZI","OK")))</f>
        <v/>
      </c>
    </row>
    <row r="57" spans="1:20" x14ac:dyDescent="0.3">
      <c r="A57" s="42"/>
      <c r="B57" s="42"/>
      <c r="C57" s="42"/>
      <c r="D57" s="42"/>
      <c r="E57" s="43"/>
      <c r="F57" s="43"/>
      <c r="G57" s="42"/>
      <c r="H57" s="44"/>
      <c r="I57" s="33" t="str">
        <f>IF($A57="","",COUNTIFS(SERVIZI!$B:$B,$A57))</f>
        <v/>
      </c>
      <c r="J57" s="34" t="str">
        <f>IF($A57="","",SUMIFS(SERVIZI!$Q:$Q,SERVIZI!$B:$B,$A57))</f>
        <v/>
      </c>
      <c r="K57" s="36" t="str">
        <f t="shared" si="4"/>
        <v/>
      </c>
      <c r="L57" s="34" t="str">
        <f>IF($A57="","",SUMIFS(SERVIZI!$P:$P,SERVIZI!$B:$B,$A57))</f>
        <v/>
      </c>
      <c r="M57" s="34" t="str">
        <f t="shared" si="5"/>
        <v/>
      </c>
      <c r="N57" s="33" t="str">
        <f>IF($A57="","",SUMIFS(SERVIZI!$M:$M,SERVIZI!$B:$B,$A57))</f>
        <v/>
      </c>
      <c r="O57" s="34" t="str">
        <f>IF($A57="","",SUMIFS(SERVIZI!$AC:$AC,SERVIZI!$B:$B,$A57))</f>
        <v/>
      </c>
      <c r="P57" s="34" t="str">
        <f t="shared" si="6"/>
        <v/>
      </c>
      <c r="Q57" s="35" t="str">
        <f t="shared" si="7"/>
        <v/>
      </c>
      <c r="R57" s="34" t="str">
        <f>IF($A57="","",SUMIFS(SERVIZI!$AK:$AK,SERVIZI!$B:$B,$A57))</f>
        <v/>
      </c>
      <c r="S57" s="34" t="str">
        <f>IF($A57="","",$J57-SUMIFS(SERVIZI!$AJ:$AJ,SERVIZI!$B:$B,$A57))</f>
        <v/>
      </c>
      <c r="T57" s="36" t="str">
        <f>IF($A57="","",IF($K57&lt;&gt;"OK","QUOTE NON QUADRATE",IF(COUNTIFS(SERVIZI!$B:$B,$A57,SERVIZI!$AN:$AN,"OK")&lt;$I57,"VERIFICARE SERVIZI","OK")))</f>
        <v/>
      </c>
    </row>
    <row r="58" spans="1:20" x14ac:dyDescent="0.3">
      <c r="A58" s="42"/>
      <c r="B58" s="42"/>
      <c r="C58" s="42"/>
      <c r="D58" s="42"/>
      <c r="E58" s="43"/>
      <c r="F58" s="43"/>
      <c r="G58" s="42"/>
      <c r="H58" s="44"/>
      <c r="I58" s="33" t="str">
        <f>IF($A58="","",COUNTIFS(SERVIZI!$B:$B,$A58))</f>
        <v/>
      </c>
      <c r="J58" s="34" t="str">
        <f>IF($A58="","",SUMIFS(SERVIZI!$Q:$Q,SERVIZI!$B:$B,$A58))</f>
        <v/>
      </c>
      <c r="K58" s="36" t="str">
        <f t="shared" si="4"/>
        <v/>
      </c>
      <c r="L58" s="34" t="str">
        <f>IF($A58="","",SUMIFS(SERVIZI!$P:$P,SERVIZI!$B:$B,$A58))</f>
        <v/>
      </c>
      <c r="M58" s="34" t="str">
        <f t="shared" si="5"/>
        <v/>
      </c>
      <c r="N58" s="33" t="str">
        <f>IF($A58="","",SUMIFS(SERVIZI!$M:$M,SERVIZI!$B:$B,$A58))</f>
        <v/>
      </c>
      <c r="O58" s="34" t="str">
        <f>IF($A58="","",SUMIFS(SERVIZI!$AC:$AC,SERVIZI!$B:$B,$A58))</f>
        <v/>
      </c>
      <c r="P58" s="34" t="str">
        <f t="shared" si="6"/>
        <v/>
      </c>
      <c r="Q58" s="35" t="str">
        <f t="shared" si="7"/>
        <v/>
      </c>
      <c r="R58" s="34" t="str">
        <f>IF($A58="","",SUMIFS(SERVIZI!$AK:$AK,SERVIZI!$B:$B,$A58))</f>
        <v/>
      </c>
      <c r="S58" s="34" t="str">
        <f>IF($A58="","",$J58-SUMIFS(SERVIZI!$AJ:$AJ,SERVIZI!$B:$B,$A58))</f>
        <v/>
      </c>
      <c r="T58" s="36" t="str">
        <f>IF($A58="","",IF($K58&lt;&gt;"OK","QUOTE NON QUADRATE",IF(COUNTIFS(SERVIZI!$B:$B,$A58,SERVIZI!$AN:$AN,"OK")&lt;$I58,"VERIFICARE SERVIZI","OK")))</f>
        <v/>
      </c>
    </row>
    <row r="59" spans="1:20" x14ac:dyDescent="0.3">
      <c r="A59" s="42"/>
      <c r="B59" s="42"/>
      <c r="C59" s="42"/>
      <c r="D59" s="42"/>
      <c r="E59" s="43"/>
      <c r="F59" s="43"/>
      <c r="G59" s="42"/>
      <c r="H59" s="44"/>
      <c r="I59" s="33" t="str">
        <f>IF($A59="","",COUNTIFS(SERVIZI!$B:$B,$A59))</f>
        <v/>
      </c>
      <c r="J59" s="34" t="str">
        <f>IF($A59="","",SUMIFS(SERVIZI!$Q:$Q,SERVIZI!$B:$B,$A59))</f>
        <v/>
      </c>
      <c r="K59" s="36" t="str">
        <f t="shared" si="4"/>
        <v/>
      </c>
      <c r="L59" s="34" t="str">
        <f>IF($A59="","",SUMIFS(SERVIZI!$P:$P,SERVIZI!$B:$B,$A59))</f>
        <v/>
      </c>
      <c r="M59" s="34" t="str">
        <f t="shared" si="5"/>
        <v/>
      </c>
      <c r="N59" s="33" t="str">
        <f>IF($A59="","",SUMIFS(SERVIZI!$M:$M,SERVIZI!$B:$B,$A59))</f>
        <v/>
      </c>
      <c r="O59" s="34" t="str">
        <f>IF($A59="","",SUMIFS(SERVIZI!$AC:$AC,SERVIZI!$B:$B,$A59))</f>
        <v/>
      </c>
      <c r="P59" s="34" t="str">
        <f t="shared" si="6"/>
        <v/>
      </c>
      <c r="Q59" s="35" t="str">
        <f t="shared" si="7"/>
        <v/>
      </c>
      <c r="R59" s="34" t="str">
        <f>IF($A59="","",SUMIFS(SERVIZI!$AK:$AK,SERVIZI!$B:$B,$A59))</f>
        <v/>
      </c>
      <c r="S59" s="34" t="str">
        <f>IF($A59="","",$J59-SUMIFS(SERVIZI!$AJ:$AJ,SERVIZI!$B:$B,$A59))</f>
        <v/>
      </c>
      <c r="T59" s="36" t="str">
        <f>IF($A59="","",IF($K59&lt;&gt;"OK","QUOTE NON QUADRATE",IF(COUNTIFS(SERVIZI!$B:$B,$A59,SERVIZI!$AN:$AN,"OK")&lt;$I59,"VERIFICARE SERVIZI","OK")))</f>
        <v/>
      </c>
    </row>
    <row r="60" spans="1:20" x14ac:dyDescent="0.3">
      <c r="A60" s="42"/>
      <c r="B60" s="42"/>
      <c r="C60" s="42"/>
      <c r="D60" s="42"/>
      <c r="E60" s="43"/>
      <c r="F60" s="43"/>
      <c r="G60" s="42"/>
      <c r="H60" s="44"/>
      <c r="I60" s="33" t="str">
        <f>IF($A60="","",COUNTIFS(SERVIZI!$B:$B,$A60))</f>
        <v/>
      </c>
      <c r="J60" s="34" t="str">
        <f>IF($A60="","",SUMIFS(SERVIZI!$Q:$Q,SERVIZI!$B:$B,$A60))</f>
        <v/>
      </c>
      <c r="K60" s="36" t="str">
        <f t="shared" si="4"/>
        <v/>
      </c>
      <c r="L60" s="34" t="str">
        <f>IF($A60="","",SUMIFS(SERVIZI!$P:$P,SERVIZI!$B:$B,$A60))</f>
        <v/>
      </c>
      <c r="M60" s="34" t="str">
        <f t="shared" si="5"/>
        <v/>
      </c>
      <c r="N60" s="33" t="str">
        <f>IF($A60="","",SUMIFS(SERVIZI!$M:$M,SERVIZI!$B:$B,$A60))</f>
        <v/>
      </c>
      <c r="O60" s="34" t="str">
        <f>IF($A60="","",SUMIFS(SERVIZI!$AC:$AC,SERVIZI!$B:$B,$A60))</f>
        <v/>
      </c>
      <c r="P60" s="34" t="str">
        <f t="shared" si="6"/>
        <v/>
      </c>
      <c r="Q60" s="35" t="str">
        <f t="shared" si="7"/>
        <v/>
      </c>
      <c r="R60" s="34" t="str">
        <f>IF($A60="","",SUMIFS(SERVIZI!$AK:$AK,SERVIZI!$B:$B,$A60))</f>
        <v/>
      </c>
      <c r="S60" s="34" t="str">
        <f>IF($A60="","",$J60-SUMIFS(SERVIZI!$AJ:$AJ,SERVIZI!$B:$B,$A60))</f>
        <v/>
      </c>
      <c r="T60" s="36" t="str">
        <f>IF($A60="","",IF($K60&lt;&gt;"OK","QUOTE NON QUADRATE",IF(COUNTIFS(SERVIZI!$B:$B,$A60,SERVIZI!$AN:$AN,"OK")&lt;$I60,"VERIFICARE SERVIZI","OK")))</f>
        <v/>
      </c>
    </row>
    <row r="61" spans="1:20" x14ac:dyDescent="0.3">
      <c r="A61" s="42"/>
      <c r="B61" s="42"/>
      <c r="C61" s="42"/>
      <c r="D61" s="42"/>
      <c r="E61" s="43"/>
      <c r="F61" s="43"/>
      <c r="G61" s="42"/>
      <c r="H61" s="44"/>
      <c r="I61" s="33" t="str">
        <f>IF($A61="","",COUNTIFS(SERVIZI!$B:$B,$A61))</f>
        <v/>
      </c>
      <c r="J61" s="34" t="str">
        <f>IF($A61="","",SUMIFS(SERVIZI!$Q:$Q,SERVIZI!$B:$B,$A61))</f>
        <v/>
      </c>
      <c r="K61" s="36" t="str">
        <f t="shared" si="4"/>
        <v/>
      </c>
      <c r="L61" s="34" t="str">
        <f>IF($A61="","",SUMIFS(SERVIZI!$P:$P,SERVIZI!$B:$B,$A61))</f>
        <v/>
      </c>
      <c r="M61" s="34" t="str">
        <f t="shared" si="5"/>
        <v/>
      </c>
      <c r="N61" s="33" t="str">
        <f>IF($A61="","",SUMIFS(SERVIZI!$M:$M,SERVIZI!$B:$B,$A61))</f>
        <v/>
      </c>
      <c r="O61" s="34" t="str">
        <f>IF($A61="","",SUMIFS(SERVIZI!$AC:$AC,SERVIZI!$B:$B,$A61))</f>
        <v/>
      </c>
      <c r="P61" s="34" t="str">
        <f t="shared" si="6"/>
        <v/>
      </c>
      <c r="Q61" s="35" t="str">
        <f t="shared" si="7"/>
        <v/>
      </c>
      <c r="R61" s="34" t="str">
        <f>IF($A61="","",SUMIFS(SERVIZI!$AK:$AK,SERVIZI!$B:$B,$A61))</f>
        <v/>
      </c>
      <c r="S61" s="34" t="str">
        <f>IF($A61="","",$J61-SUMIFS(SERVIZI!$AJ:$AJ,SERVIZI!$B:$B,$A61))</f>
        <v/>
      </c>
      <c r="T61" s="36" t="str">
        <f>IF($A61="","",IF($K61&lt;&gt;"OK","QUOTE NON QUADRATE",IF(COUNTIFS(SERVIZI!$B:$B,$A61,SERVIZI!$AN:$AN,"OK")&lt;$I61,"VERIFICARE SERVIZI","OK")))</f>
        <v/>
      </c>
    </row>
    <row r="62" spans="1:20" x14ac:dyDescent="0.3">
      <c r="A62" s="42"/>
      <c r="B62" s="42"/>
      <c r="C62" s="42"/>
      <c r="D62" s="42"/>
      <c r="E62" s="43"/>
      <c r="F62" s="43"/>
      <c r="G62" s="42"/>
      <c r="H62" s="44"/>
      <c r="I62" s="33" t="str">
        <f>IF($A62="","",COUNTIFS(SERVIZI!$B:$B,$A62))</f>
        <v/>
      </c>
      <c r="J62" s="34" t="str">
        <f>IF($A62="","",SUMIFS(SERVIZI!$Q:$Q,SERVIZI!$B:$B,$A62))</f>
        <v/>
      </c>
      <c r="K62" s="36" t="str">
        <f t="shared" si="4"/>
        <v/>
      </c>
      <c r="L62" s="34" t="str">
        <f>IF($A62="","",SUMIFS(SERVIZI!$P:$P,SERVIZI!$B:$B,$A62))</f>
        <v/>
      </c>
      <c r="M62" s="34" t="str">
        <f t="shared" si="5"/>
        <v/>
      </c>
      <c r="N62" s="33" t="str">
        <f>IF($A62="","",SUMIFS(SERVIZI!$M:$M,SERVIZI!$B:$B,$A62))</f>
        <v/>
      </c>
      <c r="O62" s="34" t="str">
        <f>IF($A62="","",SUMIFS(SERVIZI!$AC:$AC,SERVIZI!$B:$B,$A62))</f>
        <v/>
      </c>
      <c r="P62" s="34" t="str">
        <f t="shared" si="6"/>
        <v/>
      </c>
      <c r="Q62" s="35" t="str">
        <f t="shared" si="7"/>
        <v/>
      </c>
      <c r="R62" s="34" t="str">
        <f>IF($A62="","",SUMIFS(SERVIZI!$AK:$AK,SERVIZI!$B:$B,$A62))</f>
        <v/>
      </c>
      <c r="S62" s="34" t="str">
        <f>IF($A62="","",$J62-SUMIFS(SERVIZI!$AJ:$AJ,SERVIZI!$B:$B,$A62))</f>
        <v/>
      </c>
      <c r="T62" s="36" t="str">
        <f>IF($A62="","",IF($K62&lt;&gt;"OK","QUOTE NON QUADRATE",IF(COUNTIFS(SERVIZI!$B:$B,$A62,SERVIZI!$AN:$AN,"OK")&lt;$I62,"VERIFICARE SERVIZI","OK")))</f>
        <v/>
      </c>
    </row>
    <row r="63" spans="1:20" x14ac:dyDescent="0.3">
      <c r="A63" s="42"/>
      <c r="B63" s="42"/>
      <c r="C63" s="42"/>
      <c r="D63" s="42"/>
      <c r="E63" s="43"/>
      <c r="F63" s="43"/>
      <c r="G63" s="42"/>
      <c r="H63" s="44"/>
      <c r="I63" s="33" t="str">
        <f>IF($A63="","",COUNTIFS(SERVIZI!$B:$B,$A63))</f>
        <v/>
      </c>
      <c r="J63" s="34" t="str">
        <f>IF($A63="","",SUMIFS(SERVIZI!$Q:$Q,SERVIZI!$B:$B,$A63))</f>
        <v/>
      </c>
      <c r="K63" s="36" t="str">
        <f t="shared" si="4"/>
        <v/>
      </c>
      <c r="L63" s="34" t="str">
        <f>IF($A63="","",SUMIFS(SERVIZI!$P:$P,SERVIZI!$B:$B,$A63))</f>
        <v/>
      </c>
      <c r="M63" s="34" t="str">
        <f t="shared" si="5"/>
        <v/>
      </c>
      <c r="N63" s="33" t="str">
        <f>IF($A63="","",SUMIFS(SERVIZI!$M:$M,SERVIZI!$B:$B,$A63))</f>
        <v/>
      </c>
      <c r="O63" s="34" t="str">
        <f>IF($A63="","",SUMIFS(SERVIZI!$AC:$AC,SERVIZI!$B:$B,$A63))</f>
        <v/>
      </c>
      <c r="P63" s="34" t="str">
        <f t="shared" si="6"/>
        <v/>
      </c>
      <c r="Q63" s="35" t="str">
        <f t="shared" si="7"/>
        <v/>
      </c>
      <c r="R63" s="34" t="str">
        <f>IF($A63="","",SUMIFS(SERVIZI!$AK:$AK,SERVIZI!$B:$B,$A63))</f>
        <v/>
      </c>
      <c r="S63" s="34" t="str">
        <f>IF($A63="","",$J63-SUMIFS(SERVIZI!$AJ:$AJ,SERVIZI!$B:$B,$A63))</f>
        <v/>
      </c>
      <c r="T63" s="36" t="str">
        <f>IF($A63="","",IF($K63&lt;&gt;"OK","QUOTE NON QUADRATE",IF(COUNTIFS(SERVIZI!$B:$B,$A63,SERVIZI!$AN:$AN,"OK")&lt;$I63,"VERIFICARE SERVIZI","OK")))</f>
        <v/>
      </c>
    </row>
    <row r="64" spans="1:20" x14ac:dyDescent="0.3">
      <c r="A64" s="42"/>
      <c r="B64" s="42"/>
      <c r="C64" s="42"/>
      <c r="D64" s="42"/>
      <c r="E64" s="43"/>
      <c r="F64" s="43"/>
      <c r="G64" s="42"/>
      <c r="H64" s="44"/>
      <c r="I64" s="33" t="str">
        <f>IF($A64="","",COUNTIFS(SERVIZI!$B:$B,$A64))</f>
        <v/>
      </c>
      <c r="J64" s="34" t="str">
        <f>IF($A64="","",SUMIFS(SERVIZI!$Q:$Q,SERVIZI!$B:$B,$A64))</f>
        <v/>
      </c>
      <c r="K64" s="36" t="str">
        <f t="shared" si="4"/>
        <v/>
      </c>
      <c r="L64" s="34" t="str">
        <f>IF($A64="","",SUMIFS(SERVIZI!$P:$P,SERVIZI!$B:$B,$A64))</f>
        <v/>
      </c>
      <c r="M64" s="34" t="str">
        <f t="shared" si="5"/>
        <v/>
      </c>
      <c r="N64" s="33" t="str">
        <f>IF($A64="","",SUMIFS(SERVIZI!$M:$M,SERVIZI!$B:$B,$A64))</f>
        <v/>
      </c>
      <c r="O64" s="34" t="str">
        <f>IF($A64="","",SUMIFS(SERVIZI!$AC:$AC,SERVIZI!$B:$B,$A64))</f>
        <v/>
      </c>
      <c r="P64" s="34" t="str">
        <f t="shared" si="6"/>
        <v/>
      </c>
      <c r="Q64" s="35" t="str">
        <f t="shared" si="7"/>
        <v/>
      </c>
      <c r="R64" s="34" t="str">
        <f>IF($A64="","",SUMIFS(SERVIZI!$AK:$AK,SERVIZI!$B:$B,$A64))</f>
        <v/>
      </c>
      <c r="S64" s="34" t="str">
        <f>IF($A64="","",$J64-SUMIFS(SERVIZI!$AJ:$AJ,SERVIZI!$B:$B,$A64))</f>
        <v/>
      </c>
      <c r="T64" s="36" t="str">
        <f>IF($A64="","",IF($K64&lt;&gt;"OK","QUOTE NON QUADRATE",IF(COUNTIFS(SERVIZI!$B:$B,$A64,SERVIZI!$AN:$AN,"OK")&lt;$I64,"VERIFICARE SERVIZI","OK")))</f>
        <v/>
      </c>
    </row>
    <row r="65" spans="1:20" x14ac:dyDescent="0.3">
      <c r="A65" s="42"/>
      <c r="B65" s="42"/>
      <c r="C65" s="42"/>
      <c r="D65" s="42"/>
      <c r="E65" s="43"/>
      <c r="F65" s="43"/>
      <c r="G65" s="42"/>
      <c r="H65" s="44"/>
      <c r="I65" s="33" t="str">
        <f>IF($A65="","",COUNTIFS(SERVIZI!$B:$B,$A65))</f>
        <v/>
      </c>
      <c r="J65" s="34" t="str">
        <f>IF($A65="","",SUMIFS(SERVIZI!$Q:$Q,SERVIZI!$B:$B,$A65))</f>
        <v/>
      </c>
      <c r="K65" s="36" t="str">
        <f t="shared" si="4"/>
        <v/>
      </c>
      <c r="L65" s="34" t="str">
        <f>IF($A65="","",SUMIFS(SERVIZI!$P:$P,SERVIZI!$B:$B,$A65))</f>
        <v/>
      </c>
      <c r="M65" s="34" t="str">
        <f t="shared" si="5"/>
        <v/>
      </c>
      <c r="N65" s="33" t="str">
        <f>IF($A65="","",SUMIFS(SERVIZI!$M:$M,SERVIZI!$B:$B,$A65))</f>
        <v/>
      </c>
      <c r="O65" s="34" t="str">
        <f>IF($A65="","",SUMIFS(SERVIZI!$AC:$AC,SERVIZI!$B:$B,$A65))</f>
        <v/>
      </c>
      <c r="P65" s="34" t="str">
        <f t="shared" si="6"/>
        <v/>
      </c>
      <c r="Q65" s="35" t="str">
        <f t="shared" si="7"/>
        <v/>
      </c>
      <c r="R65" s="34" t="str">
        <f>IF($A65="","",SUMIFS(SERVIZI!$AK:$AK,SERVIZI!$B:$B,$A65))</f>
        <v/>
      </c>
      <c r="S65" s="34" t="str">
        <f>IF($A65="","",$J65-SUMIFS(SERVIZI!$AJ:$AJ,SERVIZI!$B:$B,$A65))</f>
        <v/>
      </c>
      <c r="T65" s="36" t="str">
        <f>IF($A65="","",IF($K65&lt;&gt;"OK","QUOTE NON QUADRATE",IF(COUNTIFS(SERVIZI!$B:$B,$A65,SERVIZI!$AN:$AN,"OK")&lt;$I65,"VERIFICARE SERVIZI","OK")))</f>
        <v/>
      </c>
    </row>
    <row r="66" spans="1:20" x14ac:dyDescent="0.3">
      <c r="A66" s="42"/>
      <c r="B66" s="42"/>
      <c r="C66" s="42"/>
      <c r="D66" s="42"/>
      <c r="E66" s="43"/>
      <c r="F66" s="43"/>
      <c r="G66" s="42"/>
      <c r="H66" s="44"/>
      <c r="I66" s="33" t="str">
        <f>IF($A66="","",COUNTIFS(SERVIZI!$B:$B,$A66))</f>
        <v/>
      </c>
      <c r="J66" s="34" t="str">
        <f>IF($A66="","",SUMIFS(SERVIZI!$Q:$Q,SERVIZI!$B:$B,$A66))</f>
        <v/>
      </c>
      <c r="K66" s="36" t="str">
        <f t="shared" ref="K66:K97" si="8">IF($A66="","",IF(ABS($H66-$J66)&lt;1,"OK","DIFFERENZA "&amp;TEXT($H66-$J66,"#,##0")&amp;" €"))</f>
        <v/>
      </c>
      <c r="L66" s="34" t="str">
        <f>IF($A66="","",SUMIFS(SERVIZI!$P:$P,SERVIZI!$B:$B,$A66))</f>
        <v/>
      </c>
      <c r="M66" s="34" t="str">
        <f t="shared" ref="M66:M97" si="9">IF($A66="","",$J66-$L66)</f>
        <v/>
      </c>
      <c r="N66" s="33" t="str">
        <f>IF($A66="","",SUMIFS(SERVIZI!$M:$M,SERVIZI!$B:$B,$A66))</f>
        <v/>
      </c>
      <c r="O66" s="34" t="str">
        <f>IF($A66="","",SUMIFS(SERVIZI!$AC:$AC,SERVIZI!$B:$B,$A66))</f>
        <v/>
      </c>
      <c r="P66" s="34" t="str">
        <f t="shared" ref="P66:P97" si="10">IF($A66="","",$J66-$O66)</f>
        <v/>
      </c>
      <c r="Q66" s="35" t="str">
        <f t="shared" ref="Q66:Q97" si="11">IF($A66="","",IFERROR($P66/$J66,0))</f>
        <v/>
      </c>
      <c r="R66" s="34" t="str">
        <f>IF($A66="","",SUMIFS(SERVIZI!$AK:$AK,SERVIZI!$B:$B,$A66))</f>
        <v/>
      </c>
      <c r="S66" s="34" t="str">
        <f>IF($A66="","",$J66-SUMIFS(SERVIZI!$AJ:$AJ,SERVIZI!$B:$B,$A66))</f>
        <v/>
      </c>
      <c r="T66" s="36" t="str">
        <f>IF($A66="","",IF($K66&lt;&gt;"OK","QUOTE NON QUADRATE",IF(COUNTIFS(SERVIZI!$B:$B,$A66,SERVIZI!$AN:$AN,"OK")&lt;$I66,"VERIFICARE SERVIZI","OK")))</f>
        <v/>
      </c>
    </row>
    <row r="67" spans="1:20" x14ac:dyDescent="0.3">
      <c r="A67" s="42"/>
      <c r="B67" s="42"/>
      <c r="C67" s="42"/>
      <c r="D67" s="42"/>
      <c r="E67" s="43"/>
      <c r="F67" s="43"/>
      <c r="G67" s="42"/>
      <c r="H67" s="44"/>
      <c r="I67" s="33" t="str">
        <f>IF($A67="","",COUNTIFS(SERVIZI!$B:$B,$A67))</f>
        <v/>
      </c>
      <c r="J67" s="34" t="str">
        <f>IF($A67="","",SUMIFS(SERVIZI!$Q:$Q,SERVIZI!$B:$B,$A67))</f>
        <v/>
      </c>
      <c r="K67" s="36" t="str">
        <f t="shared" si="8"/>
        <v/>
      </c>
      <c r="L67" s="34" t="str">
        <f>IF($A67="","",SUMIFS(SERVIZI!$P:$P,SERVIZI!$B:$B,$A67))</f>
        <v/>
      </c>
      <c r="M67" s="34" t="str">
        <f t="shared" si="9"/>
        <v/>
      </c>
      <c r="N67" s="33" t="str">
        <f>IF($A67="","",SUMIFS(SERVIZI!$M:$M,SERVIZI!$B:$B,$A67))</f>
        <v/>
      </c>
      <c r="O67" s="34" t="str">
        <f>IF($A67="","",SUMIFS(SERVIZI!$AC:$AC,SERVIZI!$B:$B,$A67))</f>
        <v/>
      </c>
      <c r="P67" s="34" t="str">
        <f t="shared" si="10"/>
        <v/>
      </c>
      <c r="Q67" s="35" t="str">
        <f t="shared" si="11"/>
        <v/>
      </c>
      <c r="R67" s="34" t="str">
        <f>IF($A67="","",SUMIFS(SERVIZI!$AK:$AK,SERVIZI!$B:$B,$A67))</f>
        <v/>
      </c>
      <c r="S67" s="34" t="str">
        <f>IF($A67="","",$J67-SUMIFS(SERVIZI!$AJ:$AJ,SERVIZI!$B:$B,$A67))</f>
        <v/>
      </c>
      <c r="T67" s="36" t="str">
        <f>IF($A67="","",IF($K67&lt;&gt;"OK","QUOTE NON QUADRATE",IF(COUNTIFS(SERVIZI!$B:$B,$A67,SERVIZI!$AN:$AN,"OK")&lt;$I67,"VERIFICARE SERVIZI","OK")))</f>
        <v/>
      </c>
    </row>
    <row r="68" spans="1:20" x14ac:dyDescent="0.3">
      <c r="A68" s="42"/>
      <c r="B68" s="42"/>
      <c r="C68" s="42"/>
      <c r="D68" s="42"/>
      <c r="E68" s="43"/>
      <c r="F68" s="43"/>
      <c r="G68" s="42"/>
      <c r="H68" s="44"/>
      <c r="I68" s="33" t="str">
        <f>IF($A68="","",COUNTIFS(SERVIZI!$B:$B,$A68))</f>
        <v/>
      </c>
      <c r="J68" s="34" t="str">
        <f>IF($A68="","",SUMIFS(SERVIZI!$Q:$Q,SERVIZI!$B:$B,$A68))</f>
        <v/>
      </c>
      <c r="K68" s="36" t="str">
        <f t="shared" si="8"/>
        <v/>
      </c>
      <c r="L68" s="34" t="str">
        <f>IF($A68="","",SUMIFS(SERVIZI!$P:$P,SERVIZI!$B:$B,$A68))</f>
        <v/>
      </c>
      <c r="M68" s="34" t="str">
        <f t="shared" si="9"/>
        <v/>
      </c>
      <c r="N68" s="33" t="str">
        <f>IF($A68="","",SUMIFS(SERVIZI!$M:$M,SERVIZI!$B:$B,$A68))</f>
        <v/>
      </c>
      <c r="O68" s="34" t="str">
        <f>IF($A68="","",SUMIFS(SERVIZI!$AC:$AC,SERVIZI!$B:$B,$A68))</f>
        <v/>
      </c>
      <c r="P68" s="34" t="str">
        <f t="shared" si="10"/>
        <v/>
      </c>
      <c r="Q68" s="35" t="str">
        <f t="shared" si="11"/>
        <v/>
      </c>
      <c r="R68" s="34" t="str">
        <f>IF($A68="","",SUMIFS(SERVIZI!$AK:$AK,SERVIZI!$B:$B,$A68))</f>
        <v/>
      </c>
      <c r="S68" s="34" t="str">
        <f>IF($A68="","",$J68-SUMIFS(SERVIZI!$AJ:$AJ,SERVIZI!$B:$B,$A68))</f>
        <v/>
      </c>
      <c r="T68" s="36" t="str">
        <f>IF($A68="","",IF($K68&lt;&gt;"OK","QUOTE NON QUADRATE",IF(COUNTIFS(SERVIZI!$B:$B,$A68,SERVIZI!$AN:$AN,"OK")&lt;$I68,"VERIFICARE SERVIZI","OK")))</f>
        <v/>
      </c>
    </row>
    <row r="69" spans="1:20" x14ac:dyDescent="0.3">
      <c r="A69" s="42"/>
      <c r="B69" s="42"/>
      <c r="C69" s="42"/>
      <c r="D69" s="42"/>
      <c r="E69" s="43"/>
      <c r="F69" s="43"/>
      <c r="G69" s="42"/>
      <c r="H69" s="44"/>
      <c r="I69" s="33" t="str">
        <f>IF($A69="","",COUNTIFS(SERVIZI!$B:$B,$A69))</f>
        <v/>
      </c>
      <c r="J69" s="34" t="str">
        <f>IF($A69="","",SUMIFS(SERVIZI!$Q:$Q,SERVIZI!$B:$B,$A69))</f>
        <v/>
      </c>
      <c r="K69" s="36" t="str">
        <f t="shared" si="8"/>
        <v/>
      </c>
      <c r="L69" s="34" t="str">
        <f>IF($A69="","",SUMIFS(SERVIZI!$P:$P,SERVIZI!$B:$B,$A69))</f>
        <v/>
      </c>
      <c r="M69" s="34" t="str">
        <f t="shared" si="9"/>
        <v/>
      </c>
      <c r="N69" s="33" t="str">
        <f>IF($A69="","",SUMIFS(SERVIZI!$M:$M,SERVIZI!$B:$B,$A69))</f>
        <v/>
      </c>
      <c r="O69" s="34" t="str">
        <f>IF($A69="","",SUMIFS(SERVIZI!$AC:$AC,SERVIZI!$B:$B,$A69))</f>
        <v/>
      </c>
      <c r="P69" s="34" t="str">
        <f t="shared" si="10"/>
        <v/>
      </c>
      <c r="Q69" s="35" t="str">
        <f t="shared" si="11"/>
        <v/>
      </c>
      <c r="R69" s="34" t="str">
        <f>IF($A69="","",SUMIFS(SERVIZI!$AK:$AK,SERVIZI!$B:$B,$A69))</f>
        <v/>
      </c>
      <c r="S69" s="34" t="str">
        <f>IF($A69="","",$J69-SUMIFS(SERVIZI!$AJ:$AJ,SERVIZI!$B:$B,$A69))</f>
        <v/>
      </c>
      <c r="T69" s="36" t="str">
        <f>IF($A69="","",IF($K69&lt;&gt;"OK","QUOTE NON QUADRATE",IF(COUNTIFS(SERVIZI!$B:$B,$A69,SERVIZI!$AN:$AN,"OK")&lt;$I69,"VERIFICARE SERVIZI","OK")))</f>
        <v/>
      </c>
    </row>
    <row r="70" spans="1:20" x14ac:dyDescent="0.3">
      <c r="A70" s="42"/>
      <c r="B70" s="42"/>
      <c r="C70" s="42"/>
      <c r="D70" s="42"/>
      <c r="E70" s="43"/>
      <c r="F70" s="43"/>
      <c r="G70" s="42"/>
      <c r="H70" s="44"/>
      <c r="I70" s="33" t="str">
        <f>IF($A70="","",COUNTIFS(SERVIZI!$B:$B,$A70))</f>
        <v/>
      </c>
      <c r="J70" s="34" t="str">
        <f>IF($A70="","",SUMIFS(SERVIZI!$Q:$Q,SERVIZI!$B:$B,$A70))</f>
        <v/>
      </c>
      <c r="K70" s="36" t="str">
        <f t="shared" si="8"/>
        <v/>
      </c>
      <c r="L70" s="34" t="str">
        <f>IF($A70="","",SUMIFS(SERVIZI!$P:$P,SERVIZI!$B:$B,$A70))</f>
        <v/>
      </c>
      <c r="M70" s="34" t="str">
        <f t="shared" si="9"/>
        <v/>
      </c>
      <c r="N70" s="33" t="str">
        <f>IF($A70="","",SUMIFS(SERVIZI!$M:$M,SERVIZI!$B:$B,$A70))</f>
        <v/>
      </c>
      <c r="O70" s="34" t="str">
        <f>IF($A70="","",SUMIFS(SERVIZI!$AC:$AC,SERVIZI!$B:$B,$A70))</f>
        <v/>
      </c>
      <c r="P70" s="34" t="str">
        <f t="shared" si="10"/>
        <v/>
      </c>
      <c r="Q70" s="35" t="str">
        <f t="shared" si="11"/>
        <v/>
      </c>
      <c r="R70" s="34" t="str">
        <f>IF($A70="","",SUMIFS(SERVIZI!$AK:$AK,SERVIZI!$B:$B,$A70))</f>
        <v/>
      </c>
      <c r="S70" s="34" t="str">
        <f>IF($A70="","",$J70-SUMIFS(SERVIZI!$AJ:$AJ,SERVIZI!$B:$B,$A70))</f>
        <v/>
      </c>
      <c r="T70" s="36" t="str">
        <f>IF($A70="","",IF($K70&lt;&gt;"OK","QUOTE NON QUADRATE",IF(COUNTIFS(SERVIZI!$B:$B,$A70,SERVIZI!$AN:$AN,"OK")&lt;$I70,"VERIFICARE SERVIZI","OK")))</f>
        <v/>
      </c>
    </row>
    <row r="71" spans="1:20" x14ac:dyDescent="0.3">
      <c r="A71" s="42"/>
      <c r="B71" s="42"/>
      <c r="C71" s="42"/>
      <c r="D71" s="42"/>
      <c r="E71" s="43"/>
      <c r="F71" s="43"/>
      <c r="G71" s="42"/>
      <c r="H71" s="44"/>
      <c r="I71" s="33" t="str">
        <f>IF($A71="","",COUNTIFS(SERVIZI!$B:$B,$A71))</f>
        <v/>
      </c>
      <c r="J71" s="34" t="str">
        <f>IF($A71="","",SUMIFS(SERVIZI!$Q:$Q,SERVIZI!$B:$B,$A71))</f>
        <v/>
      </c>
      <c r="K71" s="36" t="str">
        <f t="shared" si="8"/>
        <v/>
      </c>
      <c r="L71" s="34" t="str">
        <f>IF($A71="","",SUMIFS(SERVIZI!$P:$P,SERVIZI!$B:$B,$A71))</f>
        <v/>
      </c>
      <c r="M71" s="34" t="str">
        <f t="shared" si="9"/>
        <v/>
      </c>
      <c r="N71" s="33" t="str">
        <f>IF($A71="","",SUMIFS(SERVIZI!$M:$M,SERVIZI!$B:$B,$A71))</f>
        <v/>
      </c>
      <c r="O71" s="34" t="str">
        <f>IF($A71="","",SUMIFS(SERVIZI!$AC:$AC,SERVIZI!$B:$B,$A71))</f>
        <v/>
      </c>
      <c r="P71" s="34" t="str">
        <f t="shared" si="10"/>
        <v/>
      </c>
      <c r="Q71" s="35" t="str">
        <f t="shared" si="11"/>
        <v/>
      </c>
      <c r="R71" s="34" t="str">
        <f>IF($A71="","",SUMIFS(SERVIZI!$AK:$AK,SERVIZI!$B:$B,$A71))</f>
        <v/>
      </c>
      <c r="S71" s="34" t="str">
        <f>IF($A71="","",$J71-SUMIFS(SERVIZI!$AJ:$AJ,SERVIZI!$B:$B,$A71))</f>
        <v/>
      </c>
      <c r="T71" s="36" t="str">
        <f>IF($A71="","",IF($K71&lt;&gt;"OK","QUOTE NON QUADRATE",IF(COUNTIFS(SERVIZI!$B:$B,$A71,SERVIZI!$AN:$AN,"OK")&lt;$I71,"VERIFICARE SERVIZI","OK")))</f>
        <v/>
      </c>
    </row>
    <row r="72" spans="1:20" x14ac:dyDescent="0.3">
      <c r="A72" s="42"/>
      <c r="B72" s="42"/>
      <c r="C72" s="42"/>
      <c r="D72" s="42"/>
      <c r="E72" s="43"/>
      <c r="F72" s="43"/>
      <c r="G72" s="42"/>
      <c r="H72" s="44"/>
      <c r="I72" s="33" t="str">
        <f>IF($A72="","",COUNTIFS(SERVIZI!$B:$B,$A72))</f>
        <v/>
      </c>
      <c r="J72" s="34" t="str">
        <f>IF($A72="","",SUMIFS(SERVIZI!$Q:$Q,SERVIZI!$B:$B,$A72))</f>
        <v/>
      </c>
      <c r="K72" s="36" t="str">
        <f t="shared" si="8"/>
        <v/>
      </c>
      <c r="L72" s="34" t="str">
        <f>IF($A72="","",SUMIFS(SERVIZI!$P:$P,SERVIZI!$B:$B,$A72))</f>
        <v/>
      </c>
      <c r="M72" s="34" t="str">
        <f t="shared" si="9"/>
        <v/>
      </c>
      <c r="N72" s="33" t="str">
        <f>IF($A72="","",SUMIFS(SERVIZI!$M:$M,SERVIZI!$B:$B,$A72))</f>
        <v/>
      </c>
      <c r="O72" s="34" t="str">
        <f>IF($A72="","",SUMIFS(SERVIZI!$AC:$AC,SERVIZI!$B:$B,$A72))</f>
        <v/>
      </c>
      <c r="P72" s="34" t="str">
        <f t="shared" si="10"/>
        <v/>
      </c>
      <c r="Q72" s="35" t="str">
        <f t="shared" si="11"/>
        <v/>
      </c>
      <c r="R72" s="34" t="str">
        <f>IF($A72="","",SUMIFS(SERVIZI!$AK:$AK,SERVIZI!$B:$B,$A72))</f>
        <v/>
      </c>
      <c r="S72" s="34" t="str">
        <f>IF($A72="","",$J72-SUMIFS(SERVIZI!$AJ:$AJ,SERVIZI!$B:$B,$A72))</f>
        <v/>
      </c>
      <c r="T72" s="36" t="str">
        <f>IF($A72="","",IF($K72&lt;&gt;"OK","QUOTE NON QUADRATE",IF(COUNTIFS(SERVIZI!$B:$B,$A72,SERVIZI!$AN:$AN,"OK")&lt;$I72,"VERIFICARE SERVIZI","OK")))</f>
        <v/>
      </c>
    </row>
    <row r="73" spans="1:20" x14ac:dyDescent="0.3">
      <c r="A73" s="42"/>
      <c r="B73" s="42"/>
      <c r="C73" s="42"/>
      <c r="D73" s="42"/>
      <c r="E73" s="43"/>
      <c r="F73" s="43"/>
      <c r="G73" s="42"/>
      <c r="H73" s="44"/>
      <c r="I73" s="33" t="str">
        <f>IF($A73="","",COUNTIFS(SERVIZI!$B:$B,$A73))</f>
        <v/>
      </c>
      <c r="J73" s="34" t="str">
        <f>IF($A73="","",SUMIFS(SERVIZI!$Q:$Q,SERVIZI!$B:$B,$A73))</f>
        <v/>
      </c>
      <c r="K73" s="36" t="str">
        <f t="shared" si="8"/>
        <v/>
      </c>
      <c r="L73" s="34" t="str">
        <f>IF($A73="","",SUMIFS(SERVIZI!$P:$P,SERVIZI!$B:$B,$A73))</f>
        <v/>
      </c>
      <c r="M73" s="34" t="str">
        <f t="shared" si="9"/>
        <v/>
      </c>
      <c r="N73" s="33" t="str">
        <f>IF($A73="","",SUMIFS(SERVIZI!$M:$M,SERVIZI!$B:$B,$A73))</f>
        <v/>
      </c>
      <c r="O73" s="34" t="str">
        <f>IF($A73="","",SUMIFS(SERVIZI!$AC:$AC,SERVIZI!$B:$B,$A73))</f>
        <v/>
      </c>
      <c r="P73" s="34" t="str">
        <f t="shared" si="10"/>
        <v/>
      </c>
      <c r="Q73" s="35" t="str">
        <f t="shared" si="11"/>
        <v/>
      </c>
      <c r="R73" s="34" t="str">
        <f>IF($A73="","",SUMIFS(SERVIZI!$AK:$AK,SERVIZI!$B:$B,$A73))</f>
        <v/>
      </c>
      <c r="S73" s="34" t="str">
        <f>IF($A73="","",$J73-SUMIFS(SERVIZI!$AJ:$AJ,SERVIZI!$B:$B,$A73))</f>
        <v/>
      </c>
      <c r="T73" s="36" t="str">
        <f>IF($A73="","",IF($K73&lt;&gt;"OK","QUOTE NON QUADRATE",IF(COUNTIFS(SERVIZI!$B:$B,$A73,SERVIZI!$AN:$AN,"OK")&lt;$I73,"VERIFICARE SERVIZI","OK")))</f>
        <v/>
      </c>
    </row>
    <row r="74" spans="1:20" x14ac:dyDescent="0.3">
      <c r="A74" s="42"/>
      <c r="B74" s="42"/>
      <c r="C74" s="42"/>
      <c r="D74" s="42"/>
      <c r="E74" s="43"/>
      <c r="F74" s="43"/>
      <c r="G74" s="42"/>
      <c r="H74" s="44"/>
      <c r="I74" s="33" t="str">
        <f>IF($A74="","",COUNTIFS(SERVIZI!$B:$B,$A74))</f>
        <v/>
      </c>
      <c r="J74" s="34" t="str">
        <f>IF($A74="","",SUMIFS(SERVIZI!$Q:$Q,SERVIZI!$B:$B,$A74))</f>
        <v/>
      </c>
      <c r="K74" s="36" t="str">
        <f t="shared" si="8"/>
        <v/>
      </c>
      <c r="L74" s="34" t="str">
        <f>IF($A74="","",SUMIFS(SERVIZI!$P:$P,SERVIZI!$B:$B,$A74))</f>
        <v/>
      </c>
      <c r="M74" s="34" t="str">
        <f t="shared" si="9"/>
        <v/>
      </c>
      <c r="N74" s="33" t="str">
        <f>IF($A74="","",SUMIFS(SERVIZI!$M:$M,SERVIZI!$B:$B,$A74))</f>
        <v/>
      </c>
      <c r="O74" s="34" t="str">
        <f>IF($A74="","",SUMIFS(SERVIZI!$AC:$AC,SERVIZI!$B:$B,$A74))</f>
        <v/>
      </c>
      <c r="P74" s="34" t="str">
        <f t="shared" si="10"/>
        <v/>
      </c>
      <c r="Q74" s="35" t="str">
        <f t="shared" si="11"/>
        <v/>
      </c>
      <c r="R74" s="34" t="str">
        <f>IF($A74="","",SUMIFS(SERVIZI!$AK:$AK,SERVIZI!$B:$B,$A74))</f>
        <v/>
      </c>
      <c r="S74" s="34" t="str">
        <f>IF($A74="","",$J74-SUMIFS(SERVIZI!$AJ:$AJ,SERVIZI!$B:$B,$A74))</f>
        <v/>
      </c>
      <c r="T74" s="36" t="str">
        <f>IF($A74="","",IF($K74&lt;&gt;"OK","QUOTE NON QUADRATE",IF(COUNTIFS(SERVIZI!$B:$B,$A74,SERVIZI!$AN:$AN,"OK")&lt;$I74,"VERIFICARE SERVIZI","OK")))</f>
        <v/>
      </c>
    </row>
    <row r="75" spans="1:20" x14ac:dyDescent="0.3">
      <c r="A75" s="42"/>
      <c r="B75" s="42"/>
      <c r="C75" s="42"/>
      <c r="D75" s="42"/>
      <c r="E75" s="43"/>
      <c r="F75" s="43"/>
      <c r="G75" s="42"/>
      <c r="H75" s="44"/>
      <c r="I75" s="33" t="str">
        <f>IF($A75="","",COUNTIFS(SERVIZI!$B:$B,$A75))</f>
        <v/>
      </c>
      <c r="J75" s="34" t="str">
        <f>IF($A75="","",SUMIFS(SERVIZI!$Q:$Q,SERVIZI!$B:$B,$A75))</f>
        <v/>
      </c>
      <c r="K75" s="36" t="str">
        <f t="shared" si="8"/>
        <v/>
      </c>
      <c r="L75" s="34" t="str">
        <f>IF($A75="","",SUMIFS(SERVIZI!$P:$P,SERVIZI!$B:$B,$A75))</f>
        <v/>
      </c>
      <c r="M75" s="34" t="str">
        <f t="shared" si="9"/>
        <v/>
      </c>
      <c r="N75" s="33" t="str">
        <f>IF($A75="","",SUMIFS(SERVIZI!$M:$M,SERVIZI!$B:$B,$A75))</f>
        <v/>
      </c>
      <c r="O75" s="34" t="str">
        <f>IF($A75="","",SUMIFS(SERVIZI!$AC:$AC,SERVIZI!$B:$B,$A75))</f>
        <v/>
      </c>
      <c r="P75" s="34" t="str">
        <f t="shared" si="10"/>
        <v/>
      </c>
      <c r="Q75" s="35" t="str">
        <f t="shared" si="11"/>
        <v/>
      </c>
      <c r="R75" s="34" t="str">
        <f>IF($A75="","",SUMIFS(SERVIZI!$AK:$AK,SERVIZI!$B:$B,$A75))</f>
        <v/>
      </c>
      <c r="S75" s="34" t="str">
        <f>IF($A75="","",$J75-SUMIFS(SERVIZI!$AJ:$AJ,SERVIZI!$B:$B,$A75))</f>
        <v/>
      </c>
      <c r="T75" s="36" t="str">
        <f>IF($A75="","",IF($K75&lt;&gt;"OK","QUOTE NON QUADRATE",IF(COUNTIFS(SERVIZI!$B:$B,$A75,SERVIZI!$AN:$AN,"OK")&lt;$I75,"VERIFICARE SERVIZI","OK")))</f>
        <v/>
      </c>
    </row>
    <row r="76" spans="1:20" x14ac:dyDescent="0.3">
      <c r="A76" s="42"/>
      <c r="B76" s="42"/>
      <c r="C76" s="42"/>
      <c r="D76" s="42"/>
      <c r="E76" s="43"/>
      <c r="F76" s="43"/>
      <c r="G76" s="42"/>
      <c r="H76" s="44"/>
      <c r="I76" s="33" t="str">
        <f>IF($A76="","",COUNTIFS(SERVIZI!$B:$B,$A76))</f>
        <v/>
      </c>
      <c r="J76" s="34" t="str">
        <f>IF($A76="","",SUMIFS(SERVIZI!$Q:$Q,SERVIZI!$B:$B,$A76))</f>
        <v/>
      </c>
      <c r="K76" s="36" t="str">
        <f t="shared" si="8"/>
        <v/>
      </c>
      <c r="L76" s="34" t="str">
        <f>IF($A76="","",SUMIFS(SERVIZI!$P:$P,SERVIZI!$B:$B,$A76))</f>
        <v/>
      </c>
      <c r="M76" s="34" t="str">
        <f t="shared" si="9"/>
        <v/>
      </c>
      <c r="N76" s="33" t="str">
        <f>IF($A76="","",SUMIFS(SERVIZI!$M:$M,SERVIZI!$B:$B,$A76))</f>
        <v/>
      </c>
      <c r="O76" s="34" t="str">
        <f>IF($A76="","",SUMIFS(SERVIZI!$AC:$AC,SERVIZI!$B:$B,$A76))</f>
        <v/>
      </c>
      <c r="P76" s="34" t="str">
        <f t="shared" si="10"/>
        <v/>
      </c>
      <c r="Q76" s="35" t="str">
        <f t="shared" si="11"/>
        <v/>
      </c>
      <c r="R76" s="34" t="str">
        <f>IF($A76="","",SUMIFS(SERVIZI!$AK:$AK,SERVIZI!$B:$B,$A76))</f>
        <v/>
      </c>
      <c r="S76" s="34" t="str">
        <f>IF($A76="","",$J76-SUMIFS(SERVIZI!$AJ:$AJ,SERVIZI!$B:$B,$A76))</f>
        <v/>
      </c>
      <c r="T76" s="36" t="str">
        <f>IF($A76="","",IF($K76&lt;&gt;"OK","QUOTE NON QUADRATE",IF(COUNTIFS(SERVIZI!$B:$B,$A76,SERVIZI!$AN:$AN,"OK")&lt;$I76,"VERIFICARE SERVIZI","OK")))</f>
        <v/>
      </c>
    </row>
    <row r="77" spans="1:20" x14ac:dyDescent="0.3">
      <c r="A77" s="42"/>
      <c r="B77" s="42"/>
      <c r="C77" s="42"/>
      <c r="D77" s="42"/>
      <c r="E77" s="43"/>
      <c r="F77" s="43"/>
      <c r="G77" s="42"/>
      <c r="H77" s="44"/>
      <c r="I77" s="33" t="str">
        <f>IF($A77="","",COUNTIFS(SERVIZI!$B:$B,$A77))</f>
        <v/>
      </c>
      <c r="J77" s="34" t="str">
        <f>IF($A77="","",SUMIFS(SERVIZI!$Q:$Q,SERVIZI!$B:$B,$A77))</f>
        <v/>
      </c>
      <c r="K77" s="36" t="str">
        <f t="shared" si="8"/>
        <v/>
      </c>
      <c r="L77" s="34" t="str">
        <f>IF($A77="","",SUMIFS(SERVIZI!$P:$P,SERVIZI!$B:$B,$A77))</f>
        <v/>
      </c>
      <c r="M77" s="34" t="str">
        <f t="shared" si="9"/>
        <v/>
      </c>
      <c r="N77" s="33" t="str">
        <f>IF($A77="","",SUMIFS(SERVIZI!$M:$M,SERVIZI!$B:$B,$A77))</f>
        <v/>
      </c>
      <c r="O77" s="34" t="str">
        <f>IF($A77="","",SUMIFS(SERVIZI!$AC:$AC,SERVIZI!$B:$B,$A77))</f>
        <v/>
      </c>
      <c r="P77" s="34" t="str">
        <f t="shared" si="10"/>
        <v/>
      </c>
      <c r="Q77" s="35" t="str">
        <f t="shared" si="11"/>
        <v/>
      </c>
      <c r="R77" s="34" t="str">
        <f>IF($A77="","",SUMIFS(SERVIZI!$AK:$AK,SERVIZI!$B:$B,$A77))</f>
        <v/>
      </c>
      <c r="S77" s="34" t="str">
        <f>IF($A77="","",$J77-SUMIFS(SERVIZI!$AJ:$AJ,SERVIZI!$B:$B,$A77))</f>
        <v/>
      </c>
      <c r="T77" s="36" t="str">
        <f>IF($A77="","",IF($K77&lt;&gt;"OK","QUOTE NON QUADRATE",IF(COUNTIFS(SERVIZI!$B:$B,$A77,SERVIZI!$AN:$AN,"OK")&lt;$I77,"VERIFICARE SERVIZI","OK")))</f>
        <v/>
      </c>
    </row>
    <row r="78" spans="1:20" x14ac:dyDescent="0.3">
      <c r="A78" s="42"/>
      <c r="B78" s="42"/>
      <c r="C78" s="42"/>
      <c r="D78" s="42"/>
      <c r="E78" s="43"/>
      <c r="F78" s="43"/>
      <c r="G78" s="42"/>
      <c r="H78" s="44"/>
      <c r="I78" s="33" t="str">
        <f>IF($A78="","",COUNTIFS(SERVIZI!$B:$B,$A78))</f>
        <v/>
      </c>
      <c r="J78" s="34" t="str">
        <f>IF($A78="","",SUMIFS(SERVIZI!$Q:$Q,SERVIZI!$B:$B,$A78))</f>
        <v/>
      </c>
      <c r="K78" s="36" t="str">
        <f t="shared" si="8"/>
        <v/>
      </c>
      <c r="L78" s="34" t="str">
        <f>IF($A78="","",SUMIFS(SERVIZI!$P:$P,SERVIZI!$B:$B,$A78))</f>
        <v/>
      </c>
      <c r="M78" s="34" t="str">
        <f t="shared" si="9"/>
        <v/>
      </c>
      <c r="N78" s="33" t="str">
        <f>IF($A78="","",SUMIFS(SERVIZI!$M:$M,SERVIZI!$B:$B,$A78))</f>
        <v/>
      </c>
      <c r="O78" s="34" t="str">
        <f>IF($A78="","",SUMIFS(SERVIZI!$AC:$AC,SERVIZI!$B:$B,$A78))</f>
        <v/>
      </c>
      <c r="P78" s="34" t="str">
        <f t="shared" si="10"/>
        <v/>
      </c>
      <c r="Q78" s="35" t="str">
        <f t="shared" si="11"/>
        <v/>
      </c>
      <c r="R78" s="34" t="str">
        <f>IF($A78="","",SUMIFS(SERVIZI!$AK:$AK,SERVIZI!$B:$B,$A78))</f>
        <v/>
      </c>
      <c r="S78" s="34" t="str">
        <f>IF($A78="","",$J78-SUMIFS(SERVIZI!$AJ:$AJ,SERVIZI!$B:$B,$A78))</f>
        <v/>
      </c>
      <c r="T78" s="36" t="str">
        <f>IF($A78="","",IF($K78&lt;&gt;"OK","QUOTE NON QUADRATE",IF(COUNTIFS(SERVIZI!$B:$B,$A78,SERVIZI!$AN:$AN,"OK")&lt;$I78,"VERIFICARE SERVIZI","OK")))</f>
        <v/>
      </c>
    </row>
    <row r="79" spans="1:20" x14ac:dyDescent="0.3">
      <c r="A79" s="42"/>
      <c r="B79" s="42"/>
      <c r="C79" s="42"/>
      <c r="D79" s="42"/>
      <c r="E79" s="43"/>
      <c r="F79" s="43"/>
      <c r="G79" s="42"/>
      <c r="H79" s="44"/>
      <c r="I79" s="33" t="str">
        <f>IF($A79="","",COUNTIFS(SERVIZI!$B:$B,$A79))</f>
        <v/>
      </c>
      <c r="J79" s="34" t="str">
        <f>IF($A79="","",SUMIFS(SERVIZI!$Q:$Q,SERVIZI!$B:$B,$A79))</f>
        <v/>
      </c>
      <c r="K79" s="36" t="str">
        <f t="shared" si="8"/>
        <v/>
      </c>
      <c r="L79" s="34" t="str">
        <f>IF($A79="","",SUMIFS(SERVIZI!$P:$P,SERVIZI!$B:$B,$A79))</f>
        <v/>
      </c>
      <c r="M79" s="34" t="str">
        <f t="shared" si="9"/>
        <v/>
      </c>
      <c r="N79" s="33" t="str">
        <f>IF($A79="","",SUMIFS(SERVIZI!$M:$M,SERVIZI!$B:$B,$A79))</f>
        <v/>
      </c>
      <c r="O79" s="34" t="str">
        <f>IF($A79="","",SUMIFS(SERVIZI!$AC:$AC,SERVIZI!$B:$B,$A79))</f>
        <v/>
      </c>
      <c r="P79" s="34" t="str">
        <f t="shared" si="10"/>
        <v/>
      </c>
      <c r="Q79" s="35" t="str">
        <f t="shared" si="11"/>
        <v/>
      </c>
      <c r="R79" s="34" t="str">
        <f>IF($A79="","",SUMIFS(SERVIZI!$AK:$AK,SERVIZI!$B:$B,$A79))</f>
        <v/>
      </c>
      <c r="S79" s="34" t="str">
        <f>IF($A79="","",$J79-SUMIFS(SERVIZI!$AJ:$AJ,SERVIZI!$B:$B,$A79))</f>
        <v/>
      </c>
      <c r="T79" s="36" t="str">
        <f>IF($A79="","",IF($K79&lt;&gt;"OK","QUOTE NON QUADRATE",IF(COUNTIFS(SERVIZI!$B:$B,$A79,SERVIZI!$AN:$AN,"OK")&lt;$I79,"VERIFICARE SERVIZI","OK")))</f>
        <v/>
      </c>
    </row>
    <row r="80" spans="1:20" x14ac:dyDescent="0.3">
      <c r="A80" s="42"/>
      <c r="B80" s="42"/>
      <c r="C80" s="42"/>
      <c r="D80" s="42"/>
      <c r="E80" s="43"/>
      <c r="F80" s="43"/>
      <c r="G80" s="42"/>
      <c r="H80" s="44"/>
      <c r="I80" s="33" t="str">
        <f>IF($A80="","",COUNTIFS(SERVIZI!$B:$B,$A80))</f>
        <v/>
      </c>
      <c r="J80" s="34" t="str">
        <f>IF($A80="","",SUMIFS(SERVIZI!$Q:$Q,SERVIZI!$B:$B,$A80))</f>
        <v/>
      </c>
      <c r="K80" s="36" t="str">
        <f t="shared" si="8"/>
        <v/>
      </c>
      <c r="L80" s="34" t="str">
        <f>IF($A80="","",SUMIFS(SERVIZI!$P:$P,SERVIZI!$B:$B,$A80))</f>
        <v/>
      </c>
      <c r="M80" s="34" t="str">
        <f t="shared" si="9"/>
        <v/>
      </c>
      <c r="N80" s="33" t="str">
        <f>IF($A80="","",SUMIFS(SERVIZI!$M:$M,SERVIZI!$B:$B,$A80))</f>
        <v/>
      </c>
      <c r="O80" s="34" t="str">
        <f>IF($A80="","",SUMIFS(SERVIZI!$AC:$AC,SERVIZI!$B:$B,$A80))</f>
        <v/>
      </c>
      <c r="P80" s="34" t="str">
        <f t="shared" si="10"/>
        <v/>
      </c>
      <c r="Q80" s="35" t="str">
        <f t="shared" si="11"/>
        <v/>
      </c>
      <c r="R80" s="34" t="str">
        <f>IF($A80="","",SUMIFS(SERVIZI!$AK:$AK,SERVIZI!$B:$B,$A80))</f>
        <v/>
      </c>
      <c r="S80" s="34" t="str">
        <f>IF($A80="","",$J80-SUMIFS(SERVIZI!$AJ:$AJ,SERVIZI!$B:$B,$A80))</f>
        <v/>
      </c>
      <c r="T80" s="36" t="str">
        <f>IF($A80="","",IF($K80&lt;&gt;"OK","QUOTE NON QUADRATE",IF(COUNTIFS(SERVIZI!$B:$B,$A80,SERVIZI!$AN:$AN,"OK")&lt;$I80,"VERIFICARE SERVIZI","OK")))</f>
        <v/>
      </c>
    </row>
    <row r="81" spans="1:20" x14ac:dyDescent="0.3">
      <c r="A81" s="42"/>
      <c r="B81" s="42"/>
      <c r="C81" s="42"/>
      <c r="D81" s="42"/>
      <c r="E81" s="43"/>
      <c r="F81" s="43"/>
      <c r="G81" s="42"/>
      <c r="H81" s="44"/>
      <c r="I81" s="33" t="str">
        <f>IF($A81="","",COUNTIFS(SERVIZI!$B:$B,$A81))</f>
        <v/>
      </c>
      <c r="J81" s="34" t="str">
        <f>IF($A81="","",SUMIFS(SERVIZI!$Q:$Q,SERVIZI!$B:$B,$A81))</f>
        <v/>
      </c>
      <c r="K81" s="36" t="str">
        <f t="shared" si="8"/>
        <v/>
      </c>
      <c r="L81" s="34" t="str">
        <f>IF($A81="","",SUMIFS(SERVIZI!$P:$P,SERVIZI!$B:$B,$A81))</f>
        <v/>
      </c>
      <c r="M81" s="34" t="str">
        <f t="shared" si="9"/>
        <v/>
      </c>
      <c r="N81" s="33" t="str">
        <f>IF($A81="","",SUMIFS(SERVIZI!$M:$M,SERVIZI!$B:$B,$A81))</f>
        <v/>
      </c>
      <c r="O81" s="34" t="str">
        <f>IF($A81="","",SUMIFS(SERVIZI!$AC:$AC,SERVIZI!$B:$B,$A81))</f>
        <v/>
      </c>
      <c r="P81" s="34" t="str">
        <f t="shared" si="10"/>
        <v/>
      </c>
      <c r="Q81" s="35" t="str">
        <f t="shared" si="11"/>
        <v/>
      </c>
      <c r="R81" s="34" t="str">
        <f>IF($A81="","",SUMIFS(SERVIZI!$AK:$AK,SERVIZI!$B:$B,$A81))</f>
        <v/>
      </c>
      <c r="S81" s="34" t="str">
        <f>IF($A81="","",$J81-SUMIFS(SERVIZI!$AJ:$AJ,SERVIZI!$B:$B,$A81))</f>
        <v/>
      </c>
      <c r="T81" s="36" t="str">
        <f>IF($A81="","",IF($K81&lt;&gt;"OK","QUOTE NON QUADRATE",IF(COUNTIFS(SERVIZI!$B:$B,$A81,SERVIZI!$AN:$AN,"OK")&lt;$I81,"VERIFICARE SERVIZI","OK")))</f>
        <v/>
      </c>
    </row>
    <row r="82" spans="1:20" x14ac:dyDescent="0.3">
      <c r="A82" s="42"/>
      <c r="B82" s="42"/>
      <c r="C82" s="42"/>
      <c r="D82" s="42"/>
      <c r="E82" s="43"/>
      <c r="F82" s="43"/>
      <c r="G82" s="42"/>
      <c r="H82" s="44"/>
      <c r="I82" s="33" t="str">
        <f>IF($A82="","",COUNTIFS(SERVIZI!$B:$B,$A82))</f>
        <v/>
      </c>
      <c r="J82" s="34" t="str">
        <f>IF($A82="","",SUMIFS(SERVIZI!$Q:$Q,SERVIZI!$B:$B,$A82))</f>
        <v/>
      </c>
      <c r="K82" s="36" t="str">
        <f t="shared" si="8"/>
        <v/>
      </c>
      <c r="L82" s="34" t="str">
        <f>IF($A82="","",SUMIFS(SERVIZI!$P:$P,SERVIZI!$B:$B,$A82))</f>
        <v/>
      </c>
      <c r="M82" s="34" t="str">
        <f t="shared" si="9"/>
        <v/>
      </c>
      <c r="N82" s="33" t="str">
        <f>IF($A82="","",SUMIFS(SERVIZI!$M:$M,SERVIZI!$B:$B,$A82))</f>
        <v/>
      </c>
      <c r="O82" s="34" t="str">
        <f>IF($A82="","",SUMIFS(SERVIZI!$AC:$AC,SERVIZI!$B:$B,$A82))</f>
        <v/>
      </c>
      <c r="P82" s="34" t="str">
        <f t="shared" si="10"/>
        <v/>
      </c>
      <c r="Q82" s="35" t="str">
        <f t="shared" si="11"/>
        <v/>
      </c>
      <c r="R82" s="34" t="str">
        <f>IF($A82="","",SUMIFS(SERVIZI!$AK:$AK,SERVIZI!$B:$B,$A82))</f>
        <v/>
      </c>
      <c r="S82" s="34" t="str">
        <f>IF($A82="","",$J82-SUMIFS(SERVIZI!$AJ:$AJ,SERVIZI!$B:$B,$A82))</f>
        <v/>
      </c>
      <c r="T82" s="36" t="str">
        <f>IF($A82="","",IF($K82&lt;&gt;"OK","QUOTE NON QUADRATE",IF(COUNTIFS(SERVIZI!$B:$B,$A82,SERVIZI!$AN:$AN,"OK")&lt;$I82,"VERIFICARE SERVIZI","OK")))</f>
        <v/>
      </c>
    </row>
    <row r="83" spans="1:20" x14ac:dyDescent="0.3">
      <c r="A83" s="42"/>
      <c r="B83" s="42"/>
      <c r="C83" s="42"/>
      <c r="D83" s="42"/>
      <c r="E83" s="43"/>
      <c r="F83" s="43"/>
      <c r="G83" s="42"/>
      <c r="H83" s="44"/>
      <c r="I83" s="33" t="str">
        <f>IF($A83="","",COUNTIFS(SERVIZI!$B:$B,$A83))</f>
        <v/>
      </c>
      <c r="J83" s="34" t="str">
        <f>IF($A83="","",SUMIFS(SERVIZI!$Q:$Q,SERVIZI!$B:$B,$A83))</f>
        <v/>
      </c>
      <c r="K83" s="36" t="str">
        <f t="shared" si="8"/>
        <v/>
      </c>
      <c r="L83" s="34" t="str">
        <f>IF($A83="","",SUMIFS(SERVIZI!$P:$P,SERVIZI!$B:$B,$A83))</f>
        <v/>
      </c>
      <c r="M83" s="34" t="str">
        <f t="shared" si="9"/>
        <v/>
      </c>
      <c r="N83" s="33" t="str">
        <f>IF($A83="","",SUMIFS(SERVIZI!$M:$M,SERVIZI!$B:$B,$A83))</f>
        <v/>
      </c>
      <c r="O83" s="34" t="str">
        <f>IF($A83="","",SUMIFS(SERVIZI!$AC:$AC,SERVIZI!$B:$B,$A83))</f>
        <v/>
      </c>
      <c r="P83" s="34" t="str">
        <f t="shared" si="10"/>
        <v/>
      </c>
      <c r="Q83" s="35" t="str">
        <f t="shared" si="11"/>
        <v/>
      </c>
      <c r="R83" s="34" t="str">
        <f>IF($A83="","",SUMIFS(SERVIZI!$AK:$AK,SERVIZI!$B:$B,$A83))</f>
        <v/>
      </c>
      <c r="S83" s="34" t="str">
        <f>IF($A83="","",$J83-SUMIFS(SERVIZI!$AJ:$AJ,SERVIZI!$B:$B,$A83))</f>
        <v/>
      </c>
      <c r="T83" s="36" t="str">
        <f>IF($A83="","",IF($K83&lt;&gt;"OK","QUOTE NON QUADRATE",IF(COUNTIFS(SERVIZI!$B:$B,$A83,SERVIZI!$AN:$AN,"OK")&lt;$I83,"VERIFICARE SERVIZI","OK")))</f>
        <v/>
      </c>
    </row>
    <row r="84" spans="1:20" x14ac:dyDescent="0.3">
      <c r="A84" s="42"/>
      <c r="B84" s="42"/>
      <c r="C84" s="42"/>
      <c r="D84" s="42"/>
      <c r="E84" s="43"/>
      <c r="F84" s="43"/>
      <c r="G84" s="42"/>
      <c r="H84" s="44"/>
      <c r="I84" s="33" t="str">
        <f>IF($A84="","",COUNTIFS(SERVIZI!$B:$B,$A84))</f>
        <v/>
      </c>
      <c r="J84" s="34" t="str">
        <f>IF($A84="","",SUMIFS(SERVIZI!$Q:$Q,SERVIZI!$B:$B,$A84))</f>
        <v/>
      </c>
      <c r="K84" s="36" t="str">
        <f t="shared" si="8"/>
        <v/>
      </c>
      <c r="L84" s="34" t="str">
        <f>IF($A84="","",SUMIFS(SERVIZI!$P:$P,SERVIZI!$B:$B,$A84))</f>
        <v/>
      </c>
      <c r="M84" s="34" t="str">
        <f t="shared" si="9"/>
        <v/>
      </c>
      <c r="N84" s="33" t="str">
        <f>IF($A84="","",SUMIFS(SERVIZI!$M:$M,SERVIZI!$B:$B,$A84))</f>
        <v/>
      </c>
      <c r="O84" s="34" t="str">
        <f>IF($A84="","",SUMIFS(SERVIZI!$AC:$AC,SERVIZI!$B:$B,$A84))</f>
        <v/>
      </c>
      <c r="P84" s="34" t="str">
        <f t="shared" si="10"/>
        <v/>
      </c>
      <c r="Q84" s="35" t="str">
        <f t="shared" si="11"/>
        <v/>
      </c>
      <c r="R84" s="34" t="str">
        <f>IF($A84="","",SUMIFS(SERVIZI!$AK:$AK,SERVIZI!$B:$B,$A84))</f>
        <v/>
      </c>
      <c r="S84" s="34" t="str">
        <f>IF($A84="","",$J84-SUMIFS(SERVIZI!$AJ:$AJ,SERVIZI!$B:$B,$A84))</f>
        <v/>
      </c>
      <c r="T84" s="36" t="str">
        <f>IF($A84="","",IF($K84&lt;&gt;"OK","QUOTE NON QUADRATE",IF(COUNTIFS(SERVIZI!$B:$B,$A84,SERVIZI!$AN:$AN,"OK")&lt;$I84,"VERIFICARE SERVIZI","OK")))</f>
        <v/>
      </c>
    </row>
    <row r="85" spans="1:20" x14ac:dyDescent="0.3">
      <c r="A85" s="42"/>
      <c r="B85" s="42"/>
      <c r="C85" s="42"/>
      <c r="D85" s="42"/>
      <c r="E85" s="43"/>
      <c r="F85" s="43"/>
      <c r="G85" s="42"/>
      <c r="H85" s="44"/>
      <c r="I85" s="33" t="str">
        <f>IF($A85="","",COUNTIFS(SERVIZI!$B:$B,$A85))</f>
        <v/>
      </c>
      <c r="J85" s="34" t="str">
        <f>IF($A85="","",SUMIFS(SERVIZI!$Q:$Q,SERVIZI!$B:$B,$A85))</f>
        <v/>
      </c>
      <c r="K85" s="36" t="str">
        <f t="shared" si="8"/>
        <v/>
      </c>
      <c r="L85" s="34" t="str">
        <f>IF($A85="","",SUMIFS(SERVIZI!$P:$P,SERVIZI!$B:$B,$A85))</f>
        <v/>
      </c>
      <c r="M85" s="34" t="str">
        <f t="shared" si="9"/>
        <v/>
      </c>
      <c r="N85" s="33" t="str">
        <f>IF($A85="","",SUMIFS(SERVIZI!$M:$M,SERVIZI!$B:$B,$A85))</f>
        <v/>
      </c>
      <c r="O85" s="34" t="str">
        <f>IF($A85="","",SUMIFS(SERVIZI!$AC:$AC,SERVIZI!$B:$B,$A85))</f>
        <v/>
      </c>
      <c r="P85" s="34" t="str">
        <f t="shared" si="10"/>
        <v/>
      </c>
      <c r="Q85" s="35" t="str">
        <f t="shared" si="11"/>
        <v/>
      </c>
      <c r="R85" s="34" t="str">
        <f>IF($A85="","",SUMIFS(SERVIZI!$AK:$AK,SERVIZI!$B:$B,$A85))</f>
        <v/>
      </c>
      <c r="S85" s="34" t="str">
        <f>IF($A85="","",$J85-SUMIFS(SERVIZI!$AJ:$AJ,SERVIZI!$B:$B,$A85))</f>
        <v/>
      </c>
      <c r="T85" s="36" t="str">
        <f>IF($A85="","",IF($K85&lt;&gt;"OK","QUOTE NON QUADRATE",IF(COUNTIFS(SERVIZI!$B:$B,$A85,SERVIZI!$AN:$AN,"OK")&lt;$I85,"VERIFICARE SERVIZI","OK")))</f>
        <v/>
      </c>
    </row>
    <row r="86" spans="1:20" x14ac:dyDescent="0.3">
      <c r="A86" s="42"/>
      <c r="B86" s="42"/>
      <c r="C86" s="42"/>
      <c r="D86" s="42"/>
      <c r="E86" s="43"/>
      <c r="F86" s="43"/>
      <c r="G86" s="42"/>
      <c r="H86" s="44"/>
      <c r="I86" s="33" t="str">
        <f>IF($A86="","",COUNTIFS(SERVIZI!$B:$B,$A86))</f>
        <v/>
      </c>
      <c r="J86" s="34" t="str">
        <f>IF($A86="","",SUMIFS(SERVIZI!$Q:$Q,SERVIZI!$B:$B,$A86))</f>
        <v/>
      </c>
      <c r="K86" s="36" t="str">
        <f t="shared" si="8"/>
        <v/>
      </c>
      <c r="L86" s="34" t="str">
        <f>IF($A86="","",SUMIFS(SERVIZI!$P:$P,SERVIZI!$B:$B,$A86))</f>
        <v/>
      </c>
      <c r="M86" s="34" t="str">
        <f t="shared" si="9"/>
        <v/>
      </c>
      <c r="N86" s="33" t="str">
        <f>IF($A86="","",SUMIFS(SERVIZI!$M:$M,SERVIZI!$B:$B,$A86))</f>
        <v/>
      </c>
      <c r="O86" s="34" t="str">
        <f>IF($A86="","",SUMIFS(SERVIZI!$AC:$AC,SERVIZI!$B:$B,$A86))</f>
        <v/>
      </c>
      <c r="P86" s="34" t="str">
        <f t="shared" si="10"/>
        <v/>
      </c>
      <c r="Q86" s="35" t="str">
        <f t="shared" si="11"/>
        <v/>
      </c>
      <c r="R86" s="34" t="str">
        <f>IF($A86="","",SUMIFS(SERVIZI!$AK:$AK,SERVIZI!$B:$B,$A86))</f>
        <v/>
      </c>
      <c r="S86" s="34" t="str">
        <f>IF($A86="","",$J86-SUMIFS(SERVIZI!$AJ:$AJ,SERVIZI!$B:$B,$A86))</f>
        <v/>
      </c>
      <c r="T86" s="36" t="str">
        <f>IF($A86="","",IF($K86&lt;&gt;"OK","QUOTE NON QUADRATE",IF(COUNTIFS(SERVIZI!$B:$B,$A86,SERVIZI!$AN:$AN,"OK")&lt;$I86,"VERIFICARE SERVIZI","OK")))</f>
        <v/>
      </c>
    </row>
    <row r="87" spans="1:20" x14ac:dyDescent="0.3">
      <c r="A87" s="42"/>
      <c r="B87" s="42"/>
      <c r="C87" s="42"/>
      <c r="D87" s="42"/>
      <c r="E87" s="43"/>
      <c r="F87" s="43"/>
      <c r="G87" s="42"/>
      <c r="H87" s="44"/>
      <c r="I87" s="33" t="str">
        <f>IF($A87="","",COUNTIFS(SERVIZI!$B:$B,$A87))</f>
        <v/>
      </c>
      <c r="J87" s="34" t="str">
        <f>IF($A87="","",SUMIFS(SERVIZI!$Q:$Q,SERVIZI!$B:$B,$A87))</f>
        <v/>
      </c>
      <c r="K87" s="36" t="str">
        <f t="shared" si="8"/>
        <v/>
      </c>
      <c r="L87" s="34" t="str">
        <f>IF($A87="","",SUMIFS(SERVIZI!$P:$P,SERVIZI!$B:$B,$A87))</f>
        <v/>
      </c>
      <c r="M87" s="34" t="str">
        <f t="shared" si="9"/>
        <v/>
      </c>
      <c r="N87" s="33" t="str">
        <f>IF($A87="","",SUMIFS(SERVIZI!$M:$M,SERVIZI!$B:$B,$A87))</f>
        <v/>
      </c>
      <c r="O87" s="34" t="str">
        <f>IF($A87="","",SUMIFS(SERVIZI!$AC:$AC,SERVIZI!$B:$B,$A87))</f>
        <v/>
      </c>
      <c r="P87" s="34" t="str">
        <f t="shared" si="10"/>
        <v/>
      </c>
      <c r="Q87" s="35" t="str">
        <f t="shared" si="11"/>
        <v/>
      </c>
      <c r="R87" s="34" t="str">
        <f>IF($A87="","",SUMIFS(SERVIZI!$AK:$AK,SERVIZI!$B:$B,$A87))</f>
        <v/>
      </c>
      <c r="S87" s="34" t="str">
        <f>IF($A87="","",$J87-SUMIFS(SERVIZI!$AJ:$AJ,SERVIZI!$B:$B,$A87))</f>
        <v/>
      </c>
      <c r="T87" s="36" t="str">
        <f>IF($A87="","",IF($K87&lt;&gt;"OK","QUOTE NON QUADRATE",IF(COUNTIFS(SERVIZI!$B:$B,$A87,SERVIZI!$AN:$AN,"OK")&lt;$I87,"VERIFICARE SERVIZI","OK")))</f>
        <v/>
      </c>
    </row>
    <row r="88" spans="1:20" x14ac:dyDescent="0.3">
      <c r="A88" s="42"/>
      <c r="B88" s="42"/>
      <c r="C88" s="42"/>
      <c r="D88" s="42"/>
      <c r="E88" s="43"/>
      <c r="F88" s="43"/>
      <c r="G88" s="42"/>
      <c r="H88" s="44"/>
      <c r="I88" s="33" t="str">
        <f>IF($A88="","",COUNTIFS(SERVIZI!$B:$B,$A88))</f>
        <v/>
      </c>
      <c r="J88" s="34" t="str">
        <f>IF($A88="","",SUMIFS(SERVIZI!$Q:$Q,SERVIZI!$B:$B,$A88))</f>
        <v/>
      </c>
      <c r="K88" s="36" t="str">
        <f t="shared" si="8"/>
        <v/>
      </c>
      <c r="L88" s="34" t="str">
        <f>IF($A88="","",SUMIFS(SERVIZI!$P:$P,SERVIZI!$B:$B,$A88))</f>
        <v/>
      </c>
      <c r="M88" s="34" t="str">
        <f t="shared" si="9"/>
        <v/>
      </c>
      <c r="N88" s="33" t="str">
        <f>IF($A88="","",SUMIFS(SERVIZI!$M:$M,SERVIZI!$B:$B,$A88))</f>
        <v/>
      </c>
      <c r="O88" s="34" t="str">
        <f>IF($A88="","",SUMIFS(SERVIZI!$AC:$AC,SERVIZI!$B:$B,$A88))</f>
        <v/>
      </c>
      <c r="P88" s="34" t="str">
        <f t="shared" si="10"/>
        <v/>
      </c>
      <c r="Q88" s="35" t="str">
        <f t="shared" si="11"/>
        <v/>
      </c>
      <c r="R88" s="34" t="str">
        <f>IF($A88="","",SUMIFS(SERVIZI!$AK:$AK,SERVIZI!$B:$B,$A88))</f>
        <v/>
      </c>
      <c r="S88" s="34" t="str">
        <f>IF($A88="","",$J88-SUMIFS(SERVIZI!$AJ:$AJ,SERVIZI!$B:$B,$A88))</f>
        <v/>
      </c>
      <c r="T88" s="36" t="str">
        <f>IF($A88="","",IF($K88&lt;&gt;"OK","QUOTE NON QUADRATE",IF(COUNTIFS(SERVIZI!$B:$B,$A88,SERVIZI!$AN:$AN,"OK")&lt;$I88,"VERIFICARE SERVIZI","OK")))</f>
        <v/>
      </c>
    </row>
    <row r="89" spans="1:20" x14ac:dyDescent="0.3">
      <c r="A89" s="42"/>
      <c r="B89" s="42"/>
      <c r="C89" s="42"/>
      <c r="D89" s="42"/>
      <c r="E89" s="43"/>
      <c r="F89" s="43"/>
      <c r="G89" s="42"/>
      <c r="H89" s="44"/>
      <c r="I89" s="33" t="str">
        <f>IF($A89="","",COUNTIFS(SERVIZI!$B:$B,$A89))</f>
        <v/>
      </c>
      <c r="J89" s="34" t="str">
        <f>IF($A89="","",SUMIFS(SERVIZI!$Q:$Q,SERVIZI!$B:$B,$A89))</f>
        <v/>
      </c>
      <c r="K89" s="36" t="str">
        <f t="shared" si="8"/>
        <v/>
      </c>
      <c r="L89" s="34" t="str">
        <f>IF($A89="","",SUMIFS(SERVIZI!$P:$P,SERVIZI!$B:$B,$A89))</f>
        <v/>
      </c>
      <c r="M89" s="34" t="str">
        <f t="shared" si="9"/>
        <v/>
      </c>
      <c r="N89" s="33" t="str">
        <f>IF($A89="","",SUMIFS(SERVIZI!$M:$M,SERVIZI!$B:$B,$A89))</f>
        <v/>
      </c>
      <c r="O89" s="34" t="str">
        <f>IF($A89="","",SUMIFS(SERVIZI!$AC:$AC,SERVIZI!$B:$B,$A89))</f>
        <v/>
      </c>
      <c r="P89" s="34" t="str">
        <f t="shared" si="10"/>
        <v/>
      </c>
      <c r="Q89" s="35" t="str">
        <f t="shared" si="11"/>
        <v/>
      </c>
      <c r="R89" s="34" t="str">
        <f>IF($A89="","",SUMIFS(SERVIZI!$AK:$AK,SERVIZI!$B:$B,$A89))</f>
        <v/>
      </c>
      <c r="S89" s="34" t="str">
        <f>IF($A89="","",$J89-SUMIFS(SERVIZI!$AJ:$AJ,SERVIZI!$B:$B,$A89))</f>
        <v/>
      </c>
      <c r="T89" s="36" t="str">
        <f>IF($A89="","",IF($K89&lt;&gt;"OK","QUOTE NON QUADRATE",IF(COUNTIFS(SERVIZI!$B:$B,$A89,SERVIZI!$AN:$AN,"OK")&lt;$I89,"VERIFICARE SERVIZI","OK")))</f>
        <v/>
      </c>
    </row>
    <row r="90" spans="1:20" x14ac:dyDescent="0.3">
      <c r="A90" s="42"/>
      <c r="B90" s="42"/>
      <c r="C90" s="42"/>
      <c r="D90" s="42"/>
      <c r="E90" s="43"/>
      <c r="F90" s="43"/>
      <c r="G90" s="42"/>
      <c r="H90" s="44"/>
      <c r="I90" s="33" t="str">
        <f>IF($A90="","",COUNTIFS(SERVIZI!$B:$B,$A90))</f>
        <v/>
      </c>
      <c r="J90" s="34" t="str">
        <f>IF($A90="","",SUMIFS(SERVIZI!$Q:$Q,SERVIZI!$B:$B,$A90))</f>
        <v/>
      </c>
      <c r="K90" s="36" t="str">
        <f t="shared" si="8"/>
        <v/>
      </c>
      <c r="L90" s="34" t="str">
        <f>IF($A90="","",SUMIFS(SERVIZI!$P:$P,SERVIZI!$B:$B,$A90))</f>
        <v/>
      </c>
      <c r="M90" s="34" t="str">
        <f t="shared" si="9"/>
        <v/>
      </c>
      <c r="N90" s="33" t="str">
        <f>IF($A90="","",SUMIFS(SERVIZI!$M:$M,SERVIZI!$B:$B,$A90))</f>
        <v/>
      </c>
      <c r="O90" s="34" t="str">
        <f>IF($A90="","",SUMIFS(SERVIZI!$AC:$AC,SERVIZI!$B:$B,$A90))</f>
        <v/>
      </c>
      <c r="P90" s="34" t="str">
        <f t="shared" si="10"/>
        <v/>
      </c>
      <c r="Q90" s="35" t="str">
        <f t="shared" si="11"/>
        <v/>
      </c>
      <c r="R90" s="34" t="str">
        <f>IF($A90="","",SUMIFS(SERVIZI!$AK:$AK,SERVIZI!$B:$B,$A90))</f>
        <v/>
      </c>
      <c r="S90" s="34" t="str">
        <f>IF($A90="","",$J90-SUMIFS(SERVIZI!$AJ:$AJ,SERVIZI!$B:$B,$A90))</f>
        <v/>
      </c>
      <c r="T90" s="36" t="str">
        <f>IF($A90="","",IF($K90&lt;&gt;"OK","QUOTE NON QUADRATE",IF(COUNTIFS(SERVIZI!$B:$B,$A90,SERVIZI!$AN:$AN,"OK")&lt;$I90,"VERIFICARE SERVIZI","OK")))</f>
        <v/>
      </c>
    </row>
    <row r="91" spans="1:20" x14ac:dyDescent="0.3">
      <c r="A91" s="42"/>
      <c r="B91" s="42"/>
      <c r="C91" s="42"/>
      <c r="D91" s="42"/>
      <c r="E91" s="43"/>
      <c r="F91" s="43"/>
      <c r="G91" s="42"/>
      <c r="H91" s="44"/>
      <c r="I91" s="33" t="str">
        <f>IF($A91="","",COUNTIFS(SERVIZI!$B:$B,$A91))</f>
        <v/>
      </c>
      <c r="J91" s="34" t="str">
        <f>IF($A91="","",SUMIFS(SERVIZI!$Q:$Q,SERVIZI!$B:$B,$A91))</f>
        <v/>
      </c>
      <c r="K91" s="36" t="str">
        <f t="shared" si="8"/>
        <v/>
      </c>
      <c r="L91" s="34" t="str">
        <f>IF($A91="","",SUMIFS(SERVIZI!$P:$P,SERVIZI!$B:$B,$A91))</f>
        <v/>
      </c>
      <c r="M91" s="34" t="str">
        <f t="shared" si="9"/>
        <v/>
      </c>
      <c r="N91" s="33" t="str">
        <f>IF($A91="","",SUMIFS(SERVIZI!$M:$M,SERVIZI!$B:$B,$A91))</f>
        <v/>
      </c>
      <c r="O91" s="34" t="str">
        <f>IF($A91="","",SUMIFS(SERVIZI!$AC:$AC,SERVIZI!$B:$B,$A91))</f>
        <v/>
      </c>
      <c r="P91" s="34" t="str">
        <f t="shared" si="10"/>
        <v/>
      </c>
      <c r="Q91" s="35" t="str">
        <f t="shared" si="11"/>
        <v/>
      </c>
      <c r="R91" s="34" t="str">
        <f>IF($A91="","",SUMIFS(SERVIZI!$AK:$AK,SERVIZI!$B:$B,$A91))</f>
        <v/>
      </c>
      <c r="S91" s="34" t="str">
        <f>IF($A91="","",$J91-SUMIFS(SERVIZI!$AJ:$AJ,SERVIZI!$B:$B,$A91))</f>
        <v/>
      </c>
      <c r="T91" s="36" t="str">
        <f>IF($A91="","",IF($K91&lt;&gt;"OK","QUOTE NON QUADRATE",IF(COUNTIFS(SERVIZI!$B:$B,$A91,SERVIZI!$AN:$AN,"OK")&lt;$I91,"VERIFICARE SERVIZI","OK")))</f>
        <v/>
      </c>
    </row>
    <row r="92" spans="1:20" x14ac:dyDescent="0.3">
      <c r="A92" s="42"/>
      <c r="B92" s="42"/>
      <c r="C92" s="42"/>
      <c r="D92" s="42"/>
      <c r="E92" s="43"/>
      <c r="F92" s="43"/>
      <c r="G92" s="42"/>
      <c r="H92" s="44"/>
      <c r="I92" s="33" t="str">
        <f>IF($A92="","",COUNTIFS(SERVIZI!$B:$B,$A92))</f>
        <v/>
      </c>
      <c r="J92" s="34" t="str">
        <f>IF($A92="","",SUMIFS(SERVIZI!$Q:$Q,SERVIZI!$B:$B,$A92))</f>
        <v/>
      </c>
      <c r="K92" s="36" t="str">
        <f t="shared" si="8"/>
        <v/>
      </c>
      <c r="L92" s="34" t="str">
        <f>IF($A92="","",SUMIFS(SERVIZI!$P:$P,SERVIZI!$B:$B,$A92))</f>
        <v/>
      </c>
      <c r="M92" s="34" t="str">
        <f t="shared" si="9"/>
        <v/>
      </c>
      <c r="N92" s="33" t="str">
        <f>IF($A92="","",SUMIFS(SERVIZI!$M:$M,SERVIZI!$B:$B,$A92))</f>
        <v/>
      </c>
      <c r="O92" s="34" t="str">
        <f>IF($A92="","",SUMIFS(SERVIZI!$AC:$AC,SERVIZI!$B:$B,$A92))</f>
        <v/>
      </c>
      <c r="P92" s="34" t="str">
        <f t="shared" si="10"/>
        <v/>
      </c>
      <c r="Q92" s="35" t="str">
        <f t="shared" si="11"/>
        <v/>
      </c>
      <c r="R92" s="34" t="str">
        <f>IF($A92="","",SUMIFS(SERVIZI!$AK:$AK,SERVIZI!$B:$B,$A92))</f>
        <v/>
      </c>
      <c r="S92" s="34" t="str">
        <f>IF($A92="","",$J92-SUMIFS(SERVIZI!$AJ:$AJ,SERVIZI!$B:$B,$A92))</f>
        <v/>
      </c>
      <c r="T92" s="36" t="str">
        <f>IF($A92="","",IF($K92&lt;&gt;"OK","QUOTE NON QUADRATE",IF(COUNTIFS(SERVIZI!$B:$B,$A92,SERVIZI!$AN:$AN,"OK")&lt;$I92,"VERIFICARE SERVIZI","OK")))</f>
        <v/>
      </c>
    </row>
    <row r="93" spans="1:20" x14ac:dyDescent="0.3">
      <c r="A93" s="42"/>
      <c r="B93" s="42"/>
      <c r="C93" s="42"/>
      <c r="D93" s="42"/>
      <c r="E93" s="43"/>
      <c r="F93" s="43"/>
      <c r="G93" s="42"/>
      <c r="H93" s="44"/>
      <c r="I93" s="33" t="str">
        <f>IF($A93="","",COUNTIFS(SERVIZI!$B:$B,$A93))</f>
        <v/>
      </c>
      <c r="J93" s="34" t="str">
        <f>IF($A93="","",SUMIFS(SERVIZI!$Q:$Q,SERVIZI!$B:$B,$A93))</f>
        <v/>
      </c>
      <c r="K93" s="36" t="str">
        <f t="shared" si="8"/>
        <v/>
      </c>
      <c r="L93" s="34" t="str">
        <f>IF($A93="","",SUMIFS(SERVIZI!$P:$P,SERVIZI!$B:$B,$A93))</f>
        <v/>
      </c>
      <c r="M93" s="34" t="str">
        <f t="shared" si="9"/>
        <v/>
      </c>
      <c r="N93" s="33" t="str">
        <f>IF($A93="","",SUMIFS(SERVIZI!$M:$M,SERVIZI!$B:$B,$A93))</f>
        <v/>
      </c>
      <c r="O93" s="34" t="str">
        <f>IF($A93="","",SUMIFS(SERVIZI!$AC:$AC,SERVIZI!$B:$B,$A93))</f>
        <v/>
      </c>
      <c r="P93" s="34" t="str">
        <f t="shared" si="10"/>
        <v/>
      </c>
      <c r="Q93" s="35" t="str">
        <f t="shared" si="11"/>
        <v/>
      </c>
      <c r="R93" s="34" t="str">
        <f>IF($A93="","",SUMIFS(SERVIZI!$AK:$AK,SERVIZI!$B:$B,$A93))</f>
        <v/>
      </c>
      <c r="S93" s="34" t="str">
        <f>IF($A93="","",$J93-SUMIFS(SERVIZI!$AJ:$AJ,SERVIZI!$B:$B,$A93))</f>
        <v/>
      </c>
      <c r="T93" s="36" t="str">
        <f>IF($A93="","",IF($K93&lt;&gt;"OK","QUOTE NON QUADRATE",IF(COUNTIFS(SERVIZI!$B:$B,$A93,SERVIZI!$AN:$AN,"OK")&lt;$I93,"VERIFICARE SERVIZI","OK")))</f>
        <v/>
      </c>
    </row>
    <row r="94" spans="1:20" x14ac:dyDescent="0.3">
      <c r="A94" s="42"/>
      <c r="B94" s="42"/>
      <c r="C94" s="42"/>
      <c r="D94" s="42"/>
      <c r="E94" s="43"/>
      <c r="F94" s="43"/>
      <c r="G94" s="42"/>
      <c r="H94" s="44"/>
      <c r="I94" s="33" t="str">
        <f>IF($A94="","",COUNTIFS(SERVIZI!$B:$B,$A94))</f>
        <v/>
      </c>
      <c r="J94" s="34" t="str">
        <f>IF($A94="","",SUMIFS(SERVIZI!$Q:$Q,SERVIZI!$B:$B,$A94))</f>
        <v/>
      </c>
      <c r="K94" s="36" t="str">
        <f t="shared" si="8"/>
        <v/>
      </c>
      <c r="L94" s="34" t="str">
        <f>IF($A94="","",SUMIFS(SERVIZI!$P:$P,SERVIZI!$B:$B,$A94))</f>
        <v/>
      </c>
      <c r="M94" s="34" t="str">
        <f t="shared" si="9"/>
        <v/>
      </c>
      <c r="N94" s="33" t="str">
        <f>IF($A94="","",SUMIFS(SERVIZI!$M:$M,SERVIZI!$B:$B,$A94))</f>
        <v/>
      </c>
      <c r="O94" s="34" t="str">
        <f>IF($A94="","",SUMIFS(SERVIZI!$AC:$AC,SERVIZI!$B:$B,$A94))</f>
        <v/>
      </c>
      <c r="P94" s="34" t="str">
        <f t="shared" si="10"/>
        <v/>
      </c>
      <c r="Q94" s="35" t="str">
        <f t="shared" si="11"/>
        <v/>
      </c>
      <c r="R94" s="34" t="str">
        <f>IF($A94="","",SUMIFS(SERVIZI!$AK:$AK,SERVIZI!$B:$B,$A94))</f>
        <v/>
      </c>
      <c r="S94" s="34" t="str">
        <f>IF($A94="","",$J94-SUMIFS(SERVIZI!$AJ:$AJ,SERVIZI!$B:$B,$A94))</f>
        <v/>
      </c>
      <c r="T94" s="36" t="str">
        <f>IF($A94="","",IF($K94&lt;&gt;"OK","QUOTE NON QUADRATE",IF(COUNTIFS(SERVIZI!$B:$B,$A94,SERVIZI!$AN:$AN,"OK")&lt;$I94,"VERIFICARE SERVIZI","OK")))</f>
        <v/>
      </c>
    </row>
    <row r="95" spans="1:20" x14ac:dyDescent="0.3">
      <c r="A95" s="42"/>
      <c r="B95" s="42"/>
      <c r="C95" s="42"/>
      <c r="D95" s="42"/>
      <c r="E95" s="43"/>
      <c r="F95" s="43"/>
      <c r="G95" s="42"/>
      <c r="H95" s="44"/>
      <c r="I95" s="33" t="str">
        <f>IF($A95="","",COUNTIFS(SERVIZI!$B:$B,$A95))</f>
        <v/>
      </c>
      <c r="J95" s="34" t="str">
        <f>IF($A95="","",SUMIFS(SERVIZI!$Q:$Q,SERVIZI!$B:$B,$A95))</f>
        <v/>
      </c>
      <c r="K95" s="36" t="str">
        <f t="shared" si="8"/>
        <v/>
      </c>
      <c r="L95" s="34" t="str">
        <f>IF($A95="","",SUMIFS(SERVIZI!$P:$P,SERVIZI!$B:$B,$A95))</f>
        <v/>
      </c>
      <c r="M95" s="34" t="str">
        <f t="shared" si="9"/>
        <v/>
      </c>
      <c r="N95" s="33" t="str">
        <f>IF($A95="","",SUMIFS(SERVIZI!$M:$M,SERVIZI!$B:$B,$A95))</f>
        <v/>
      </c>
      <c r="O95" s="34" t="str">
        <f>IF($A95="","",SUMIFS(SERVIZI!$AC:$AC,SERVIZI!$B:$B,$A95))</f>
        <v/>
      </c>
      <c r="P95" s="34" t="str">
        <f t="shared" si="10"/>
        <v/>
      </c>
      <c r="Q95" s="35" t="str">
        <f t="shared" si="11"/>
        <v/>
      </c>
      <c r="R95" s="34" t="str">
        <f>IF($A95="","",SUMIFS(SERVIZI!$AK:$AK,SERVIZI!$B:$B,$A95))</f>
        <v/>
      </c>
      <c r="S95" s="34" t="str">
        <f>IF($A95="","",$J95-SUMIFS(SERVIZI!$AJ:$AJ,SERVIZI!$B:$B,$A95))</f>
        <v/>
      </c>
      <c r="T95" s="36" t="str">
        <f>IF($A95="","",IF($K95&lt;&gt;"OK","QUOTE NON QUADRATE",IF(COUNTIFS(SERVIZI!$B:$B,$A95,SERVIZI!$AN:$AN,"OK")&lt;$I95,"VERIFICARE SERVIZI","OK")))</f>
        <v/>
      </c>
    </row>
    <row r="96" spans="1:20" x14ac:dyDescent="0.3">
      <c r="A96" s="42"/>
      <c r="B96" s="42"/>
      <c r="C96" s="42"/>
      <c r="D96" s="42"/>
      <c r="E96" s="43"/>
      <c r="F96" s="43"/>
      <c r="G96" s="42"/>
      <c r="H96" s="44"/>
      <c r="I96" s="33" t="str">
        <f>IF($A96="","",COUNTIFS(SERVIZI!$B:$B,$A96))</f>
        <v/>
      </c>
      <c r="J96" s="34" t="str">
        <f>IF($A96="","",SUMIFS(SERVIZI!$Q:$Q,SERVIZI!$B:$B,$A96))</f>
        <v/>
      </c>
      <c r="K96" s="36" t="str">
        <f t="shared" si="8"/>
        <v/>
      </c>
      <c r="L96" s="34" t="str">
        <f>IF($A96="","",SUMIFS(SERVIZI!$P:$P,SERVIZI!$B:$B,$A96))</f>
        <v/>
      </c>
      <c r="M96" s="34" t="str">
        <f t="shared" si="9"/>
        <v/>
      </c>
      <c r="N96" s="33" t="str">
        <f>IF($A96="","",SUMIFS(SERVIZI!$M:$M,SERVIZI!$B:$B,$A96))</f>
        <v/>
      </c>
      <c r="O96" s="34" t="str">
        <f>IF($A96="","",SUMIFS(SERVIZI!$AC:$AC,SERVIZI!$B:$B,$A96))</f>
        <v/>
      </c>
      <c r="P96" s="34" t="str">
        <f t="shared" si="10"/>
        <v/>
      </c>
      <c r="Q96" s="35" t="str">
        <f t="shared" si="11"/>
        <v/>
      </c>
      <c r="R96" s="34" t="str">
        <f>IF($A96="","",SUMIFS(SERVIZI!$AK:$AK,SERVIZI!$B:$B,$A96))</f>
        <v/>
      </c>
      <c r="S96" s="34" t="str">
        <f>IF($A96="","",$J96-SUMIFS(SERVIZI!$AJ:$AJ,SERVIZI!$B:$B,$A96))</f>
        <v/>
      </c>
      <c r="T96" s="36" t="str">
        <f>IF($A96="","",IF($K96&lt;&gt;"OK","QUOTE NON QUADRATE",IF(COUNTIFS(SERVIZI!$B:$B,$A96,SERVIZI!$AN:$AN,"OK")&lt;$I96,"VERIFICARE SERVIZI","OK")))</f>
        <v/>
      </c>
    </row>
    <row r="97" spans="1:20" x14ac:dyDescent="0.3">
      <c r="A97" s="42"/>
      <c r="B97" s="42"/>
      <c r="C97" s="42"/>
      <c r="D97" s="42"/>
      <c r="E97" s="43"/>
      <c r="F97" s="43"/>
      <c r="G97" s="42"/>
      <c r="H97" s="44"/>
      <c r="I97" s="33" t="str">
        <f>IF($A97="","",COUNTIFS(SERVIZI!$B:$B,$A97))</f>
        <v/>
      </c>
      <c r="J97" s="34" t="str">
        <f>IF($A97="","",SUMIFS(SERVIZI!$Q:$Q,SERVIZI!$B:$B,$A97))</f>
        <v/>
      </c>
      <c r="K97" s="36" t="str">
        <f t="shared" si="8"/>
        <v/>
      </c>
      <c r="L97" s="34" t="str">
        <f>IF($A97="","",SUMIFS(SERVIZI!$P:$P,SERVIZI!$B:$B,$A97))</f>
        <v/>
      </c>
      <c r="M97" s="34" t="str">
        <f t="shared" si="9"/>
        <v/>
      </c>
      <c r="N97" s="33" t="str">
        <f>IF($A97="","",SUMIFS(SERVIZI!$M:$M,SERVIZI!$B:$B,$A97))</f>
        <v/>
      </c>
      <c r="O97" s="34" t="str">
        <f>IF($A97="","",SUMIFS(SERVIZI!$AC:$AC,SERVIZI!$B:$B,$A97))</f>
        <v/>
      </c>
      <c r="P97" s="34" t="str">
        <f t="shared" si="10"/>
        <v/>
      </c>
      <c r="Q97" s="35" t="str">
        <f t="shared" si="11"/>
        <v/>
      </c>
      <c r="R97" s="34" t="str">
        <f>IF($A97="","",SUMIFS(SERVIZI!$AK:$AK,SERVIZI!$B:$B,$A97))</f>
        <v/>
      </c>
      <c r="S97" s="34" t="str">
        <f>IF($A97="","",$J97-SUMIFS(SERVIZI!$AJ:$AJ,SERVIZI!$B:$B,$A97))</f>
        <v/>
      </c>
      <c r="T97" s="36" t="str">
        <f>IF($A97="","",IF($K97&lt;&gt;"OK","QUOTE NON QUADRATE",IF(COUNTIFS(SERVIZI!$B:$B,$A97,SERVIZI!$AN:$AN,"OK")&lt;$I97,"VERIFICARE SERVIZI","OK")))</f>
        <v/>
      </c>
    </row>
    <row r="98" spans="1:20" x14ac:dyDescent="0.3">
      <c r="A98" s="42"/>
      <c r="B98" s="42"/>
      <c r="C98" s="42"/>
      <c r="D98" s="42"/>
      <c r="E98" s="43"/>
      <c r="F98" s="43"/>
      <c r="G98" s="42"/>
      <c r="H98" s="44"/>
      <c r="I98" s="33" t="str">
        <f>IF($A98="","",COUNTIFS(SERVIZI!$B:$B,$A98))</f>
        <v/>
      </c>
      <c r="J98" s="34" t="str">
        <f>IF($A98="","",SUMIFS(SERVIZI!$Q:$Q,SERVIZI!$B:$B,$A98))</f>
        <v/>
      </c>
      <c r="K98" s="36" t="str">
        <f t="shared" ref="K98:K129" si="12">IF($A98="","",IF(ABS($H98-$J98)&lt;1,"OK","DIFFERENZA "&amp;TEXT($H98-$J98,"#,##0")&amp;" €"))</f>
        <v/>
      </c>
      <c r="L98" s="34" t="str">
        <f>IF($A98="","",SUMIFS(SERVIZI!$P:$P,SERVIZI!$B:$B,$A98))</f>
        <v/>
      </c>
      <c r="M98" s="34" t="str">
        <f t="shared" ref="M98:M129" si="13">IF($A98="","",$J98-$L98)</f>
        <v/>
      </c>
      <c r="N98" s="33" t="str">
        <f>IF($A98="","",SUMIFS(SERVIZI!$M:$M,SERVIZI!$B:$B,$A98))</f>
        <v/>
      </c>
      <c r="O98" s="34" t="str">
        <f>IF($A98="","",SUMIFS(SERVIZI!$AC:$AC,SERVIZI!$B:$B,$A98))</f>
        <v/>
      </c>
      <c r="P98" s="34" t="str">
        <f t="shared" ref="P98:P129" si="14">IF($A98="","",$J98-$O98)</f>
        <v/>
      </c>
      <c r="Q98" s="35" t="str">
        <f t="shared" ref="Q98:Q129" si="15">IF($A98="","",IFERROR($P98/$J98,0))</f>
        <v/>
      </c>
      <c r="R98" s="34" t="str">
        <f>IF($A98="","",SUMIFS(SERVIZI!$AK:$AK,SERVIZI!$B:$B,$A98))</f>
        <v/>
      </c>
      <c r="S98" s="34" t="str">
        <f>IF($A98="","",$J98-SUMIFS(SERVIZI!$AJ:$AJ,SERVIZI!$B:$B,$A98))</f>
        <v/>
      </c>
      <c r="T98" s="36" t="str">
        <f>IF($A98="","",IF($K98&lt;&gt;"OK","QUOTE NON QUADRATE",IF(COUNTIFS(SERVIZI!$B:$B,$A98,SERVIZI!$AN:$AN,"OK")&lt;$I98,"VERIFICARE SERVIZI","OK")))</f>
        <v/>
      </c>
    </row>
    <row r="99" spans="1:20" x14ac:dyDescent="0.3">
      <c r="A99" s="42"/>
      <c r="B99" s="42"/>
      <c r="C99" s="42"/>
      <c r="D99" s="42"/>
      <c r="E99" s="43"/>
      <c r="F99" s="43"/>
      <c r="G99" s="42"/>
      <c r="H99" s="44"/>
      <c r="I99" s="33" t="str">
        <f>IF($A99="","",COUNTIFS(SERVIZI!$B:$B,$A99))</f>
        <v/>
      </c>
      <c r="J99" s="34" t="str">
        <f>IF($A99="","",SUMIFS(SERVIZI!$Q:$Q,SERVIZI!$B:$B,$A99))</f>
        <v/>
      </c>
      <c r="K99" s="36" t="str">
        <f t="shared" si="12"/>
        <v/>
      </c>
      <c r="L99" s="34" t="str">
        <f>IF($A99="","",SUMIFS(SERVIZI!$P:$P,SERVIZI!$B:$B,$A99))</f>
        <v/>
      </c>
      <c r="M99" s="34" t="str">
        <f t="shared" si="13"/>
        <v/>
      </c>
      <c r="N99" s="33" t="str">
        <f>IF($A99="","",SUMIFS(SERVIZI!$M:$M,SERVIZI!$B:$B,$A99))</f>
        <v/>
      </c>
      <c r="O99" s="34" t="str">
        <f>IF($A99="","",SUMIFS(SERVIZI!$AC:$AC,SERVIZI!$B:$B,$A99))</f>
        <v/>
      </c>
      <c r="P99" s="34" t="str">
        <f t="shared" si="14"/>
        <v/>
      </c>
      <c r="Q99" s="35" t="str">
        <f t="shared" si="15"/>
        <v/>
      </c>
      <c r="R99" s="34" t="str">
        <f>IF($A99="","",SUMIFS(SERVIZI!$AK:$AK,SERVIZI!$B:$B,$A99))</f>
        <v/>
      </c>
      <c r="S99" s="34" t="str">
        <f>IF($A99="","",$J99-SUMIFS(SERVIZI!$AJ:$AJ,SERVIZI!$B:$B,$A99))</f>
        <v/>
      </c>
      <c r="T99" s="36" t="str">
        <f>IF($A99="","",IF($K99&lt;&gt;"OK","QUOTE NON QUADRATE",IF(COUNTIFS(SERVIZI!$B:$B,$A99,SERVIZI!$AN:$AN,"OK")&lt;$I99,"VERIFICARE SERVIZI","OK")))</f>
        <v/>
      </c>
    </row>
    <row r="100" spans="1:20" x14ac:dyDescent="0.3">
      <c r="A100" s="42"/>
      <c r="B100" s="42"/>
      <c r="C100" s="42"/>
      <c r="D100" s="42"/>
      <c r="E100" s="43"/>
      <c r="F100" s="43"/>
      <c r="G100" s="42"/>
      <c r="H100" s="44"/>
      <c r="I100" s="33" t="str">
        <f>IF($A100="","",COUNTIFS(SERVIZI!$B:$B,$A100))</f>
        <v/>
      </c>
      <c r="J100" s="34" t="str">
        <f>IF($A100="","",SUMIFS(SERVIZI!$Q:$Q,SERVIZI!$B:$B,$A100))</f>
        <v/>
      </c>
      <c r="K100" s="36" t="str">
        <f t="shared" si="12"/>
        <v/>
      </c>
      <c r="L100" s="34" t="str">
        <f>IF($A100="","",SUMIFS(SERVIZI!$P:$P,SERVIZI!$B:$B,$A100))</f>
        <v/>
      </c>
      <c r="M100" s="34" t="str">
        <f t="shared" si="13"/>
        <v/>
      </c>
      <c r="N100" s="33" t="str">
        <f>IF($A100="","",SUMIFS(SERVIZI!$M:$M,SERVIZI!$B:$B,$A100))</f>
        <v/>
      </c>
      <c r="O100" s="34" t="str">
        <f>IF($A100="","",SUMIFS(SERVIZI!$AC:$AC,SERVIZI!$B:$B,$A100))</f>
        <v/>
      </c>
      <c r="P100" s="34" t="str">
        <f t="shared" si="14"/>
        <v/>
      </c>
      <c r="Q100" s="35" t="str">
        <f t="shared" si="15"/>
        <v/>
      </c>
      <c r="R100" s="34" t="str">
        <f>IF($A100="","",SUMIFS(SERVIZI!$AK:$AK,SERVIZI!$B:$B,$A100))</f>
        <v/>
      </c>
      <c r="S100" s="34" t="str">
        <f>IF($A100="","",$J100-SUMIFS(SERVIZI!$AJ:$AJ,SERVIZI!$B:$B,$A100))</f>
        <v/>
      </c>
      <c r="T100" s="36" t="str">
        <f>IF($A100="","",IF($K100&lt;&gt;"OK","QUOTE NON QUADRATE",IF(COUNTIFS(SERVIZI!$B:$B,$A100,SERVIZI!$AN:$AN,"OK")&lt;$I100,"VERIFICARE SERVIZI","OK")))</f>
        <v/>
      </c>
    </row>
    <row r="101" spans="1:20" x14ac:dyDescent="0.3">
      <c r="A101" s="42"/>
      <c r="B101" s="42"/>
      <c r="C101" s="42"/>
      <c r="D101" s="42"/>
      <c r="E101" s="43"/>
      <c r="F101" s="43"/>
      <c r="G101" s="42"/>
      <c r="H101" s="44"/>
      <c r="I101" s="33" t="str">
        <f>IF($A101="","",COUNTIFS(SERVIZI!$B:$B,$A101))</f>
        <v/>
      </c>
      <c r="J101" s="34" t="str">
        <f>IF($A101="","",SUMIFS(SERVIZI!$Q:$Q,SERVIZI!$B:$B,$A101))</f>
        <v/>
      </c>
      <c r="K101" s="36" t="str">
        <f t="shared" si="12"/>
        <v/>
      </c>
      <c r="L101" s="34" t="str">
        <f>IF($A101="","",SUMIFS(SERVIZI!$P:$P,SERVIZI!$B:$B,$A101))</f>
        <v/>
      </c>
      <c r="M101" s="34" t="str">
        <f t="shared" si="13"/>
        <v/>
      </c>
      <c r="N101" s="33" t="str">
        <f>IF($A101="","",SUMIFS(SERVIZI!$M:$M,SERVIZI!$B:$B,$A101))</f>
        <v/>
      </c>
      <c r="O101" s="34" t="str">
        <f>IF($A101="","",SUMIFS(SERVIZI!$AC:$AC,SERVIZI!$B:$B,$A101))</f>
        <v/>
      </c>
      <c r="P101" s="34" t="str">
        <f t="shared" si="14"/>
        <v/>
      </c>
      <c r="Q101" s="35" t="str">
        <f t="shared" si="15"/>
        <v/>
      </c>
      <c r="R101" s="34" t="str">
        <f>IF($A101="","",SUMIFS(SERVIZI!$AK:$AK,SERVIZI!$B:$B,$A101))</f>
        <v/>
      </c>
      <c r="S101" s="34" t="str">
        <f>IF($A101="","",$J101-SUMIFS(SERVIZI!$AJ:$AJ,SERVIZI!$B:$B,$A101))</f>
        <v/>
      </c>
      <c r="T101" s="36" t="str">
        <f>IF($A101="","",IF($K101&lt;&gt;"OK","QUOTE NON QUADRATE",IF(COUNTIFS(SERVIZI!$B:$B,$A101,SERVIZI!$AN:$AN,"OK")&lt;$I101,"VERIFICARE SERVIZI","OK")))</f>
        <v/>
      </c>
    </row>
    <row r="102" spans="1:20" x14ac:dyDescent="0.3">
      <c r="A102" s="42"/>
      <c r="B102" s="42"/>
      <c r="C102" s="42"/>
      <c r="D102" s="42"/>
      <c r="E102" s="43"/>
      <c r="F102" s="43"/>
      <c r="G102" s="42"/>
      <c r="H102" s="44"/>
      <c r="I102" s="33" t="str">
        <f>IF($A102="","",COUNTIFS(SERVIZI!$B:$B,$A102))</f>
        <v/>
      </c>
      <c r="J102" s="34" t="str">
        <f>IF($A102="","",SUMIFS(SERVIZI!$Q:$Q,SERVIZI!$B:$B,$A102))</f>
        <v/>
      </c>
      <c r="K102" s="36" t="str">
        <f t="shared" si="12"/>
        <v/>
      </c>
      <c r="L102" s="34" t="str">
        <f>IF($A102="","",SUMIFS(SERVIZI!$P:$P,SERVIZI!$B:$B,$A102))</f>
        <v/>
      </c>
      <c r="M102" s="34" t="str">
        <f t="shared" si="13"/>
        <v/>
      </c>
      <c r="N102" s="33" t="str">
        <f>IF($A102="","",SUMIFS(SERVIZI!$M:$M,SERVIZI!$B:$B,$A102))</f>
        <v/>
      </c>
      <c r="O102" s="34" t="str">
        <f>IF($A102="","",SUMIFS(SERVIZI!$AC:$AC,SERVIZI!$B:$B,$A102))</f>
        <v/>
      </c>
      <c r="P102" s="34" t="str">
        <f t="shared" si="14"/>
        <v/>
      </c>
      <c r="Q102" s="35" t="str">
        <f t="shared" si="15"/>
        <v/>
      </c>
      <c r="R102" s="34" t="str">
        <f>IF($A102="","",SUMIFS(SERVIZI!$AK:$AK,SERVIZI!$B:$B,$A102))</f>
        <v/>
      </c>
      <c r="S102" s="34" t="str">
        <f>IF($A102="","",$J102-SUMIFS(SERVIZI!$AJ:$AJ,SERVIZI!$B:$B,$A102))</f>
        <v/>
      </c>
      <c r="T102" s="36" t="str">
        <f>IF($A102="","",IF($K102&lt;&gt;"OK","QUOTE NON QUADRATE",IF(COUNTIFS(SERVIZI!$B:$B,$A102,SERVIZI!$AN:$AN,"OK")&lt;$I102,"VERIFICARE SERVIZI","OK")))</f>
        <v/>
      </c>
    </row>
    <row r="103" spans="1:20" x14ac:dyDescent="0.3">
      <c r="A103" s="42"/>
      <c r="B103" s="42"/>
      <c r="C103" s="42"/>
      <c r="D103" s="42"/>
      <c r="E103" s="43"/>
      <c r="F103" s="43"/>
      <c r="G103" s="42"/>
      <c r="H103" s="44"/>
      <c r="I103" s="33" t="str">
        <f>IF($A103="","",COUNTIFS(SERVIZI!$B:$B,$A103))</f>
        <v/>
      </c>
      <c r="J103" s="34" t="str">
        <f>IF($A103="","",SUMIFS(SERVIZI!$Q:$Q,SERVIZI!$B:$B,$A103))</f>
        <v/>
      </c>
      <c r="K103" s="36" t="str">
        <f t="shared" si="12"/>
        <v/>
      </c>
      <c r="L103" s="34" t="str">
        <f>IF($A103="","",SUMIFS(SERVIZI!$P:$P,SERVIZI!$B:$B,$A103))</f>
        <v/>
      </c>
      <c r="M103" s="34" t="str">
        <f t="shared" si="13"/>
        <v/>
      </c>
      <c r="N103" s="33" t="str">
        <f>IF($A103="","",SUMIFS(SERVIZI!$M:$M,SERVIZI!$B:$B,$A103))</f>
        <v/>
      </c>
      <c r="O103" s="34" t="str">
        <f>IF($A103="","",SUMIFS(SERVIZI!$AC:$AC,SERVIZI!$B:$B,$A103))</f>
        <v/>
      </c>
      <c r="P103" s="34" t="str">
        <f t="shared" si="14"/>
        <v/>
      </c>
      <c r="Q103" s="35" t="str">
        <f t="shared" si="15"/>
        <v/>
      </c>
      <c r="R103" s="34" t="str">
        <f>IF($A103="","",SUMIFS(SERVIZI!$AK:$AK,SERVIZI!$B:$B,$A103))</f>
        <v/>
      </c>
      <c r="S103" s="34" t="str">
        <f>IF($A103="","",$J103-SUMIFS(SERVIZI!$AJ:$AJ,SERVIZI!$B:$B,$A103))</f>
        <v/>
      </c>
      <c r="T103" s="36" t="str">
        <f>IF($A103="","",IF($K103&lt;&gt;"OK","QUOTE NON QUADRATE",IF(COUNTIFS(SERVIZI!$B:$B,$A103,SERVIZI!$AN:$AN,"OK")&lt;$I103,"VERIFICARE SERVIZI","OK")))</f>
        <v/>
      </c>
    </row>
    <row r="104" spans="1:20" x14ac:dyDescent="0.3">
      <c r="A104" s="42"/>
      <c r="B104" s="42"/>
      <c r="C104" s="42"/>
      <c r="D104" s="42"/>
      <c r="E104" s="43"/>
      <c r="F104" s="43"/>
      <c r="G104" s="42"/>
      <c r="H104" s="44"/>
      <c r="I104" s="33" t="str">
        <f>IF($A104="","",COUNTIFS(SERVIZI!$B:$B,$A104))</f>
        <v/>
      </c>
      <c r="J104" s="34" t="str">
        <f>IF($A104="","",SUMIFS(SERVIZI!$Q:$Q,SERVIZI!$B:$B,$A104))</f>
        <v/>
      </c>
      <c r="K104" s="36" t="str">
        <f t="shared" si="12"/>
        <v/>
      </c>
      <c r="L104" s="34" t="str">
        <f>IF($A104="","",SUMIFS(SERVIZI!$P:$P,SERVIZI!$B:$B,$A104))</f>
        <v/>
      </c>
      <c r="M104" s="34" t="str">
        <f t="shared" si="13"/>
        <v/>
      </c>
      <c r="N104" s="33" t="str">
        <f>IF($A104="","",SUMIFS(SERVIZI!$M:$M,SERVIZI!$B:$B,$A104))</f>
        <v/>
      </c>
      <c r="O104" s="34" t="str">
        <f>IF($A104="","",SUMIFS(SERVIZI!$AC:$AC,SERVIZI!$B:$B,$A104))</f>
        <v/>
      </c>
      <c r="P104" s="34" t="str">
        <f t="shared" si="14"/>
        <v/>
      </c>
      <c r="Q104" s="35" t="str">
        <f t="shared" si="15"/>
        <v/>
      </c>
      <c r="R104" s="34" t="str">
        <f>IF($A104="","",SUMIFS(SERVIZI!$AK:$AK,SERVIZI!$B:$B,$A104))</f>
        <v/>
      </c>
      <c r="S104" s="34" t="str">
        <f>IF($A104="","",$J104-SUMIFS(SERVIZI!$AJ:$AJ,SERVIZI!$B:$B,$A104))</f>
        <v/>
      </c>
      <c r="T104" s="36" t="str">
        <f>IF($A104="","",IF($K104&lt;&gt;"OK","QUOTE NON QUADRATE",IF(COUNTIFS(SERVIZI!$B:$B,$A104,SERVIZI!$AN:$AN,"OK")&lt;$I104,"VERIFICARE SERVIZI","OK")))</f>
        <v/>
      </c>
    </row>
    <row r="105" spans="1:20" x14ac:dyDescent="0.3">
      <c r="A105" s="42"/>
      <c r="B105" s="42"/>
      <c r="C105" s="42"/>
      <c r="D105" s="42"/>
      <c r="E105" s="43"/>
      <c r="F105" s="43"/>
      <c r="G105" s="42"/>
      <c r="H105" s="44"/>
      <c r="I105" s="33" t="str">
        <f>IF($A105="","",COUNTIFS(SERVIZI!$B:$B,$A105))</f>
        <v/>
      </c>
      <c r="J105" s="34" t="str">
        <f>IF($A105="","",SUMIFS(SERVIZI!$Q:$Q,SERVIZI!$B:$B,$A105))</f>
        <v/>
      </c>
      <c r="K105" s="36" t="str">
        <f t="shared" si="12"/>
        <v/>
      </c>
      <c r="L105" s="34" t="str">
        <f>IF($A105="","",SUMIFS(SERVIZI!$P:$P,SERVIZI!$B:$B,$A105))</f>
        <v/>
      </c>
      <c r="M105" s="34" t="str">
        <f t="shared" si="13"/>
        <v/>
      </c>
      <c r="N105" s="33" t="str">
        <f>IF($A105="","",SUMIFS(SERVIZI!$M:$M,SERVIZI!$B:$B,$A105))</f>
        <v/>
      </c>
      <c r="O105" s="34" t="str">
        <f>IF($A105="","",SUMIFS(SERVIZI!$AC:$AC,SERVIZI!$B:$B,$A105))</f>
        <v/>
      </c>
      <c r="P105" s="34" t="str">
        <f t="shared" si="14"/>
        <v/>
      </c>
      <c r="Q105" s="35" t="str">
        <f t="shared" si="15"/>
        <v/>
      </c>
      <c r="R105" s="34" t="str">
        <f>IF($A105="","",SUMIFS(SERVIZI!$AK:$AK,SERVIZI!$B:$B,$A105))</f>
        <v/>
      </c>
      <c r="S105" s="34" t="str">
        <f>IF($A105="","",$J105-SUMIFS(SERVIZI!$AJ:$AJ,SERVIZI!$B:$B,$A105))</f>
        <v/>
      </c>
      <c r="T105" s="36" t="str">
        <f>IF($A105="","",IF($K105&lt;&gt;"OK","QUOTE NON QUADRATE",IF(COUNTIFS(SERVIZI!$B:$B,$A105,SERVIZI!$AN:$AN,"OK")&lt;$I105,"VERIFICARE SERVIZI","OK")))</f>
        <v/>
      </c>
    </row>
    <row r="106" spans="1:20" x14ac:dyDescent="0.3">
      <c r="A106" s="42"/>
      <c r="B106" s="42"/>
      <c r="C106" s="42"/>
      <c r="D106" s="42"/>
      <c r="E106" s="43"/>
      <c r="F106" s="43"/>
      <c r="G106" s="42"/>
      <c r="H106" s="44"/>
      <c r="I106" s="33" t="str">
        <f>IF($A106="","",COUNTIFS(SERVIZI!$B:$B,$A106))</f>
        <v/>
      </c>
      <c r="J106" s="34" t="str">
        <f>IF($A106="","",SUMIFS(SERVIZI!$Q:$Q,SERVIZI!$B:$B,$A106))</f>
        <v/>
      </c>
      <c r="K106" s="36" t="str">
        <f t="shared" si="12"/>
        <v/>
      </c>
      <c r="L106" s="34" t="str">
        <f>IF($A106="","",SUMIFS(SERVIZI!$P:$P,SERVIZI!$B:$B,$A106))</f>
        <v/>
      </c>
      <c r="M106" s="34" t="str">
        <f t="shared" si="13"/>
        <v/>
      </c>
      <c r="N106" s="33" t="str">
        <f>IF($A106="","",SUMIFS(SERVIZI!$M:$M,SERVIZI!$B:$B,$A106))</f>
        <v/>
      </c>
      <c r="O106" s="34" t="str">
        <f>IF($A106="","",SUMIFS(SERVIZI!$AC:$AC,SERVIZI!$B:$B,$A106))</f>
        <v/>
      </c>
      <c r="P106" s="34" t="str">
        <f t="shared" si="14"/>
        <v/>
      </c>
      <c r="Q106" s="35" t="str">
        <f t="shared" si="15"/>
        <v/>
      </c>
      <c r="R106" s="34" t="str">
        <f>IF($A106="","",SUMIFS(SERVIZI!$AK:$AK,SERVIZI!$B:$B,$A106))</f>
        <v/>
      </c>
      <c r="S106" s="34" t="str">
        <f>IF($A106="","",$J106-SUMIFS(SERVIZI!$AJ:$AJ,SERVIZI!$B:$B,$A106))</f>
        <v/>
      </c>
      <c r="T106" s="36" t="str">
        <f>IF($A106="","",IF($K106&lt;&gt;"OK","QUOTE NON QUADRATE",IF(COUNTIFS(SERVIZI!$B:$B,$A106,SERVIZI!$AN:$AN,"OK")&lt;$I106,"VERIFICARE SERVIZI","OK")))</f>
        <v/>
      </c>
    </row>
    <row r="107" spans="1:20" x14ac:dyDescent="0.3">
      <c r="A107" s="42"/>
      <c r="B107" s="42"/>
      <c r="C107" s="42"/>
      <c r="D107" s="42"/>
      <c r="E107" s="43"/>
      <c r="F107" s="43"/>
      <c r="G107" s="42"/>
      <c r="H107" s="44"/>
      <c r="I107" s="33" t="str">
        <f>IF($A107="","",COUNTIFS(SERVIZI!$B:$B,$A107))</f>
        <v/>
      </c>
      <c r="J107" s="34" t="str">
        <f>IF($A107="","",SUMIFS(SERVIZI!$Q:$Q,SERVIZI!$B:$B,$A107))</f>
        <v/>
      </c>
      <c r="K107" s="36" t="str">
        <f t="shared" si="12"/>
        <v/>
      </c>
      <c r="L107" s="34" t="str">
        <f>IF($A107="","",SUMIFS(SERVIZI!$P:$P,SERVIZI!$B:$B,$A107))</f>
        <v/>
      </c>
      <c r="M107" s="34" t="str">
        <f t="shared" si="13"/>
        <v/>
      </c>
      <c r="N107" s="33" t="str">
        <f>IF($A107="","",SUMIFS(SERVIZI!$M:$M,SERVIZI!$B:$B,$A107))</f>
        <v/>
      </c>
      <c r="O107" s="34" t="str">
        <f>IF($A107="","",SUMIFS(SERVIZI!$AC:$AC,SERVIZI!$B:$B,$A107))</f>
        <v/>
      </c>
      <c r="P107" s="34" t="str">
        <f t="shared" si="14"/>
        <v/>
      </c>
      <c r="Q107" s="35" t="str">
        <f t="shared" si="15"/>
        <v/>
      </c>
      <c r="R107" s="34" t="str">
        <f>IF($A107="","",SUMIFS(SERVIZI!$AK:$AK,SERVIZI!$B:$B,$A107))</f>
        <v/>
      </c>
      <c r="S107" s="34" t="str">
        <f>IF($A107="","",$J107-SUMIFS(SERVIZI!$AJ:$AJ,SERVIZI!$B:$B,$A107))</f>
        <v/>
      </c>
      <c r="T107" s="36" t="str">
        <f>IF($A107="","",IF($K107&lt;&gt;"OK","QUOTE NON QUADRATE",IF(COUNTIFS(SERVIZI!$B:$B,$A107,SERVIZI!$AN:$AN,"OK")&lt;$I107,"VERIFICARE SERVIZI","OK")))</f>
        <v/>
      </c>
    </row>
    <row r="108" spans="1:20" x14ac:dyDescent="0.3">
      <c r="A108" s="42"/>
      <c r="B108" s="42"/>
      <c r="C108" s="42"/>
      <c r="D108" s="42"/>
      <c r="E108" s="43"/>
      <c r="F108" s="43"/>
      <c r="G108" s="42"/>
      <c r="H108" s="44"/>
      <c r="I108" s="33" t="str">
        <f>IF($A108="","",COUNTIFS(SERVIZI!$B:$B,$A108))</f>
        <v/>
      </c>
      <c r="J108" s="34" t="str">
        <f>IF($A108="","",SUMIFS(SERVIZI!$Q:$Q,SERVIZI!$B:$B,$A108))</f>
        <v/>
      </c>
      <c r="K108" s="36" t="str">
        <f t="shared" si="12"/>
        <v/>
      </c>
      <c r="L108" s="34" t="str">
        <f>IF($A108="","",SUMIFS(SERVIZI!$P:$P,SERVIZI!$B:$B,$A108))</f>
        <v/>
      </c>
      <c r="M108" s="34" t="str">
        <f t="shared" si="13"/>
        <v/>
      </c>
      <c r="N108" s="33" t="str">
        <f>IF($A108="","",SUMIFS(SERVIZI!$M:$M,SERVIZI!$B:$B,$A108))</f>
        <v/>
      </c>
      <c r="O108" s="34" t="str">
        <f>IF($A108="","",SUMIFS(SERVIZI!$AC:$AC,SERVIZI!$B:$B,$A108))</f>
        <v/>
      </c>
      <c r="P108" s="34" t="str">
        <f t="shared" si="14"/>
        <v/>
      </c>
      <c r="Q108" s="35" t="str">
        <f t="shared" si="15"/>
        <v/>
      </c>
      <c r="R108" s="34" t="str">
        <f>IF($A108="","",SUMIFS(SERVIZI!$AK:$AK,SERVIZI!$B:$B,$A108))</f>
        <v/>
      </c>
      <c r="S108" s="34" t="str">
        <f>IF($A108="","",$J108-SUMIFS(SERVIZI!$AJ:$AJ,SERVIZI!$B:$B,$A108))</f>
        <v/>
      </c>
      <c r="T108" s="36" t="str">
        <f>IF($A108="","",IF($K108&lt;&gt;"OK","QUOTE NON QUADRATE",IF(COUNTIFS(SERVIZI!$B:$B,$A108,SERVIZI!$AN:$AN,"OK")&lt;$I108,"VERIFICARE SERVIZI","OK")))</f>
        <v/>
      </c>
    </row>
    <row r="109" spans="1:20" x14ac:dyDescent="0.3">
      <c r="A109" s="42"/>
      <c r="B109" s="42"/>
      <c r="C109" s="42"/>
      <c r="D109" s="42"/>
      <c r="E109" s="43"/>
      <c r="F109" s="43"/>
      <c r="G109" s="42"/>
      <c r="H109" s="44"/>
      <c r="I109" s="33" t="str">
        <f>IF($A109="","",COUNTIFS(SERVIZI!$B:$B,$A109))</f>
        <v/>
      </c>
      <c r="J109" s="34" t="str">
        <f>IF($A109="","",SUMIFS(SERVIZI!$Q:$Q,SERVIZI!$B:$B,$A109))</f>
        <v/>
      </c>
      <c r="K109" s="36" t="str">
        <f t="shared" si="12"/>
        <v/>
      </c>
      <c r="L109" s="34" t="str">
        <f>IF($A109="","",SUMIFS(SERVIZI!$P:$P,SERVIZI!$B:$B,$A109))</f>
        <v/>
      </c>
      <c r="M109" s="34" t="str">
        <f t="shared" si="13"/>
        <v/>
      </c>
      <c r="N109" s="33" t="str">
        <f>IF($A109="","",SUMIFS(SERVIZI!$M:$M,SERVIZI!$B:$B,$A109))</f>
        <v/>
      </c>
      <c r="O109" s="34" t="str">
        <f>IF($A109="","",SUMIFS(SERVIZI!$AC:$AC,SERVIZI!$B:$B,$A109))</f>
        <v/>
      </c>
      <c r="P109" s="34" t="str">
        <f t="shared" si="14"/>
        <v/>
      </c>
      <c r="Q109" s="35" t="str">
        <f t="shared" si="15"/>
        <v/>
      </c>
      <c r="R109" s="34" t="str">
        <f>IF($A109="","",SUMIFS(SERVIZI!$AK:$AK,SERVIZI!$B:$B,$A109))</f>
        <v/>
      </c>
      <c r="S109" s="34" t="str">
        <f>IF($A109="","",$J109-SUMIFS(SERVIZI!$AJ:$AJ,SERVIZI!$B:$B,$A109))</f>
        <v/>
      </c>
      <c r="T109" s="36" t="str">
        <f>IF($A109="","",IF($K109&lt;&gt;"OK","QUOTE NON QUADRATE",IF(COUNTIFS(SERVIZI!$B:$B,$A109,SERVIZI!$AN:$AN,"OK")&lt;$I109,"VERIFICARE SERVIZI","OK")))</f>
        <v/>
      </c>
    </row>
    <row r="110" spans="1:20" x14ac:dyDescent="0.3">
      <c r="A110" s="42"/>
      <c r="B110" s="42"/>
      <c r="C110" s="42"/>
      <c r="D110" s="42"/>
      <c r="E110" s="43"/>
      <c r="F110" s="43"/>
      <c r="G110" s="42"/>
      <c r="H110" s="44"/>
      <c r="I110" s="33" t="str">
        <f>IF($A110="","",COUNTIFS(SERVIZI!$B:$B,$A110))</f>
        <v/>
      </c>
      <c r="J110" s="34" t="str">
        <f>IF($A110="","",SUMIFS(SERVIZI!$Q:$Q,SERVIZI!$B:$B,$A110))</f>
        <v/>
      </c>
      <c r="K110" s="36" t="str">
        <f t="shared" si="12"/>
        <v/>
      </c>
      <c r="L110" s="34" t="str">
        <f>IF($A110="","",SUMIFS(SERVIZI!$P:$P,SERVIZI!$B:$B,$A110))</f>
        <v/>
      </c>
      <c r="M110" s="34" t="str">
        <f t="shared" si="13"/>
        <v/>
      </c>
      <c r="N110" s="33" t="str">
        <f>IF($A110="","",SUMIFS(SERVIZI!$M:$M,SERVIZI!$B:$B,$A110))</f>
        <v/>
      </c>
      <c r="O110" s="34" t="str">
        <f>IF($A110="","",SUMIFS(SERVIZI!$AC:$AC,SERVIZI!$B:$B,$A110))</f>
        <v/>
      </c>
      <c r="P110" s="34" t="str">
        <f t="shared" si="14"/>
        <v/>
      </c>
      <c r="Q110" s="35" t="str">
        <f t="shared" si="15"/>
        <v/>
      </c>
      <c r="R110" s="34" t="str">
        <f>IF($A110="","",SUMIFS(SERVIZI!$AK:$AK,SERVIZI!$B:$B,$A110))</f>
        <v/>
      </c>
      <c r="S110" s="34" t="str">
        <f>IF($A110="","",$J110-SUMIFS(SERVIZI!$AJ:$AJ,SERVIZI!$B:$B,$A110))</f>
        <v/>
      </c>
      <c r="T110" s="36" t="str">
        <f>IF($A110="","",IF($K110&lt;&gt;"OK","QUOTE NON QUADRATE",IF(COUNTIFS(SERVIZI!$B:$B,$A110,SERVIZI!$AN:$AN,"OK")&lt;$I110,"VERIFICARE SERVIZI","OK")))</f>
        <v/>
      </c>
    </row>
    <row r="111" spans="1:20" x14ac:dyDescent="0.3">
      <c r="A111" s="42"/>
      <c r="B111" s="42"/>
      <c r="C111" s="42"/>
      <c r="D111" s="42"/>
      <c r="E111" s="43"/>
      <c r="F111" s="43"/>
      <c r="G111" s="42"/>
      <c r="H111" s="44"/>
      <c r="I111" s="33" t="str">
        <f>IF($A111="","",COUNTIFS(SERVIZI!$B:$B,$A111))</f>
        <v/>
      </c>
      <c r="J111" s="34" t="str">
        <f>IF($A111="","",SUMIFS(SERVIZI!$Q:$Q,SERVIZI!$B:$B,$A111))</f>
        <v/>
      </c>
      <c r="K111" s="36" t="str">
        <f t="shared" si="12"/>
        <v/>
      </c>
      <c r="L111" s="34" t="str">
        <f>IF($A111="","",SUMIFS(SERVIZI!$P:$P,SERVIZI!$B:$B,$A111))</f>
        <v/>
      </c>
      <c r="M111" s="34" t="str">
        <f t="shared" si="13"/>
        <v/>
      </c>
      <c r="N111" s="33" t="str">
        <f>IF($A111="","",SUMIFS(SERVIZI!$M:$M,SERVIZI!$B:$B,$A111))</f>
        <v/>
      </c>
      <c r="O111" s="34" t="str">
        <f>IF($A111="","",SUMIFS(SERVIZI!$AC:$AC,SERVIZI!$B:$B,$A111))</f>
        <v/>
      </c>
      <c r="P111" s="34" t="str">
        <f t="shared" si="14"/>
        <v/>
      </c>
      <c r="Q111" s="35" t="str">
        <f t="shared" si="15"/>
        <v/>
      </c>
      <c r="R111" s="34" t="str">
        <f>IF($A111="","",SUMIFS(SERVIZI!$AK:$AK,SERVIZI!$B:$B,$A111))</f>
        <v/>
      </c>
      <c r="S111" s="34" t="str">
        <f>IF($A111="","",$J111-SUMIFS(SERVIZI!$AJ:$AJ,SERVIZI!$B:$B,$A111))</f>
        <v/>
      </c>
      <c r="T111" s="36" t="str">
        <f>IF($A111="","",IF($K111&lt;&gt;"OK","QUOTE NON QUADRATE",IF(COUNTIFS(SERVIZI!$B:$B,$A111,SERVIZI!$AN:$AN,"OK")&lt;$I111,"VERIFICARE SERVIZI","OK")))</f>
        <v/>
      </c>
    </row>
    <row r="112" spans="1:20" x14ac:dyDescent="0.3">
      <c r="A112" s="42"/>
      <c r="B112" s="42"/>
      <c r="C112" s="42"/>
      <c r="D112" s="42"/>
      <c r="E112" s="43"/>
      <c r="F112" s="43"/>
      <c r="G112" s="42"/>
      <c r="H112" s="44"/>
      <c r="I112" s="33" t="str">
        <f>IF($A112="","",COUNTIFS(SERVIZI!$B:$B,$A112))</f>
        <v/>
      </c>
      <c r="J112" s="34" t="str">
        <f>IF($A112="","",SUMIFS(SERVIZI!$Q:$Q,SERVIZI!$B:$B,$A112))</f>
        <v/>
      </c>
      <c r="K112" s="36" t="str">
        <f t="shared" si="12"/>
        <v/>
      </c>
      <c r="L112" s="34" t="str">
        <f>IF($A112="","",SUMIFS(SERVIZI!$P:$P,SERVIZI!$B:$B,$A112))</f>
        <v/>
      </c>
      <c r="M112" s="34" t="str">
        <f t="shared" si="13"/>
        <v/>
      </c>
      <c r="N112" s="33" t="str">
        <f>IF($A112="","",SUMIFS(SERVIZI!$M:$M,SERVIZI!$B:$B,$A112))</f>
        <v/>
      </c>
      <c r="O112" s="34" t="str">
        <f>IF($A112="","",SUMIFS(SERVIZI!$AC:$AC,SERVIZI!$B:$B,$A112))</f>
        <v/>
      </c>
      <c r="P112" s="34" t="str">
        <f t="shared" si="14"/>
        <v/>
      </c>
      <c r="Q112" s="35" t="str">
        <f t="shared" si="15"/>
        <v/>
      </c>
      <c r="R112" s="34" t="str">
        <f>IF($A112="","",SUMIFS(SERVIZI!$AK:$AK,SERVIZI!$B:$B,$A112))</f>
        <v/>
      </c>
      <c r="S112" s="34" t="str">
        <f>IF($A112="","",$J112-SUMIFS(SERVIZI!$AJ:$AJ,SERVIZI!$B:$B,$A112))</f>
        <v/>
      </c>
      <c r="T112" s="36" t="str">
        <f>IF($A112="","",IF($K112&lt;&gt;"OK","QUOTE NON QUADRATE",IF(COUNTIFS(SERVIZI!$B:$B,$A112,SERVIZI!$AN:$AN,"OK")&lt;$I112,"VERIFICARE SERVIZI","OK")))</f>
        <v/>
      </c>
    </row>
    <row r="113" spans="1:20" x14ac:dyDescent="0.3">
      <c r="A113" s="42"/>
      <c r="B113" s="42"/>
      <c r="C113" s="42"/>
      <c r="D113" s="42"/>
      <c r="E113" s="43"/>
      <c r="F113" s="43"/>
      <c r="G113" s="42"/>
      <c r="H113" s="44"/>
      <c r="I113" s="33" t="str">
        <f>IF($A113="","",COUNTIFS(SERVIZI!$B:$B,$A113))</f>
        <v/>
      </c>
      <c r="J113" s="34" t="str">
        <f>IF($A113="","",SUMIFS(SERVIZI!$Q:$Q,SERVIZI!$B:$B,$A113))</f>
        <v/>
      </c>
      <c r="K113" s="36" t="str">
        <f t="shared" si="12"/>
        <v/>
      </c>
      <c r="L113" s="34" t="str">
        <f>IF($A113="","",SUMIFS(SERVIZI!$P:$P,SERVIZI!$B:$B,$A113))</f>
        <v/>
      </c>
      <c r="M113" s="34" t="str">
        <f t="shared" si="13"/>
        <v/>
      </c>
      <c r="N113" s="33" t="str">
        <f>IF($A113="","",SUMIFS(SERVIZI!$M:$M,SERVIZI!$B:$B,$A113))</f>
        <v/>
      </c>
      <c r="O113" s="34" t="str">
        <f>IF($A113="","",SUMIFS(SERVIZI!$AC:$AC,SERVIZI!$B:$B,$A113))</f>
        <v/>
      </c>
      <c r="P113" s="34" t="str">
        <f t="shared" si="14"/>
        <v/>
      </c>
      <c r="Q113" s="35" t="str">
        <f t="shared" si="15"/>
        <v/>
      </c>
      <c r="R113" s="34" t="str">
        <f>IF($A113="","",SUMIFS(SERVIZI!$AK:$AK,SERVIZI!$B:$B,$A113))</f>
        <v/>
      </c>
      <c r="S113" s="34" t="str">
        <f>IF($A113="","",$J113-SUMIFS(SERVIZI!$AJ:$AJ,SERVIZI!$B:$B,$A113))</f>
        <v/>
      </c>
      <c r="T113" s="36" t="str">
        <f>IF($A113="","",IF($K113&lt;&gt;"OK","QUOTE NON QUADRATE",IF(COUNTIFS(SERVIZI!$B:$B,$A113,SERVIZI!$AN:$AN,"OK")&lt;$I113,"VERIFICARE SERVIZI","OK")))</f>
        <v/>
      </c>
    </row>
    <row r="114" spans="1:20" x14ac:dyDescent="0.3">
      <c r="A114" s="42"/>
      <c r="B114" s="42"/>
      <c r="C114" s="42"/>
      <c r="D114" s="42"/>
      <c r="E114" s="43"/>
      <c r="F114" s="43"/>
      <c r="G114" s="42"/>
      <c r="H114" s="44"/>
      <c r="I114" s="33" t="str">
        <f>IF($A114="","",COUNTIFS(SERVIZI!$B:$B,$A114))</f>
        <v/>
      </c>
      <c r="J114" s="34" t="str">
        <f>IF($A114="","",SUMIFS(SERVIZI!$Q:$Q,SERVIZI!$B:$B,$A114))</f>
        <v/>
      </c>
      <c r="K114" s="36" t="str">
        <f t="shared" si="12"/>
        <v/>
      </c>
      <c r="L114" s="34" t="str">
        <f>IF($A114="","",SUMIFS(SERVIZI!$P:$P,SERVIZI!$B:$B,$A114))</f>
        <v/>
      </c>
      <c r="M114" s="34" t="str">
        <f t="shared" si="13"/>
        <v/>
      </c>
      <c r="N114" s="33" t="str">
        <f>IF($A114="","",SUMIFS(SERVIZI!$M:$M,SERVIZI!$B:$B,$A114))</f>
        <v/>
      </c>
      <c r="O114" s="34" t="str">
        <f>IF($A114="","",SUMIFS(SERVIZI!$AC:$AC,SERVIZI!$B:$B,$A114))</f>
        <v/>
      </c>
      <c r="P114" s="34" t="str">
        <f t="shared" si="14"/>
        <v/>
      </c>
      <c r="Q114" s="35" t="str">
        <f t="shared" si="15"/>
        <v/>
      </c>
      <c r="R114" s="34" t="str">
        <f>IF($A114="","",SUMIFS(SERVIZI!$AK:$AK,SERVIZI!$B:$B,$A114))</f>
        <v/>
      </c>
      <c r="S114" s="34" t="str">
        <f>IF($A114="","",$J114-SUMIFS(SERVIZI!$AJ:$AJ,SERVIZI!$B:$B,$A114))</f>
        <v/>
      </c>
      <c r="T114" s="36" t="str">
        <f>IF($A114="","",IF($K114&lt;&gt;"OK","QUOTE NON QUADRATE",IF(COUNTIFS(SERVIZI!$B:$B,$A114,SERVIZI!$AN:$AN,"OK")&lt;$I114,"VERIFICARE SERVIZI","OK")))</f>
        <v/>
      </c>
    </row>
    <row r="115" spans="1:20" x14ac:dyDescent="0.3">
      <c r="A115" s="42"/>
      <c r="B115" s="42"/>
      <c r="C115" s="42"/>
      <c r="D115" s="42"/>
      <c r="E115" s="43"/>
      <c r="F115" s="43"/>
      <c r="G115" s="42"/>
      <c r="H115" s="44"/>
      <c r="I115" s="33" t="str">
        <f>IF($A115="","",COUNTIFS(SERVIZI!$B:$B,$A115))</f>
        <v/>
      </c>
      <c r="J115" s="34" t="str">
        <f>IF($A115="","",SUMIFS(SERVIZI!$Q:$Q,SERVIZI!$B:$B,$A115))</f>
        <v/>
      </c>
      <c r="K115" s="36" t="str">
        <f t="shared" si="12"/>
        <v/>
      </c>
      <c r="L115" s="34" t="str">
        <f>IF($A115="","",SUMIFS(SERVIZI!$P:$P,SERVIZI!$B:$B,$A115))</f>
        <v/>
      </c>
      <c r="M115" s="34" t="str">
        <f t="shared" si="13"/>
        <v/>
      </c>
      <c r="N115" s="33" t="str">
        <f>IF($A115="","",SUMIFS(SERVIZI!$M:$M,SERVIZI!$B:$B,$A115))</f>
        <v/>
      </c>
      <c r="O115" s="34" t="str">
        <f>IF($A115="","",SUMIFS(SERVIZI!$AC:$AC,SERVIZI!$B:$B,$A115))</f>
        <v/>
      </c>
      <c r="P115" s="34" t="str">
        <f t="shared" si="14"/>
        <v/>
      </c>
      <c r="Q115" s="35" t="str">
        <f t="shared" si="15"/>
        <v/>
      </c>
      <c r="R115" s="34" t="str">
        <f>IF($A115="","",SUMIFS(SERVIZI!$AK:$AK,SERVIZI!$B:$B,$A115))</f>
        <v/>
      </c>
      <c r="S115" s="34" t="str">
        <f>IF($A115="","",$J115-SUMIFS(SERVIZI!$AJ:$AJ,SERVIZI!$B:$B,$A115))</f>
        <v/>
      </c>
      <c r="T115" s="36" t="str">
        <f>IF($A115="","",IF($K115&lt;&gt;"OK","QUOTE NON QUADRATE",IF(COUNTIFS(SERVIZI!$B:$B,$A115,SERVIZI!$AN:$AN,"OK")&lt;$I115,"VERIFICARE SERVIZI","OK")))</f>
        <v/>
      </c>
    </row>
    <row r="116" spans="1:20" x14ac:dyDescent="0.3">
      <c r="A116" s="42"/>
      <c r="B116" s="42"/>
      <c r="C116" s="42"/>
      <c r="D116" s="42"/>
      <c r="E116" s="43"/>
      <c r="F116" s="43"/>
      <c r="G116" s="42"/>
      <c r="H116" s="44"/>
      <c r="I116" s="33" t="str">
        <f>IF($A116="","",COUNTIFS(SERVIZI!$B:$B,$A116))</f>
        <v/>
      </c>
      <c r="J116" s="34" t="str">
        <f>IF($A116="","",SUMIFS(SERVIZI!$Q:$Q,SERVIZI!$B:$B,$A116))</f>
        <v/>
      </c>
      <c r="K116" s="36" t="str">
        <f t="shared" si="12"/>
        <v/>
      </c>
      <c r="L116" s="34" t="str">
        <f>IF($A116="","",SUMIFS(SERVIZI!$P:$P,SERVIZI!$B:$B,$A116))</f>
        <v/>
      </c>
      <c r="M116" s="34" t="str">
        <f t="shared" si="13"/>
        <v/>
      </c>
      <c r="N116" s="33" t="str">
        <f>IF($A116="","",SUMIFS(SERVIZI!$M:$M,SERVIZI!$B:$B,$A116))</f>
        <v/>
      </c>
      <c r="O116" s="34" t="str">
        <f>IF($A116="","",SUMIFS(SERVIZI!$AC:$AC,SERVIZI!$B:$B,$A116))</f>
        <v/>
      </c>
      <c r="P116" s="34" t="str">
        <f t="shared" si="14"/>
        <v/>
      </c>
      <c r="Q116" s="35" t="str">
        <f t="shared" si="15"/>
        <v/>
      </c>
      <c r="R116" s="34" t="str">
        <f>IF($A116="","",SUMIFS(SERVIZI!$AK:$AK,SERVIZI!$B:$B,$A116))</f>
        <v/>
      </c>
      <c r="S116" s="34" t="str">
        <f>IF($A116="","",$J116-SUMIFS(SERVIZI!$AJ:$AJ,SERVIZI!$B:$B,$A116))</f>
        <v/>
      </c>
      <c r="T116" s="36" t="str">
        <f>IF($A116="","",IF($K116&lt;&gt;"OK","QUOTE NON QUADRATE",IF(COUNTIFS(SERVIZI!$B:$B,$A116,SERVIZI!$AN:$AN,"OK")&lt;$I116,"VERIFICARE SERVIZI","OK")))</f>
        <v/>
      </c>
    </row>
    <row r="117" spans="1:20" x14ac:dyDescent="0.3">
      <c r="A117" s="42"/>
      <c r="B117" s="42"/>
      <c r="C117" s="42"/>
      <c r="D117" s="42"/>
      <c r="E117" s="43"/>
      <c r="F117" s="43"/>
      <c r="G117" s="42"/>
      <c r="H117" s="44"/>
      <c r="I117" s="33" t="str">
        <f>IF($A117="","",COUNTIFS(SERVIZI!$B:$B,$A117))</f>
        <v/>
      </c>
      <c r="J117" s="34" t="str">
        <f>IF($A117="","",SUMIFS(SERVIZI!$Q:$Q,SERVIZI!$B:$B,$A117))</f>
        <v/>
      </c>
      <c r="K117" s="36" t="str">
        <f t="shared" si="12"/>
        <v/>
      </c>
      <c r="L117" s="34" t="str">
        <f>IF($A117="","",SUMIFS(SERVIZI!$P:$P,SERVIZI!$B:$B,$A117))</f>
        <v/>
      </c>
      <c r="M117" s="34" t="str">
        <f t="shared" si="13"/>
        <v/>
      </c>
      <c r="N117" s="33" t="str">
        <f>IF($A117="","",SUMIFS(SERVIZI!$M:$M,SERVIZI!$B:$B,$A117))</f>
        <v/>
      </c>
      <c r="O117" s="34" t="str">
        <f>IF($A117="","",SUMIFS(SERVIZI!$AC:$AC,SERVIZI!$B:$B,$A117))</f>
        <v/>
      </c>
      <c r="P117" s="34" t="str">
        <f t="shared" si="14"/>
        <v/>
      </c>
      <c r="Q117" s="35" t="str">
        <f t="shared" si="15"/>
        <v/>
      </c>
      <c r="R117" s="34" t="str">
        <f>IF($A117="","",SUMIFS(SERVIZI!$AK:$AK,SERVIZI!$B:$B,$A117))</f>
        <v/>
      </c>
      <c r="S117" s="34" t="str">
        <f>IF($A117="","",$J117-SUMIFS(SERVIZI!$AJ:$AJ,SERVIZI!$B:$B,$A117))</f>
        <v/>
      </c>
      <c r="T117" s="36" t="str">
        <f>IF($A117="","",IF($K117&lt;&gt;"OK","QUOTE NON QUADRATE",IF(COUNTIFS(SERVIZI!$B:$B,$A117,SERVIZI!$AN:$AN,"OK")&lt;$I117,"VERIFICARE SERVIZI","OK")))</f>
        <v/>
      </c>
    </row>
    <row r="118" spans="1:20" x14ac:dyDescent="0.3">
      <c r="A118" s="42"/>
      <c r="B118" s="42"/>
      <c r="C118" s="42"/>
      <c r="D118" s="42"/>
      <c r="E118" s="43"/>
      <c r="F118" s="43"/>
      <c r="G118" s="42"/>
      <c r="H118" s="44"/>
      <c r="I118" s="33" t="str">
        <f>IF($A118="","",COUNTIFS(SERVIZI!$B:$B,$A118))</f>
        <v/>
      </c>
      <c r="J118" s="34" t="str">
        <f>IF($A118="","",SUMIFS(SERVIZI!$Q:$Q,SERVIZI!$B:$B,$A118))</f>
        <v/>
      </c>
      <c r="K118" s="36" t="str">
        <f t="shared" si="12"/>
        <v/>
      </c>
      <c r="L118" s="34" t="str">
        <f>IF($A118="","",SUMIFS(SERVIZI!$P:$P,SERVIZI!$B:$B,$A118))</f>
        <v/>
      </c>
      <c r="M118" s="34" t="str">
        <f t="shared" si="13"/>
        <v/>
      </c>
      <c r="N118" s="33" t="str">
        <f>IF($A118="","",SUMIFS(SERVIZI!$M:$M,SERVIZI!$B:$B,$A118))</f>
        <v/>
      </c>
      <c r="O118" s="34" t="str">
        <f>IF($A118="","",SUMIFS(SERVIZI!$AC:$AC,SERVIZI!$B:$B,$A118))</f>
        <v/>
      </c>
      <c r="P118" s="34" t="str">
        <f t="shared" si="14"/>
        <v/>
      </c>
      <c r="Q118" s="35" t="str">
        <f t="shared" si="15"/>
        <v/>
      </c>
      <c r="R118" s="34" t="str">
        <f>IF($A118="","",SUMIFS(SERVIZI!$AK:$AK,SERVIZI!$B:$B,$A118))</f>
        <v/>
      </c>
      <c r="S118" s="34" t="str">
        <f>IF($A118="","",$J118-SUMIFS(SERVIZI!$AJ:$AJ,SERVIZI!$B:$B,$A118))</f>
        <v/>
      </c>
      <c r="T118" s="36" t="str">
        <f>IF($A118="","",IF($K118&lt;&gt;"OK","QUOTE NON QUADRATE",IF(COUNTIFS(SERVIZI!$B:$B,$A118,SERVIZI!$AN:$AN,"OK")&lt;$I118,"VERIFICARE SERVIZI","OK")))</f>
        <v/>
      </c>
    </row>
    <row r="119" spans="1:20" x14ac:dyDescent="0.3">
      <c r="A119" s="42"/>
      <c r="B119" s="42"/>
      <c r="C119" s="42"/>
      <c r="D119" s="42"/>
      <c r="E119" s="43"/>
      <c r="F119" s="43"/>
      <c r="G119" s="42"/>
      <c r="H119" s="44"/>
      <c r="I119" s="33" t="str">
        <f>IF($A119="","",COUNTIFS(SERVIZI!$B:$B,$A119))</f>
        <v/>
      </c>
      <c r="J119" s="34" t="str">
        <f>IF($A119="","",SUMIFS(SERVIZI!$Q:$Q,SERVIZI!$B:$B,$A119))</f>
        <v/>
      </c>
      <c r="K119" s="36" t="str">
        <f t="shared" si="12"/>
        <v/>
      </c>
      <c r="L119" s="34" t="str">
        <f>IF($A119="","",SUMIFS(SERVIZI!$P:$P,SERVIZI!$B:$B,$A119))</f>
        <v/>
      </c>
      <c r="M119" s="34" t="str">
        <f t="shared" si="13"/>
        <v/>
      </c>
      <c r="N119" s="33" t="str">
        <f>IF($A119="","",SUMIFS(SERVIZI!$M:$M,SERVIZI!$B:$B,$A119))</f>
        <v/>
      </c>
      <c r="O119" s="34" t="str">
        <f>IF($A119="","",SUMIFS(SERVIZI!$AC:$AC,SERVIZI!$B:$B,$A119))</f>
        <v/>
      </c>
      <c r="P119" s="34" t="str">
        <f t="shared" si="14"/>
        <v/>
      </c>
      <c r="Q119" s="35" t="str">
        <f t="shared" si="15"/>
        <v/>
      </c>
      <c r="R119" s="34" t="str">
        <f>IF($A119="","",SUMIFS(SERVIZI!$AK:$AK,SERVIZI!$B:$B,$A119))</f>
        <v/>
      </c>
      <c r="S119" s="34" t="str">
        <f>IF($A119="","",$J119-SUMIFS(SERVIZI!$AJ:$AJ,SERVIZI!$B:$B,$A119))</f>
        <v/>
      </c>
      <c r="T119" s="36" t="str">
        <f>IF($A119="","",IF($K119&lt;&gt;"OK","QUOTE NON QUADRATE",IF(COUNTIFS(SERVIZI!$B:$B,$A119,SERVIZI!$AN:$AN,"OK")&lt;$I119,"VERIFICARE SERVIZI","OK")))</f>
        <v/>
      </c>
    </row>
    <row r="120" spans="1:20" x14ac:dyDescent="0.3">
      <c r="A120" s="42"/>
      <c r="B120" s="42"/>
      <c r="C120" s="42"/>
      <c r="D120" s="42"/>
      <c r="E120" s="43"/>
      <c r="F120" s="43"/>
      <c r="G120" s="42"/>
      <c r="H120" s="44"/>
      <c r="I120" s="33" t="str">
        <f>IF($A120="","",COUNTIFS(SERVIZI!$B:$B,$A120))</f>
        <v/>
      </c>
      <c r="J120" s="34" t="str">
        <f>IF($A120="","",SUMIFS(SERVIZI!$Q:$Q,SERVIZI!$B:$B,$A120))</f>
        <v/>
      </c>
      <c r="K120" s="36" t="str">
        <f t="shared" si="12"/>
        <v/>
      </c>
      <c r="L120" s="34" t="str">
        <f>IF($A120="","",SUMIFS(SERVIZI!$P:$P,SERVIZI!$B:$B,$A120))</f>
        <v/>
      </c>
      <c r="M120" s="34" t="str">
        <f t="shared" si="13"/>
        <v/>
      </c>
      <c r="N120" s="33" t="str">
        <f>IF($A120="","",SUMIFS(SERVIZI!$M:$M,SERVIZI!$B:$B,$A120))</f>
        <v/>
      </c>
      <c r="O120" s="34" t="str">
        <f>IF($A120="","",SUMIFS(SERVIZI!$AC:$AC,SERVIZI!$B:$B,$A120))</f>
        <v/>
      </c>
      <c r="P120" s="34" t="str">
        <f t="shared" si="14"/>
        <v/>
      </c>
      <c r="Q120" s="35" t="str">
        <f t="shared" si="15"/>
        <v/>
      </c>
      <c r="R120" s="34" t="str">
        <f>IF($A120="","",SUMIFS(SERVIZI!$AK:$AK,SERVIZI!$B:$B,$A120))</f>
        <v/>
      </c>
      <c r="S120" s="34" t="str">
        <f>IF($A120="","",$J120-SUMIFS(SERVIZI!$AJ:$AJ,SERVIZI!$B:$B,$A120))</f>
        <v/>
      </c>
      <c r="T120" s="36" t="str">
        <f>IF($A120="","",IF($K120&lt;&gt;"OK","QUOTE NON QUADRATE",IF(COUNTIFS(SERVIZI!$B:$B,$A120,SERVIZI!$AN:$AN,"OK")&lt;$I120,"VERIFICARE SERVIZI","OK")))</f>
        <v/>
      </c>
    </row>
    <row r="121" spans="1:20" x14ac:dyDescent="0.3">
      <c r="A121" s="42"/>
      <c r="B121" s="42"/>
      <c r="C121" s="42"/>
      <c r="D121" s="42"/>
      <c r="E121" s="43"/>
      <c r="F121" s="43"/>
      <c r="G121" s="42"/>
      <c r="H121" s="44"/>
      <c r="I121" s="33" t="str">
        <f>IF($A121="","",COUNTIFS(SERVIZI!$B:$B,$A121))</f>
        <v/>
      </c>
      <c r="J121" s="34" t="str">
        <f>IF($A121="","",SUMIFS(SERVIZI!$Q:$Q,SERVIZI!$B:$B,$A121))</f>
        <v/>
      </c>
      <c r="K121" s="36" t="str">
        <f t="shared" si="12"/>
        <v/>
      </c>
      <c r="L121" s="34" t="str">
        <f>IF($A121="","",SUMIFS(SERVIZI!$P:$P,SERVIZI!$B:$B,$A121))</f>
        <v/>
      </c>
      <c r="M121" s="34" t="str">
        <f t="shared" si="13"/>
        <v/>
      </c>
      <c r="N121" s="33" t="str">
        <f>IF($A121="","",SUMIFS(SERVIZI!$M:$M,SERVIZI!$B:$B,$A121))</f>
        <v/>
      </c>
      <c r="O121" s="34" t="str">
        <f>IF($A121="","",SUMIFS(SERVIZI!$AC:$AC,SERVIZI!$B:$B,$A121))</f>
        <v/>
      </c>
      <c r="P121" s="34" t="str">
        <f t="shared" si="14"/>
        <v/>
      </c>
      <c r="Q121" s="35" t="str">
        <f t="shared" si="15"/>
        <v/>
      </c>
      <c r="R121" s="34" t="str">
        <f>IF($A121="","",SUMIFS(SERVIZI!$AK:$AK,SERVIZI!$B:$B,$A121))</f>
        <v/>
      </c>
      <c r="S121" s="34" t="str">
        <f>IF($A121="","",$J121-SUMIFS(SERVIZI!$AJ:$AJ,SERVIZI!$B:$B,$A121))</f>
        <v/>
      </c>
      <c r="T121" s="36" t="str">
        <f>IF($A121="","",IF($K121&lt;&gt;"OK","QUOTE NON QUADRATE",IF(COUNTIFS(SERVIZI!$B:$B,$A121,SERVIZI!$AN:$AN,"OK")&lt;$I121,"VERIFICARE SERVIZI","OK")))</f>
        <v/>
      </c>
    </row>
    <row r="122" spans="1:20" x14ac:dyDescent="0.3">
      <c r="A122" s="42"/>
      <c r="B122" s="42"/>
      <c r="C122" s="42"/>
      <c r="D122" s="42"/>
      <c r="E122" s="43"/>
      <c r="F122" s="43"/>
      <c r="G122" s="42"/>
      <c r="H122" s="44"/>
      <c r="I122" s="33" t="str">
        <f>IF($A122="","",COUNTIFS(SERVIZI!$B:$B,$A122))</f>
        <v/>
      </c>
      <c r="J122" s="34" t="str">
        <f>IF($A122="","",SUMIFS(SERVIZI!$Q:$Q,SERVIZI!$B:$B,$A122))</f>
        <v/>
      </c>
      <c r="K122" s="36" t="str">
        <f t="shared" si="12"/>
        <v/>
      </c>
      <c r="L122" s="34" t="str">
        <f>IF($A122="","",SUMIFS(SERVIZI!$P:$P,SERVIZI!$B:$B,$A122))</f>
        <v/>
      </c>
      <c r="M122" s="34" t="str">
        <f t="shared" si="13"/>
        <v/>
      </c>
      <c r="N122" s="33" t="str">
        <f>IF($A122="","",SUMIFS(SERVIZI!$M:$M,SERVIZI!$B:$B,$A122))</f>
        <v/>
      </c>
      <c r="O122" s="34" t="str">
        <f>IF($A122="","",SUMIFS(SERVIZI!$AC:$AC,SERVIZI!$B:$B,$A122))</f>
        <v/>
      </c>
      <c r="P122" s="34" t="str">
        <f t="shared" si="14"/>
        <v/>
      </c>
      <c r="Q122" s="35" t="str">
        <f t="shared" si="15"/>
        <v/>
      </c>
      <c r="R122" s="34" t="str">
        <f>IF($A122="","",SUMIFS(SERVIZI!$AK:$AK,SERVIZI!$B:$B,$A122))</f>
        <v/>
      </c>
      <c r="S122" s="34" t="str">
        <f>IF($A122="","",$J122-SUMIFS(SERVIZI!$AJ:$AJ,SERVIZI!$B:$B,$A122))</f>
        <v/>
      </c>
      <c r="T122" s="36" t="str">
        <f>IF($A122="","",IF($K122&lt;&gt;"OK","QUOTE NON QUADRATE",IF(COUNTIFS(SERVIZI!$B:$B,$A122,SERVIZI!$AN:$AN,"OK")&lt;$I122,"VERIFICARE SERVIZI","OK")))</f>
        <v/>
      </c>
    </row>
    <row r="123" spans="1:20" x14ac:dyDescent="0.3">
      <c r="A123" s="42"/>
      <c r="B123" s="42"/>
      <c r="C123" s="42"/>
      <c r="D123" s="42"/>
      <c r="E123" s="43"/>
      <c r="F123" s="43"/>
      <c r="G123" s="42"/>
      <c r="H123" s="44"/>
      <c r="I123" s="33" t="str">
        <f>IF($A123="","",COUNTIFS(SERVIZI!$B:$B,$A123))</f>
        <v/>
      </c>
      <c r="J123" s="34" t="str">
        <f>IF($A123="","",SUMIFS(SERVIZI!$Q:$Q,SERVIZI!$B:$B,$A123))</f>
        <v/>
      </c>
      <c r="K123" s="36" t="str">
        <f t="shared" si="12"/>
        <v/>
      </c>
      <c r="L123" s="34" t="str">
        <f>IF($A123="","",SUMIFS(SERVIZI!$P:$P,SERVIZI!$B:$B,$A123))</f>
        <v/>
      </c>
      <c r="M123" s="34" t="str">
        <f t="shared" si="13"/>
        <v/>
      </c>
      <c r="N123" s="33" t="str">
        <f>IF($A123="","",SUMIFS(SERVIZI!$M:$M,SERVIZI!$B:$B,$A123))</f>
        <v/>
      </c>
      <c r="O123" s="34" t="str">
        <f>IF($A123="","",SUMIFS(SERVIZI!$AC:$AC,SERVIZI!$B:$B,$A123))</f>
        <v/>
      </c>
      <c r="P123" s="34" t="str">
        <f t="shared" si="14"/>
        <v/>
      </c>
      <c r="Q123" s="35" t="str">
        <f t="shared" si="15"/>
        <v/>
      </c>
      <c r="R123" s="34" t="str">
        <f>IF($A123="","",SUMIFS(SERVIZI!$AK:$AK,SERVIZI!$B:$B,$A123))</f>
        <v/>
      </c>
      <c r="S123" s="34" t="str">
        <f>IF($A123="","",$J123-SUMIFS(SERVIZI!$AJ:$AJ,SERVIZI!$B:$B,$A123))</f>
        <v/>
      </c>
      <c r="T123" s="36" t="str">
        <f>IF($A123="","",IF($K123&lt;&gt;"OK","QUOTE NON QUADRATE",IF(COUNTIFS(SERVIZI!$B:$B,$A123,SERVIZI!$AN:$AN,"OK")&lt;$I123,"VERIFICARE SERVIZI","OK")))</f>
        <v/>
      </c>
    </row>
    <row r="124" spans="1:20" x14ac:dyDescent="0.3">
      <c r="A124" s="42"/>
      <c r="B124" s="42"/>
      <c r="C124" s="42"/>
      <c r="D124" s="42"/>
      <c r="E124" s="43"/>
      <c r="F124" s="43"/>
      <c r="G124" s="42"/>
      <c r="H124" s="44"/>
      <c r="I124" s="33" t="str">
        <f>IF($A124="","",COUNTIFS(SERVIZI!$B:$B,$A124))</f>
        <v/>
      </c>
      <c r="J124" s="34" t="str">
        <f>IF($A124="","",SUMIFS(SERVIZI!$Q:$Q,SERVIZI!$B:$B,$A124))</f>
        <v/>
      </c>
      <c r="K124" s="36" t="str">
        <f t="shared" si="12"/>
        <v/>
      </c>
      <c r="L124" s="34" t="str">
        <f>IF($A124="","",SUMIFS(SERVIZI!$P:$P,SERVIZI!$B:$B,$A124))</f>
        <v/>
      </c>
      <c r="M124" s="34" t="str">
        <f t="shared" si="13"/>
        <v/>
      </c>
      <c r="N124" s="33" t="str">
        <f>IF($A124="","",SUMIFS(SERVIZI!$M:$M,SERVIZI!$B:$B,$A124))</f>
        <v/>
      </c>
      <c r="O124" s="34" t="str">
        <f>IF($A124="","",SUMIFS(SERVIZI!$AC:$AC,SERVIZI!$B:$B,$A124))</f>
        <v/>
      </c>
      <c r="P124" s="34" t="str">
        <f t="shared" si="14"/>
        <v/>
      </c>
      <c r="Q124" s="35" t="str">
        <f t="shared" si="15"/>
        <v/>
      </c>
      <c r="R124" s="34" t="str">
        <f>IF($A124="","",SUMIFS(SERVIZI!$AK:$AK,SERVIZI!$B:$B,$A124))</f>
        <v/>
      </c>
      <c r="S124" s="34" t="str">
        <f>IF($A124="","",$J124-SUMIFS(SERVIZI!$AJ:$AJ,SERVIZI!$B:$B,$A124))</f>
        <v/>
      </c>
      <c r="T124" s="36" t="str">
        <f>IF($A124="","",IF($K124&lt;&gt;"OK","QUOTE NON QUADRATE",IF(COUNTIFS(SERVIZI!$B:$B,$A124,SERVIZI!$AN:$AN,"OK")&lt;$I124,"VERIFICARE SERVIZI","OK")))</f>
        <v/>
      </c>
    </row>
    <row r="125" spans="1:20" x14ac:dyDescent="0.3">
      <c r="A125" s="42"/>
      <c r="B125" s="42"/>
      <c r="C125" s="42"/>
      <c r="D125" s="42"/>
      <c r="E125" s="43"/>
      <c r="F125" s="43"/>
      <c r="G125" s="42"/>
      <c r="H125" s="44"/>
      <c r="I125" s="33" t="str">
        <f>IF($A125="","",COUNTIFS(SERVIZI!$B:$B,$A125))</f>
        <v/>
      </c>
      <c r="J125" s="34" t="str">
        <f>IF($A125="","",SUMIFS(SERVIZI!$Q:$Q,SERVIZI!$B:$B,$A125))</f>
        <v/>
      </c>
      <c r="K125" s="36" t="str">
        <f t="shared" si="12"/>
        <v/>
      </c>
      <c r="L125" s="34" t="str">
        <f>IF($A125="","",SUMIFS(SERVIZI!$P:$P,SERVIZI!$B:$B,$A125))</f>
        <v/>
      </c>
      <c r="M125" s="34" t="str">
        <f t="shared" si="13"/>
        <v/>
      </c>
      <c r="N125" s="33" t="str">
        <f>IF($A125="","",SUMIFS(SERVIZI!$M:$M,SERVIZI!$B:$B,$A125))</f>
        <v/>
      </c>
      <c r="O125" s="34" t="str">
        <f>IF($A125="","",SUMIFS(SERVIZI!$AC:$AC,SERVIZI!$B:$B,$A125))</f>
        <v/>
      </c>
      <c r="P125" s="34" t="str">
        <f t="shared" si="14"/>
        <v/>
      </c>
      <c r="Q125" s="35" t="str">
        <f t="shared" si="15"/>
        <v/>
      </c>
      <c r="R125" s="34" t="str">
        <f>IF($A125="","",SUMIFS(SERVIZI!$AK:$AK,SERVIZI!$B:$B,$A125))</f>
        <v/>
      </c>
      <c r="S125" s="34" t="str">
        <f>IF($A125="","",$J125-SUMIFS(SERVIZI!$AJ:$AJ,SERVIZI!$B:$B,$A125))</f>
        <v/>
      </c>
      <c r="T125" s="36" t="str">
        <f>IF($A125="","",IF($K125&lt;&gt;"OK","QUOTE NON QUADRATE",IF(COUNTIFS(SERVIZI!$B:$B,$A125,SERVIZI!$AN:$AN,"OK")&lt;$I125,"VERIFICARE SERVIZI","OK")))</f>
        <v/>
      </c>
    </row>
    <row r="126" spans="1:20" x14ac:dyDescent="0.3">
      <c r="A126" s="42"/>
      <c r="B126" s="42"/>
      <c r="C126" s="42"/>
      <c r="D126" s="42"/>
      <c r="E126" s="43"/>
      <c r="F126" s="43"/>
      <c r="G126" s="42"/>
      <c r="H126" s="44"/>
      <c r="I126" s="33" t="str">
        <f>IF($A126="","",COUNTIFS(SERVIZI!$B:$B,$A126))</f>
        <v/>
      </c>
      <c r="J126" s="34" t="str">
        <f>IF($A126="","",SUMIFS(SERVIZI!$Q:$Q,SERVIZI!$B:$B,$A126))</f>
        <v/>
      </c>
      <c r="K126" s="36" t="str">
        <f t="shared" si="12"/>
        <v/>
      </c>
      <c r="L126" s="34" t="str">
        <f>IF($A126="","",SUMIFS(SERVIZI!$P:$P,SERVIZI!$B:$B,$A126))</f>
        <v/>
      </c>
      <c r="M126" s="34" t="str">
        <f t="shared" si="13"/>
        <v/>
      </c>
      <c r="N126" s="33" t="str">
        <f>IF($A126="","",SUMIFS(SERVIZI!$M:$M,SERVIZI!$B:$B,$A126))</f>
        <v/>
      </c>
      <c r="O126" s="34" t="str">
        <f>IF($A126="","",SUMIFS(SERVIZI!$AC:$AC,SERVIZI!$B:$B,$A126))</f>
        <v/>
      </c>
      <c r="P126" s="34" t="str">
        <f t="shared" si="14"/>
        <v/>
      </c>
      <c r="Q126" s="35" t="str">
        <f t="shared" si="15"/>
        <v/>
      </c>
      <c r="R126" s="34" t="str">
        <f>IF($A126="","",SUMIFS(SERVIZI!$AK:$AK,SERVIZI!$B:$B,$A126))</f>
        <v/>
      </c>
      <c r="S126" s="34" t="str">
        <f>IF($A126="","",$J126-SUMIFS(SERVIZI!$AJ:$AJ,SERVIZI!$B:$B,$A126))</f>
        <v/>
      </c>
      <c r="T126" s="36" t="str">
        <f>IF($A126="","",IF($K126&lt;&gt;"OK","QUOTE NON QUADRATE",IF(COUNTIFS(SERVIZI!$B:$B,$A126,SERVIZI!$AN:$AN,"OK")&lt;$I126,"VERIFICARE SERVIZI","OK")))</f>
        <v/>
      </c>
    </row>
    <row r="127" spans="1:20" x14ac:dyDescent="0.3">
      <c r="A127" s="42"/>
      <c r="B127" s="42"/>
      <c r="C127" s="42"/>
      <c r="D127" s="42"/>
      <c r="E127" s="43"/>
      <c r="F127" s="43"/>
      <c r="G127" s="42"/>
      <c r="H127" s="44"/>
      <c r="I127" s="33" t="str">
        <f>IF($A127="","",COUNTIFS(SERVIZI!$B:$B,$A127))</f>
        <v/>
      </c>
      <c r="J127" s="34" t="str">
        <f>IF($A127="","",SUMIFS(SERVIZI!$Q:$Q,SERVIZI!$B:$B,$A127))</f>
        <v/>
      </c>
      <c r="K127" s="36" t="str">
        <f t="shared" si="12"/>
        <v/>
      </c>
      <c r="L127" s="34" t="str">
        <f>IF($A127="","",SUMIFS(SERVIZI!$P:$P,SERVIZI!$B:$B,$A127))</f>
        <v/>
      </c>
      <c r="M127" s="34" t="str">
        <f t="shared" si="13"/>
        <v/>
      </c>
      <c r="N127" s="33" t="str">
        <f>IF($A127="","",SUMIFS(SERVIZI!$M:$M,SERVIZI!$B:$B,$A127))</f>
        <v/>
      </c>
      <c r="O127" s="34" t="str">
        <f>IF($A127="","",SUMIFS(SERVIZI!$AC:$AC,SERVIZI!$B:$B,$A127))</f>
        <v/>
      </c>
      <c r="P127" s="34" t="str">
        <f t="shared" si="14"/>
        <v/>
      </c>
      <c r="Q127" s="35" t="str">
        <f t="shared" si="15"/>
        <v/>
      </c>
      <c r="R127" s="34" t="str">
        <f>IF($A127="","",SUMIFS(SERVIZI!$AK:$AK,SERVIZI!$B:$B,$A127))</f>
        <v/>
      </c>
      <c r="S127" s="34" t="str">
        <f>IF($A127="","",$J127-SUMIFS(SERVIZI!$AJ:$AJ,SERVIZI!$B:$B,$A127))</f>
        <v/>
      </c>
      <c r="T127" s="36" t="str">
        <f>IF($A127="","",IF($K127&lt;&gt;"OK","QUOTE NON QUADRATE",IF(COUNTIFS(SERVIZI!$B:$B,$A127,SERVIZI!$AN:$AN,"OK")&lt;$I127,"VERIFICARE SERVIZI","OK")))</f>
        <v/>
      </c>
    </row>
    <row r="128" spans="1:20" x14ac:dyDescent="0.3">
      <c r="A128" s="42"/>
      <c r="B128" s="42"/>
      <c r="C128" s="42"/>
      <c r="D128" s="42"/>
      <c r="E128" s="43"/>
      <c r="F128" s="43"/>
      <c r="G128" s="42"/>
      <c r="H128" s="44"/>
      <c r="I128" s="33" t="str">
        <f>IF($A128="","",COUNTIFS(SERVIZI!$B:$B,$A128))</f>
        <v/>
      </c>
      <c r="J128" s="34" t="str">
        <f>IF($A128="","",SUMIFS(SERVIZI!$Q:$Q,SERVIZI!$B:$B,$A128))</f>
        <v/>
      </c>
      <c r="K128" s="36" t="str">
        <f t="shared" si="12"/>
        <v/>
      </c>
      <c r="L128" s="34" t="str">
        <f>IF($A128="","",SUMIFS(SERVIZI!$P:$P,SERVIZI!$B:$B,$A128))</f>
        <v/>
      </c>
      <c r="M128" s="34" t="str">
        <f t="shared" si="13"/>
        <v/>
      </c>
      <c r="N128" s="33" t="str">
        <f>IF($A128="","",SUMIFS(SERVIZI!$M:$M,SERVIZI!$B:$B,$A128))</f>
        <v/>
      </c>
      <c r="O128" s="34" t="str">
        <f>IF($A128="","",SUMIFS(SERVIZI!$AC:$AC,SERVIZI!$B:$B,$A128))</f>
        <v/>
      </c>
      <c r="P128" s="34" t="str">
        <f t="shared" si="14"/>
        <v/>
      </c>
      <c r="Q128" s="35" t="str">
        <f t="shared" si="15"/>
        <v/>
      </c>
      <c r="R128" s="34" t="str">
        <f>IF($A128="","",SUMIFS(SERVIZI!$AK:$AK,SERVIZI!$B:$B,$A128))</f>
        <v/>
      </c>
      <c r="S128" s="34" t="str">
        <f>IF($A128="","",$J128-SUMIFS(SERVIZI!$AJ:$AJ,SERVIZI!$B:$B,$A128))</f>
        <v/>
      </c>
      <c r="T128" s="36" t="str">
        <f>IF($A128="","",IF($K128&lt;&gt;"OK","QUOTE NON QUADRATE",IF(COUNTIFS(SERVIZI!$B:$B,$A128,SERVIZI!$AN:$AN,"OK")&lt;$I128,"VERIFICARE SERVIZI","OK")))</f>
        <v/>
      </c>
    </row>
    <row r="129" spans="1:20" x14ac:dyDescent="0.3">
      <c r="A129" s="42"/>
      <c r="B129" s="42"/>
      <c r="C129" s="42"/>
      <c r="D129" s="42"/>
      <c r="E129" s="43"/>
      <c r="F129" s="43"/>
      <c r="G129" s="42"/>
      <c r="H129" s="44"/>
      <c r="I129" s="33" t="str">
        <f>IF($A129="","",COUNTIFS(SERVIZI!$B:$B,$A129))</f>
        <v/>
      </c>
      <c r="J129" s="34" t="str">
        <f>IF($A129="","",SUMIFS(SERVIZI!$Q:$Q,SERVIZI!$B:$B,$A129))</f>
        <v/>
      </c>
      <c r="K129" s="36" t="str">
        <f t="shared" si="12"/>
        <v/>
      </c>
      <c r="L129" s="34" t="str">
        <f>IF($A129="","",SUMIFS(SERVIZI!$P:$P,SERVIZI!$B:$B,$A129))</f>
        <v/>
      </c>
      <c r="M129" s="34" t="str">
        <f t="shared" si="13"/>
        <v/>
      </c>
      <c r="N129" s="33" t="str">
        <f>IF($A129="","",SUMIFS(SERVIZI!$M:$M,SERVIZI!$B:$B,$A129))</f>
        <v/>
      </c>
      <c r="O129" s="34" t="str">
        <f>IF($A129="","",SUMIFS(SERVIZI!$AC:$AC,SERVIZI!$B:$B,$A129))</f>
        <v/>
      </c>
      <c r="P129" s="34" t="str">
        <f t="shared" si="14"/>
        <v/>
      </c>
      <c r="Q129" s="35" t="str">
        <f t="shared" si="15"/>
        <v/>
      </c>
      <c r="R129" s="34" t="str">
        <f>IF($A129="","",SUMIFS(SERVIZI!$AK:$AK,SERVIZI!$B:$B,$A129))</f>
        <v/>
      </c>
      <c r="S129" s="34" t="str">
        <f>IF($A129="","",$J129-SUMIFS(SERVIZI!$AJ:$AJ,SERVIZI!$B:$B,$A129))</f>
        <v/>
      </c>
      <c r="T129" s="36" t="str">
        <f>IF($A129="","",IF($K129&lt;&gt;"OK","QUOTE NON QUADRATE",IF(COUNTIFS(SERVIZI!$B:$B,$A129,SERVIZI!$AN:$AN,"OK")&lt;$I129,"VERIFICARE SERVIZI","OK")))</f>
        <v/>
      </c>
    </row>
    <row r="130" spans="1:20" x14ac:dyDescent="0.3">
      <c r="A130" s="42"/>
      <c r="B130" s="42"/>
      <c r="C130" s="42"/>
      <c r="D130" s="42"/>
      <c r="E130" s="43"/>
      <c r="F130" s="43"/>
      <c r="G130" s="42"/>
      <c r="H130" s="44"/>
      <c r="I130" s="33" t="str">
        <f>IF($A130="","",COUNTIFS(SERVIZI!$B:$B,$A130))</f>
        <v/>
      </c>
      <c r="J130" s="34" t="str">
        <f>IF($A130="","",SUMIFS(SERVIZI!$Q:$Q,SERVIZI!$B:$B,$A130))</f>
        <v/>
      </c>
      <c r="K130" s="36" t="str">
        <f t="shared" ref="K130:K161" si="16">IF($A130="","",IF(ABS($H130-$J130)&lt;1,"OK","DIFFERENZA "&amp;TEXT($H130-$J130,"#,##0")&amp;" €"))</f>
        <v/>
      </c>
      <c r="L130" s="34" t="str">
        <f>IF($A130="","",SUMIFS(SERVIZI!$P:$P,SERVIZI!$B:$B,$A130))</f>
        <v/>
      </c>
      <c r="M130" s="34" t="str">
        <f t="shared" ref="M130:M161" si="17">IF($A130="","",$J130-$L130)</f>
        <v/>
      </c>
      <c r="N130" s="33" t="str">
        <f>IF($A130="","",SUMIFS(SERVIZI!$M:$M,SERVIZI!$B:$B,$A130))</f>
        <v/>
      </c>
      <c r="O130" s="34" t="str">
        <f>IF($A130="","",SUMIFS(SERVIZI!$AC:$AC,SERVIZI!$B:$B,$A130))</f>
        <v/>
      </c>
      <c r="P130" s="34" t="str">
        <f t="shared" ref="P130:P161" si="18">IF($A130="","",$J130-$O130)</f>
        <v/>
      </c>
      <c r="Q130" s="35" t="str">
        <f t="shared" ref="Q130:Q161" si="19">IF($A130="","",IFERROR($P130/$J130,0))</f>
        <v/>
      </c>
      <c r="R130" s="34" t="str">
        <f>IF($A130="","",SUMIFS(SERVIZI!$AK:$AK,SERVIZI!$B:$B,$A130))</f>
        <v/>
      </c>
      <c r="S130" s="34" t="str">
        <f>IF($A130="","",$J130-SUMIFS(SERVIZI!$AJ:$AJ,SERVIZI!$B:$B,$A130))</f>
        <v/>
      </c>
      <c r="T130" s="36" t="str">
        <f>IF($A130="","",IF($K130&lt;&gt;"OK","QUOTE NON QUADRATE",IF(COUNTIFS(SERVIZI!$B:$B,$A130,SERVIZI!$AN:$AN,"OK")&lt;$I130,"VERIFICARE SERVIZI","OK")))</f>
        <v/>
      </c>
    </row>
    <row r="131" spans="1:20" x14ac:dyDescent="0.3">
      <c r="A131" s="42"/>
      <c r="B131" s="42"/>
      <c r="C131" s="42"/>
      <c r="D131" s="42"/>
      <c r="E131" s="43"/>
      <c r="F131" s="43"/>
      <c r="G131" s="42"/>
      <c r="H131" s="44"/>
      <c r="I131" s="33" t="str">
        <f>IF($A131="","",COUNTIFS(SERVIZI!$B:$B,$A131))</f>
        <v/>
      </c>
      <c r="J131" s="34" t="str">
        <f>IF($A131="","",SUMIFS(SERVIZI!$Q:$Q,SERVIZI!$B:$B,$A131))</f>
        <v/>
      </c>
      <c r="K131" s="36" t="str">
        <f t="shared" si="16"/>
        <v/>
      </c>
      <c r="L131" s="34" t="str">
        <f>IF($A131="","",SUMIFS(SERVIZI!$P:$P,SERVIZI!$B:$B,$A131))</f>
        <v/>
      </c>
      <c r="M131" s="34" t="str">
        <f t="shared" si="17"/>
        <v/>
      </c>
      <c r="N131" s="33" t="str">
        <f>IF($A131="","",SUMIFS(SERVIZI!$M:$M,SERVIZI!$B:$B,$A131))</f>
        <v/>
      </c>
      <c r="O131" s="34" t="str">
        <f>IF($A131="","",SUMIFS(SERVIZI!$AC:$AC,SERVIZI!$B:$B,$A131))</f>
        <v/>
      </c>
      <c r="P131" s="34" t="str">
        <f t="shared" si="18"/>
        <v/>
      </c>
      <c r="Q131" s="35" t="str">
        <f t="shared" si="19"/>
        <v/>
      </c>
      <c r="R131" s="34" t="str">
        <f>IF($A131="","",SUMIFS(SERVIZI!$AK:$AK,SERVIZI!$B:$B,$A131))</f>
        <v/>
      </c>
      <c r="S131" s="34" t="str">
        <f>IF($A131="","",$J131-SUMIFS(SERVIZI!$AJ:$AJ,SERVIZI!$B:$B,$A131))</f>
        <v/>
      </c>
      <c r="T131" s="36" t="str">
        <f>IF($A131="","",IF($K131&lt;&gt;"OK","QUOTE NON QUADRATE",IF(COUNTIFS(SERVIZI!$B:$B,$A131,SERVIZI!$AN:$AN,"OK")&lt;$I131,"VERIFICARE SERVIZI","OK")))</f>
        <v/>
      </c>
    </row>
    <row r="132" spans="1:20" x14ac:dyDescent="0.3">
      <c r="A132" s="42"/>
      <c r="B132" s="42"/>
      <c r="C132" s="42"/>
      <c r="D132" s="42"/>
      <c r="E132" s="43"/>
      <c r="F132" s="43"/>
      <c r="G132" s="42"/>
      <c r="H132" s="44"/>
      <c r="I132" s="33" t="str">
        <f>IF($A132="","",COUNTIFS(SERVIZI!$B:$B,$A132))</f>
        <v/>
      </c>
      <c r="J132" s="34" t="str">
        <f>IF($A132="","",SUMIFS(SERVIZI!$Q:$Q,SERVIZI!$B:$B,$A132))</f>
        <v/>
      </c>
      <c r="K132" s="36" t="str">
        <f t="shared" si="16"/>
        <v/>
      </c>
      <c r="L132" s="34" t="str">
        <f>IF($A132="","",SUMIFS(SERVIZI!$P:$P,SERVIZI!$B:$B,$A132))</f>
        <v/>
      </c>
      <c r="M132" s="34" t="str">
        <f t="shared" si="17"/>
        <v/>
      </c>
      <c r="N132" s="33" t="str">
        <f>IF($A132="","",SUMIFS(SERVIZI!$M:$M,SERVIZI!$B:$B,$A132))</f>
        <v/>
      </c>
      <c r="O132" s="34" t="str">
        <f>IF($A132="","",SUMIFS(SERVIZI!$AC:$AC,SERVIZI!$B:$B,$A132))</f>
        <v/>
      </c>
      <c r="P132" s="34" t="str">
        <f t="shared" si="18"/>
        <v/>
      </c>
      <c r="Q132" s="35" t="str">
        <f t="shared" si="19"/>
        <v/>
      </c>
      <c r="R132" s="34" t="str">
        <f>IF($A132="","",SUMIFS(SERVIZI!$AK:$AK,SERVIZI!$B:$B,$A132))</f>
        <v/>
      </c>
      <c r="S132" s="34" t="str">
        <f>IF($A132="","",$J132-SUMIFS(SERVIZI!$AJ:$AJ,SERVIZI!$B:$B,$A132))</f>
        <v/>
      </c>
      <c r="T132" s="36" t="str">
        <f>IF($A132="","",IF($K132&lt;&gt;"OK","QUOTE NON QUADRATE",IF(COUNTIFS(SERVIZI!$B:$B,$A132,SERVIZI!$AN:$AN,"OK")&lt;$I132,"VERIFICARE SERVIZI","OK")))</f>
        <v/>
      </c>
    </row>
    <row r="133" spans="1:20" x14ac:dyDescent="0.3">
      <c r="A133" s="42"/>
      <c r="B133" s="42"/>
      <c r="C133" s="42"/>
      <c r="D133" s="42"/>
      <c r="E133" s="43"/>
      <c r="F133" s="43"/>
      <c r="G133" s="42"/>
      <c r="H133" s="44"/>
      <c r="I133" s="33" t="str">
        <f>IF($A133="","",COUNTIFS(SERVIZI!$B:$B,$A133))</f>
        <v/>
      </c>
      <c r="J133" s="34" t="str">
        <f>IF($A133="","",SUMIFS(SERVIZI!$Q:$Q,SERVIZI!$B:$B,$A133))</f>
        <v/>
      </c>
      <c r="K133" s="36" t="str">
        <f t="shared" si="16"/>
        <v/>
      </c>
      <c r="L133" s="34" t="str">
        <f>IF($A133="","",SUMIFS(SERVIZI!$P:$P,SERVIZI!$B:$B,$A133))</f>
        <v/>
      </c>
      <c r="M133" s="34" t="str">
        <f t="shared" si="17"/>
        <v/>
      </c>
      <c r="N133" s="33" t="str">
        <f>IF($A133="","",SUMIFS(SERVIZI!$M:$M,SERVIZI!$B:$B,$A133))</f>
        <v/>
      </c>
      <c r="O133" s="34" t="str">
        <f>IF($A133="","",SUMIFS(SERVIZI!$AC:$AC,SERVIZI!$B:$B,$A133))</f>
        <v/>
      </c>
      <c r="P133" s="34" t="str">
        <f t="shared" si="18"/>
        <v/>
      </c>
      <c r="Q133" s="35" t="str">
        <f t="shared" si="19"/>
        <v/>
      </c>
      <c r="R133" s="34" t="str">
        <f>IF($A133="","",SUMIFS(SERVIZI!$AK:$AK,SERVIZI!$B:$B,$A133))</f>
        <v/>
      </c>
      <c r="S133" s="34" t="str">
        <f>IF($A133="","",$J133-SUMIFS(SERVIZI!$AJ:$AJ,SERVIZI!$B:$B,$A133))</f>
        <v/>
      </c>
      <c r="T133" s="36" t="str">
        <f>IF($A133="","",IF($K133&lt;&gt;"OK","QUOTE NON QUADRATE",IF(COUNTIFS(SERVIZI!$B:$B,$A133,SERVIZI!$AN:$AN,"OK")&lt;$I133,"VERIFICARE SERVIZI","OK")))</f>
        <v/>
      </c>
    </row>
    <row r="134" spans="1:20" x14ac:dyDescent="0.3">
      <c r="A134" s="42"/>
      <c r="B134" s="42"/>
      <c r="C134" s="42"/>
      <c r="D134" s="42"/>
      <c r="E134" s="43"/>
      <c r="F134" s="43"/>
      <c r="G134" s="42"/>
      <c r="H134" s="44"/>
      <c r="I134" s="33" t="str">
        <f>IF($A134="","",COUNTIFS(SERVIZI!$B:$B,$A134))</f>
        <v/>
      </c>
      <c r="J134" s="34" t="str">
        <f>IF($A134="","",SUMIFS(SERVIZI!$Q:$Q,SERVIZI!$B:$B,$A134))</f>
        <v/>
      </c>
      <c r="K134" s="36" t="str">
        <f t="shared" si="16"/>
        <v/>
      </c>
      <c r="L134" s="34" t="str">
        <f>IF($A134="","",SUMIFS(SERVIZI!$P:$P,SERVIZI!$B:$B,$A134))</f>
        <v/>
      </c>
      <c r="M134" s="34" t="str">
        <f t="shared" si="17"/>
        <v/>
      </c>
      <c r="N134" s="33" t="str">
        <f>IF($A134="","",SUMIFS(SERVIZI!$M:$M,SERVIZI!$B:$B,$A134))</f>
        <v/>
      </c>
      <c r="O134" s="34" t="str">
        <f>IF($A134="","",SUMIFS(SERVIZI!$AC:$AC,SERVIZI!$B:$B,$A134))</f>
        <v/>
      </c>
      <c r="P134" s="34" t="str">
        <f t="shared" si="18"/>
        <v/>
      </c>
      <c r="Q134" s="35" t="str">
        <f t="shared" si="19"/>
        <v/>
      </c>
      <c r="R134" s="34" t="str">
        <f>IF($A134="","",SUMIFS(SERVIZI!$AK:$AK,SERVIZI!$B:$B,$A134))</f>
        <v/>
      </c>
      <c r="S134" s="34" t="str">
        <f>IF($A134="","",$J134-SUMIFS(SERVIZI!$AJ:$AJ,SERVIZI!$B:$B,$A134))</f>
        <v/>
      </c>
      <c r="T134" s="36" t="str">
        <f>IF($A134="","",IF($K134&lt;&gt;"OK","QUOTE NON QUADRATE",IF(COUNTIFS(SERVIZI!$B:$B,$A134,SERVIZI!$AN:$AN,"OK")&lt;$I134,"VERIFICARE SERVIZI","OK")))</f>
        <v/>
      </c>
    </row>
    <row r="135" spans="1:20" x14ac:dyDescent="0.3">
      <c r="A135" s="42"/>
      <c r="B135" s="42"/>
      <c r="C135" s="42"/>
      <c r="D135" s="42"/>
      <c r="E135" s="43"/>
      <c r="F135" s="43"/>
      <c r="G135" s="42"/>
      <c r="H135" s="44"/>
      <c r="I135" s="33" t="str">
        <f>IF($A135="","",COUNTIFS(SERVIZI!$B:$B,$A135))</f>
        <v/>
      </c>
      <c r="J135" s="34" t="str">
        <f>IF($A135="","",SUMIFS(SERVIZI!$Q:$Q,SERVIZI!$B:$B,$A135))</f>
        <v/>
      </c>
      <c r="K135" s="36" t="str">
        <f t="shared" si="16"/>
        <v/>
      </c>
      <c r="L135" s="34" t="str">
        <f>IF($A135="","",SUMIFS(SERVIZI!$P:$P,SERVIZI!$B:$B,$A135))</f>
        <v/>
      </c>
      <c r="M135" s="34" t="str">
        <f t="shared" si="17"/>
        <v/>
      </c>
      <c r="N135" s="33" t="str">
        <f>IF($A135="","",SUMIFS(SERVIZI!$M:$M,SERVIZI!$B:$B,$A135))</f>
        <v/>
      </c>
      <c r="O135" s="34" t="str">
        <f>IF($A135="","",SUMIFS(SERVIZI!$AC:$AC,SERVIZI!$B:$B,$A135))</f>
        <v/>
      </c>
      <c r="P135" s="34" t="str">
        <f t="shared" si="18"/>
        <v/>
      </c>
      <c r="Q135" s="35" t="str">
        <f t="shared" si="19"/>
        <v/>
      </c>
      <c r="R135" s="34" t="str">
        <f>IF($A135="","",SUMIFS(SERVIZI!$AK:$AK,SERVIZI!$B:$B,$A135))</f>
        <v/>
      </c>
      <c r="S135" s="34" t="str">
        <f>IF($A135="","",$J135-SUMIFS(SERVIZI!$AJ:$AJ,SERVIZI!$B:$B,$A135))</f>
        <v/>
      </c>
      <c r="T135" s="36" t="str">
        <f>IF($A135="","",IF($K135&lt;&gt;"OK","QUOTE NON QUADRATE",IF(COUNTIFS(SERVIZI!$B:$B,$A135,SERVIZI!$AN:$AN,"OK")&lt;$I135,"VERIFICARE SERVIZI","OK")))</f>
        <v/>
      </c>
    </row>
    <row r="136" spans="1:20" x14ac:dyDescent="0.3">
      <c r="A136" s="42"/>
      <c r="B136" s="42"/>
      <c r="C136" s="42"/>
      <c r="D136" s="42"/>
      <c r="E136" s="43"/>
      <c r="F136" s="43"/>
      <c r="G136" s="42"/>
      <c r="H136" s="44"/>
      <c r="I136" s="33" t="str">
        <f>IF($A136="","",COUNTIFS(SERVIZI!$B:$B,$A136))</f>
        <v/>
      </c>
      <c r="J136" s="34" t="str">
        <f>IF($A136="","",SUMIFS(SERVIZI!$Q:$Q,SERVIZI!$B:$B,$A136))</f>
        <v/>
      </c>
      <c r="K136" s="36" t="str">
        <f t="shared" si="16"/>
        <v/>
      </c>
      <c r="L136" s="34" t="str">
        <f>IF($A136="","",SUMIFS(SERVIZI!$P:$P,SERVIZI!$B:$B,$A136))</f>
        <v/>
      </c>
      <c r="M136" s="34" t="str">
        <f t="shared" si="17"/>
        <v/>
      </c>
      <c r="N136" s="33" t="str">
        <f>IF($A136="","",SUMIFS(SERVIZI!$M:$M,SERVIZI!$B:$B,$A136))</f>
        <v/>
      </c>
      <c r="O136" s="34" t="str">
        <f>IF($A136="","",SUMIFS(SERVIZI!$AC:$AC,SERVIZI!$B:$B,$A136))</f>
        <v/>
      </c>
      <c r="P136" s="34" t="str">
        <f t="shared" si="18"/>
        <v/>
      </c>
      <c r="Q136" s="35" t="str">
        <f t="shared" si="19"/>
        <v/>
      </c>
      <c r="R136" s="34" t="str">
        <f>IF($A136="","",SUMIFS(SERVIZI!$AK:$AK,SERVIZI!$B:$B,$A136))</f>
        <v/>
      </c>
      <c r="S136" s="34" t="str">
        <f>IF($A136="","",$J136-SUMIFS(SERVIZI!$AJ:$AJ,SERVIZI!$B:$B,$A136))</f>
        <v/>
      </c>
      <c r="T136" s="36" t="str">
        <f>IF($A136="","",IF($K136&lt;&gt;"OK","QUOTE NON QUADRATE",IF(COUNTIFS(SERVIZI!$B:$B,$A136,SERVIZI!$AN:$AN,"OK")&lt;$I136,"VERIFICARE SERVIZI","OK")))</f>
        <v/>
      </c>
    </row>
    <row r="137" spans="1:20" x14ac:dyDescent="0.3">
      <c r="A137" s="42"/>
      <c r="B137" s="42"/>
      <c r="C137" s="42"/>
      <c r="D137" s="42"/>
      <c r="E137" s="43"/>
      <c r="F137" s="43"/>
      <c r="G137" s="42"/>
      <c r="H137" s="44"/>
      <c r="I137" s="33" t="str">
        <f>IF($A137="","",COUNTIFS(SERVIZI!$B:$B,$A137))</f>
        <v/>
      </c>
      <c r="J137" s="34" t="str">
        <f>IF($A137="","",SUMIFS(SERVIZI!$Q:$Q,SERVIZI!$B:$B,$A137))</f>
        <v/>
      </c>
      <c r="K137" s="36" t="str">
        <f t="shared" si="16"/>
        <v/>
      </c>
      <c r="L137" s="34" t="str">
        <f>IF($A137="","",SUMIFS(SERVIZI!$P:$P,SERVIZI!$B:$B,$A137))</f>
        <v/>
      </c>
      <c r="M137" s="34" t="str">
        <f t="shared" si="17"/>
        <v/>
      </c>
      <c r="N137" s="33" t="str">
        <f>IF($A137="","",SUMIFS(SERVIZI!$M:$M,SERVIZI!$B:$B,$A137))</f>
        <v/>
      </c>
      <c r="O137" s="34" t="str">
        <f>IF($A137="","",SUMIFS(SERVIZI!$AC:$AC,SERVIZI!$B:$B,$A137))</f>
        <v/>
      </c>
      <c r="P137" s="34" t="str">
        <f t="shared" si="18"/>
        <v/>
      </c>
      <c r="Q137" s="35" t="str">
        <f t="shared" si="19"/>
        <v/>
      </c>
      <c r="R137" s="34" t="str">
        <f>IF($A137="","",SUMIFS(SERVIZI!$AK:$AK,SERVIZI!$B:$B,$A137))</f>
        <v/>
      </c>
      <c r="S137" s="34" t="str">
        <f>IF($A137="","",$J137-SUMIFS(SERVIZI!$AJ:$AJ,SERVIZI!$B:$B,$A137))</f>
        <v/>
      </c>
      <c r="T137" s="36" t="str">
        <f>IF($A137="","",IF($K137&lt;&gt;"OK","QUOTE NON QUADRATE",IF(COUNTIFS(SERVIZI!$B:$B,$A137,SERVIZI!$AN:$AN,"OK")&lt;$I137,"VERIFICARE SERVIZI","OK")))</f>
        <v/>
      </c>
    </row>
    <row r="138" spans="1:20" x14ac:dyDescent="0.3">
      <c r="A138" s="42"/>
      <c r="B138" s="42"/>
      <c r="C138" s="42"/>
      <c r="D138" s="42"/>
      <c r="E138" s="43"/>
      <c r="F138" s="43"/>
      <c r="G138" s="42"/>
      <c r="H138" s="44"/>
      <c r="I138" s="33" t="str">
        <f>IF($A138="","",COUNTIFS(SERVIZI!$B:$B,$A138))</f>
        <v/>
      </c>
      <c r="J138" s="34" t="str">
        <f>IF($A138="","",SUMIFS(SERVIZI!$Q:$Q,SERVIZI!$B:$B,$A138))</f>
        <v/>
      </c>
      <c r="K138" s="36" t="str">
        <f t="shared" si="16"/>
        <v/>
      </c>
      <c r="L138" s="34" t="str">
        <f>IF($A138="","",SUMIFS(SERVIZI!$P:$P,SERVIZI!$B:$B,$A138))</f>
        <v/>
      </c>
      <c r="M138" s="34" t="str">
        <f t="shared" si="17"/>
        <v/>
      </c>
      <c r="N138" s="33" t="str">
        <f>IF($A138="","",SUMIFS(SERVIZI!$M:$M,SERVIZI!$B:$B,$A138))</f>
        <v/>
      </c>
      <c r="O138" s="34" t="str">
        <f>IF($A138="","",SUMIFS(SERVIZI!$AC:$AC,SERVIZI!$B:$B,$A138))</f>
        <v/>
      </c>
      <c r="P138" s="34" t="str">
        <f t="shared" si="18"/>
        <v/>
      </c>
      <c r="Q138" s="35" t="str">
        <f t="shared" si="19"/>
        <v/>
      </c>
      <c r="R138" s="34" t="str">
        <f>IF($A138="","",SUMIFS(SERVIZI!$AK:$AK,SERVIZI!$B:$B,$A138))</f>
        <v/>
      </c>
      <c r="S138" s="34" t="str">
        <f>IF($A138="","",$J138-SUMIFS(SERVIZI!$AJ:$AJ,SERVIZI!$B:$B,$A138))</f>
        <v/>
      </c>
      <c r="T138" s="36" t="str">
        <f>IF($A138="","",IF($K138&lt;&gt;"OK","QUOTE NON QUADRATE",IF(COUNTIFS(SERVIZI!$B:$B,$A138,SERVIZI!$AN:$AN,"OK")&lt;$I138,"VERIFICARE SERVIZI","OK")))</f>
        <v/>
      </c>
    </row>
    <row r="139" spans="1:20" x14ac:dyDescent="0.3">
      <c r="A139" s="42"/>
      <c r="B139" s="42"/>
      <c r="C139" s="42"/>
      <c r="D139" s="42"/>
      <c r="E139" s="43"/>
      <c r="F139" s="43"/>
      <c r="G139" s="42"/>
      <c r="H139" s="44"/>
      <c r="I139" s="33" t="str">
        <f>IF($A139="","",COUNTIFS(SERVIZI!$B:$B,$A139))</f>
        <v/>
      </c>
      <c r="J139" s="34" t="str">
        <f>IF($A139="","",SUMIFS(SERVIZI!$Q:$Q,SERVIZI!$B:$B,$A139))</f>
        <v/>
      </c>
      <c r="K139" s="36" t="str">
        <f t="shared" si="16"/>
        <v/>
      </c>
      <c r="L139" s="34" t="str">
        <f>IF($A139="","",SUMIFS(SERVIZI!$P:$P,SERVIZI!$B:$B,$A139))</f>
        <v/>
      </c>
      <c r="M139" s="34" t="str">
        <f t="shared" si="17"/>
        <v/>
      </c>
      <c r="N139" s="33" t="str">
        <f>IF($A139="","",SUMIFS(SERVIZI!$M:$M,SERVIZI!$B:$B,$A139))</f>
        <v/>
      </c>
      <c r="O139" s="34" t="str">
        <f>IF($A139="","",SUMIFS(SERVIZI!$AC:$AC,SERVIZI!$B:$B,$A139))</f>
        <v/>
      </c>
      <c r="P139" s="34" t="str">
        <f t="shared" si="18"/>
        <v/>
      </c>
      <c r="Q139" s="35" t="str">
        <f t="shared" si="19"/>
        <v/>
      </c>
      <c r="R139" s="34" t="str">
        <f>IF($A139="","",SUMIFS(SERVIZI!$AK:$AK,SERVIZI!$B:$B,$A139))</f>
        <v/>
      </c>
      <c r="S139" s="34" t="str">
        <f>IF($A139="","",$J139-SUMIFS(SERVIZI!$AJ:$AJ,SERVIZI!$B:$B,$A139))</f>
        <v/>
      </c>
      <c r="T139" s="36" t="str">
        <f>IF($A139="","",IF($K139&lt;&gt;"OK","QUOTE NON QUADRATE",IF(COUNTIFS(SERVIZI!$B:$B,$A139,SERVIZI!$AN:$AN,"OK")&lt;$I139,"VERIFICARE SERVIZI","OK")))</f>
        <v/>
      </c>
    </row>
    <row r="140" spans="1:20" x14ac:dyDescent="0.3">
      <c r="A140" s="42"/>
      <c r="B140" s="42"/>
      <c r="C140" s="42"/>
      <c r="D140" s="42"/>
      <c r="E140" s="43"/>
      <c r="F140" s="43"/>
      <c r="G140" s="42"/>
      <c r="H140" s="44"/>
      <c r="I140" s="33" t="str">
        <f>IF($A140="","",COUNTIFS(SERVIZI!$B:$B,$A140))</f>
        <v/>
      </c>
      <c r="J140" s="34" t="str">
        <f>IF($A140="","",SUMIFS(SERVIZI!$Q:$Q,SERVIZI!$B:$B,$A140))</f>
        <v/>
      </c>
      <c r="K140" s="36" t="str">
        <f t="shared" si="16"/>
        <v/>
      </c>
      <c r="L140" s="34" t="str">
        <f>IF($A140="","",SUMIFS(SERVIZI!$P:$P,SERVIZI!$B:$B,$A140))</f>
        <v/>
      </c>
      <c r="M140" s="34" t="str">
        <f t="shared" si="17"/>
        <v/>
      </c>
      <c r="N140" s="33" t="str">
        <f>IF($A140="","",SUMIFS(SERVIZI!$M:$M,SERVIZI!$B:$B,$A140))</f>
        <v/>
      </c>
      <c r="O140" s="34" t="str">
        <f>IF($A140="","",SUMIFS(SERVIZI!$AC:$AC,SERVIZI!$B:$B,$A140))</f>
        <v/>
      </c>
      <c r="P140" s="34" t="str">
        <f t="shared" si="18"/>
        <v/>
      </c>
      <c r="Q140" s="35" t="str">
        <f t="shared" si="19"/>
        <v/>
      </c>
      <c r="R140" s="34" t="str">
        <f>IF($A140="","",SUMIFS(SERVIZI!$AK:$AK,SERVIZI!$B:$B,$A140))</f>
        <v/>
      </c>
      <c r="S140" s="34" t="str">
        <f>IF($A140="","",$J140-SUMIFS(SERVIZI!$AJ:$AJ,SERVIZI!$B:$B,$A140))</f>
        <v/>
      </c>
      <c r="T140" s="36" t="str">
        <f>IF($A140="","",IF($K140&lt;&gt;"OK","QUOTE NON QUADRATE",IF(COUNTIFS(SERVIZI!$B:$B,$A140,SERVIZI!$AN:$AN,"OK")&lt;$I140,"VERIFICARE SERVIZI","OK")))</f>
        <v/>
      </c>
    </row>
    <row r="141" spans="1:20" x14ac:dyDescent="0.3">
      <c r="A141" s="42"/>
      <c r="B141" s="42"/>
      <c r="C141" s="42"/>
      <c r="D141" s="42"/>
      <c r="E141" s="43"/>
      <c r="F141" s="43"/>
      <c r="G141" s="42"/>
      <c r="H141" s="44"/>
      <c r="I141" s="33" t="str">
        <f>IF($A141="","",COUNTIFS(SERVIZI!$B:$B,$A141))</f>
        <v/>
      </c>
      <c r="J141" s="34" t="str">
        <f>IF($A141="","",SUMIFS(SERVIZI!$Q:$Q,SERVIZI!$B:$B,$A141))</f>
        <v/>
      </c>
      <c r="K141" s="36" t="str">
        <f t="shared" si="16"/>
        <v/>
      </c>
      <c r="L141" s="34" t="str">
        <f>IF($A141="","",SUMIFS(SERVIZI!$P:$P,SERVIZI!$B:$B,$A141))</f>
        <v/>
      </c>
      <c r="M141" s="34" t="str">
        <f t="shared" si="17"/>
        <v/>
      </c>
      <c r="N141" s="33" t="str">
        <f>IF($A141="","",SUMIFS(SERVIZI!$M:$M,SERVIZI!$B:$B,$A141))</f>
        <v/>
      </c>
      <c r="O141" s="34" t="str">
        <f>IF($A141="","",SUMIFS(SERVIZI!$AC:$AC,SERVIZI!$B:$B,$A141))</f>
        <v/>
      </c>
      <c r="P141" s="34" t="str">
        <f t="shared" si="18"/>
        <v/>
      </c>
      <c r="Q141" s="35" t="str">
        <f t="shared" si="19"/>
        <v/>
      </c>
      <c r="R141" s="34" t="str">
        <f>IF($A141="","",SUMIFS(SERVIZI!$AK:$AK,SERVIZI!$B:$B,$A141))</f>
        <v/>
      </c>
      <c r="S141" s="34" t="str">
        <f>IF($A141="","",$J141-SUMIFS(SERVIZI!$AJ:$AJ,SERVIZI!$B:$B,$A141))</f>
        <v/>
      </c>
      <c r="T141" s="36" t="str">
        <f>IF($A141="","",IF($K141&lt;&gt;"OK","QUOTE NON QUADRATE",IF(COUNTIFS(SERVIZI!$B:$B,$A141,SERVIZI!$AN:$AN,"OK")&lt;$I141,"VERIFICARE SERVIZI","OK")))</f>
        <v/>
      </c>
    </row>
    <row r="142" spans="1:20" x14ac:dyDescent="0.3">
      <c r="A142" s="42"/>
      <c r="B142" s="42"/>
      <c r="C142" s="42"/>
      <c r="D142" s="42"/>
      <c r="E142" s="43"/>
      <c r="F142" s="43"/>
      <c r="G142" s="42"/>
      <c r="H142" s="44"/>
      <c r="I142" s="33" t="str">
        <f>IF($A142="","",COUNTIFS(SERVIZI!$B:$B,$A142))</f>
        <v/>
      </c>
      <c r="J142" s="34" t="str">
        <f>IF($A142="","",SUMIFS(SERVIZI!$Q:$Q,SERVIZI!$B:$B,$A142))</f>
        <v/>
      </c>
      <c r="K142" s="36" t="str">
        <f t="shared" si="16"/>
        <v/>
      </c>
      <c r="L142" s="34" t="str">
        <f>IF($A142="","",SUMIFS(SERVIZI!$P:$P,SERVIZI!$B:$B,$A142))</f>
        <v/>
      </c>
      <c r="M142" s="34" t="str">
        <f t="shared" si="17"/>
        <v/>
      </c>
      <c r="N142" s="33" t="str">
        <f>IF($A142="","",SUMIFS(SERVIZI!$M:$M,SERVIZI!$B:$B,$A142))</f>
        <v/>
      </c>
      <c r="O142" s="34" t="str">
        <f>IF($A142="","",SUMIFS(SERVIZI!$AC:$AC,SERVIZI!$B:$B,$A142))</f>
        <v/>
      </c>
      <c r="P142" s="34" t="str">
        <f t="shared" si="18"/>
        <v/>
      </c>
      <c r="Q142" s="35" t="str">
        <f t="shared" si="19"/>
        <v/>
      </c>
      <c r="R142" s="34" t="str">
        <f>IF($A142="","",SUMIFS(SERVIZI!$AK:$AK,SERVIZI!$B:$B,$A142))</f>
        <v/>
      </c>
      <c r="S142" s="34" t="str">
        <f>IF($A142="","",$J142-SUMIFS(SERVIZI!$AJ:$AJ,SERVIZI!$B:$B,$A142))</f>
        <v/>
      </c>
      <c r="T142" s="36" t="str">
        <f>IF($A142="","",IF($K142&lt;&gt;"OK","QUOTE NON QUADRATE",IF(COUNTIFS(SERVIZI!$B:$B,$A142,SERVIZI!$AN:$AN,"OK")&lt;$I142,"VERIFICARE SERVIZI","OK")))</f>
        <v/>
      </c>
    </row>
    <row r="143" spans="1:20" x14ac:dyDescent="0.3">
      <c r="A143" s="42"/>
      <c r="B143" s="42"/>
      <c r="C143" s="42"/>
      <c r="D143" s="42"/>
      <c r="E143" s="43"/>
      <c r="F143" s="43"/>
      <c r="G143" s="42"/>
      <c r="H143" s="44"/>
      <c r="I143" s="33" t="str">
        <f>IF($A143="","",COUNTIFS(SERVIZI!$B:$B,$A143))</f>
        <v/>
      </c>
      <c r="J143" s="34" t="str">
        <f>IF($A143="","",SUMIFS(SERVIZI!$Q:$Q,SERVIZI!$B:$B,$A143))</f>
        <v/>
      </c>
      <c r="K143" s="36" t="str">
        <f t="shared" si="16"/>
        <v/>
      </c>
      <c r="L143" s="34" t="str">
        <f>IF($A143="","",SUMIFS(SERVIZI!$P:$P,SERVIZI!$B:$B,$A143))</f>
        <v/>
      </c>
      <c r="M143" s="34" t="str">
        <f t="shared" si="17"/>
        <v/>
      </c>
      <c r="N143" s="33" t="str">
        <f>IF($A143="","",SUMIFS(SERVIZI!$M:$M,SERVIZI!$B:$B,$A143))</f>
        <v/>
      </c>
      <c r="O143" s="34" t="str">
        <f>IF($A143="","",SUMIFS(SERVIZI!$AC:$AC,SERVIZI!$B:$B,$A143))</f>
        <v/>
      </c>
      <c r="P143" s="34" t="str">
        <f t="shared" si="18"/>
        <v/>
      </c>
      <c r="Q143" s="35" t="str">
        <f t="shared" si="19"/>
        <v/>
      </c>
      <c r="R143" s="34" t="str">
        <f>IF($A143="","",SUMIFS(SERVIZI!$AK:$AK,SERVIZI!$B:$B,$A143))</f>
        <v/>
      </c>
      <c r="S143" s="34" t="str">
        <f>IF($A143="","",$J143-SUMIFS(SERVIZI!$AJ:$AJ,SERVIZI!$B:$B,$A143))</f>
        <v/>
      </c>
      <c r="T143" s="36" t="str">
        <f>IF($A143="","",IF($K143&lt;&gt;"OK","QUOTE NON QUADRATE",IF(COUNTIFS(SERVIZI!$B:$B,$A143,SERVIZI!$AN:$AN,"OK")&lt;$I143,"VERIFICARE SERVIZI","OK")))</f>
        <v/>
      </c>
    </row>
    <row r="144" spans="1:20" x14ac:dyDescent="0.3">
      <c r="A144" s="42"/>
      <c r="B144" s="42"/>
      <c r="C144" s="42"/>
      <c r="D144" s="42"/>
      <c r="E144" s="43"/>
      <c r="F144" s="43"/>
      <c r="G144" s="42"/>
      <c r="H144" s="44"/>
      <c r="I144" s="33" t="str">
        <f>IF($A144="","",COUNTIFS(SERVIZI!$B:$B,$A144))</f>
        <v/>
      </c>
      <c r="J144" s="34" t="str">
        <f>IF($A144="","",SUMIFS(SERVIZI!$Q:$Q,SERVIZI!$B:$B,$A144))</f>
        <v/>
      </c>
      <c r="K144" s="36" t="str">
        <f t="shared" si="16"/>
        <v/>
      </c>
      <c r="L144" s="34" t="str">
        <f>IF($A144="","",SUMIFS(SERVIZI!$P:$P,SERVIZI!$B:$B,$A144))</f>
        <v/>
      </c>
      <c r="M144" s="34" t="str">
        <f t="shared" si="17"/>
        <v/>
      </c>
      <c r="N144" s="33" t="str">
        <f>IF($A144="","",SUMIFS(SERVIZI!$M:$M,SERVIZI!$B:$B,$A144))</f>
        <v/>
      </c>
      <c r="O144" s="34" t="str">
        <f>IF($A144="","",SUMIFS(SERVIZI!$AC:$AC,SERVIZI!$B:$B,$A144))</f>
        <v/>
      </c>
      <c r="P144" s="34" t="str">
        <f t="shared" si="18"/>
        <v/>
      </c>
      <c r="Q144" s="35" t="str">
        <f t="shared" si="19"/>
        <v/>
      </c>
      <c r="R144" s="34" t="str">
        <f>IF($A144="","",SUMIFS(SERVIZI!$AK:$AK,SERVIZI!$B:$B,$A144))</f>
        <v/>
      </c>
      <c r="S144" s="34" t="str">
        <f>IF($A144="","",$J144-SUMIFS(SERVIZI!$AJ:$AJ,SERVIZI!$B:$B,$A144))</f>
        <v/>
      </c>
      <c r="T144" s="36" t="str">
        <f>IF($A144="","",IF($K144&lt;&gt;"OK","QUOTE NON QUADRATE",IF(COUNTIFS(SERVIZI!$B:$B,$A144,SERVIZI!$AN:$AN,"OK")&lt;$I144,"VERIFICARE SERVIZI","OK")))</f>
        <v/>
      </c>
    </row>
    <row r="145" spans="1:20" x14ac:dyDescent="0.3">
      <c r="A145" s="42"/>
      <c r="B145" s="42"/>
      <c r="C145" s="42"/>
      <c r="D145" s="42"/>
      <c r="E145" s="43"/>
      <c r="F145" s="43"/>
      <c r="G145" s="42"/>
      <c r="H145" s="44"/>
      <c r="I145" s="33" t="str">
        <f>IF($A145="","",COUNTIFS(SERVIZI!$B:$B,$A145))</f>
        <v/>
      </c>
      <c r="J145" s="34" t="str">
        <f>IF($A145="","",SUMIFS(SERVIZI!$Q:$Q,SERVIZI!$B:$B,$A145))</f>
        <v/>
      </c>
      <c r="K145" s="36" t="str">
        <f t="shared" si="16"/>
        <v/>
      </c>
      <c r="L145" s="34" t="str">
        <f>IF($A145="","",SUMIFS(SERVIZI!$P:$P,SERVIZI!$B:$B,$A145))</f>
        <v/>
      </c>
      <c r="M145" s="34" t="str">
        <f t="shared" si="17"/>
        <v/>
      </c>
      <c r="N145" s="33" t="str">
        <f>IF($A145="","",SUMIFS(SERVIZI!$M:$M,SERVIZI!$B:$B,$A145))</f>
        <v/>
      </c>
      <c r="O145" s="34" t="str">
        <f>IF($A145="","",SUMIFS(SERVIZI!$AC:$AC,SERVIZI!$B:$B,$A145))</f>
        <v/>
      </c>
      <c r="P145" s="34" t="str">
        <f t="shared" si="18"/>
        <v/>
      </c>
      <c r="Q145" s="35" t="str">
        <f t="shared" si="19"/>
        <v/>
      </c>
      <c r="R145" s="34" t="str">
        <f>IF($A145="","",SUMIFS(SERVIZI!$AK:$AK,SERVIZI!$B:$B,$A145))</f>
        <v/>
      </c>
      <c r="S145" s="34" t="str">
        <f>IF($A145="","",$J145-SUMIFS(SERVIZI!$AJ:$AJ,SERVIZI!$B:$B,$A145))</f>
        <v/>
      </c>
      <c r="T145" s="36" t="str">
        <f>IF($A145="","",IF($K145&lt;&gt;"OK","QUOTE NON QUADRATE",IF(COUNTIFS(SERVIZI!$B:$B,$A145,SERVIZI!$AN:$AN,"OK")&lt;$I145,"VERIFICARE SERVIZI","OK")))</f>
        <v/>
      </c>
    </row>
    <row r="146" spans="1:20" x14ac:dyDescent="0.3">
      <c r="A146" s="42"/>
      <c r="B146" s="42"/>
      <c r="C146" s="42"/>
      <c r="D146" s="42"/>
      <c r="E146" s="43"/>
      <c r="F146" s="43"/>
      <c r="G146" s="42"/>
      <c r="H146" s="44"/>
      <c r="I146" s="33" t="str">
        <f>IF($A146="","",COUNTIFS(SERVIZI!$B:$B,$A146))</f>
        <v/>
      </c>
      <c r="J146" s="34" t="str">
        <f>IF($A146="","",SUMIFS(SERVIZI!$Q:$Q,SERVIZI!$B:$B,$A146))</f>
        <v/>
      </c>
      <c r="K146" s="36" t="str">
        <f t="shared" si="16"/>
        <v/>
      </c>
      <c r="L146" s="34" t="str">
        <f>IF($A146="","",SUMIFS(SERVIZI!$P:$P,SERVIZI!$B:$B,$A146))</f>
        <v/>
      </c>
      <c r="M146" s="34" t="str">
        <f t="shared" si="17"/>
        <v/>
      </c>
      <c r="N146" s="33" t="str">
        <f>IF($A146="","",SUMIFS(SERVIZI!$M:$M,SERVIZI!$B:$B,$A146))</f>
        <v/>
      </c>
      <c r="O146" s="34" t="str">
        <f>IF($A146="","",SUMIFS(SERVIZI!$AC:$AC,SERVIZI!$B:$B,$A146))</f>
        <v/>
      </c>
      <c r="P146" s="34" t="str">
        <f t="shared" si="18"/>
        <v/>
      </c>
      <c r="Q146" s="35" t="str">
        <f t="shared" si="19"/>
        <v/>
      </c>
      <c r="R146" s="34" t="str">
        <f>IF($A146="","",SUMIFS(SERVIZI!$AK:$AK,SERVIZI!$B:$B,$A146))</f>
        <v/>
      </c>
      <c r="S146" s="34" t="str">
        <f>IF($A146="","",$J146-SUMIFS(SERVIZI!$AJ:$AJ,SERVIZI!$B:$B,$A146))</f>
        <v/>
      </c>
      <c r="T146" s="36" t="str">
        <f>IF($A146="","",IF($K146&lt;&gt;"OK","QUOTE NON QUADRATE",IF(COUNTIFS(SERVIZI!$B:$B,$A146,SERVIZI!$AN:$AN,"OK")&lt;$I146,"VERIFICARE SERVIZI","OK")))</f>
        <v/>
      </c>
    </row>
    <row r="147" spans="1:20" x14ac:dyDescent="0.3">
      <c r="A147" s="42"/>
      <c r="B147" s="42"/>
      <c r="C147" s="42"/>
      <c r="D147" s="42"/>
      <c r="E147" s="43"/>
      <c r="F147" s="43"/>
      <c r="G147" s="42"/>
      <c r="H147" s="44"/>
      <c r="I147" s="33" t="str">
        <f>IF($A147="","",COUNTIFS(SERVIZI!$B:$B,$A147))</f>
        <v/>
      </c>
      <c r="J147" s="34" t="str">
        <f>IF($A147="","",SUMIFS(SERVIZI!$Q:$Q,SERVIZI!$B:$B,$A147))</f>
        <v/>
      </c>
      <c r="K147" s="36" t="str">
        <f t="shared" si="16"/>
        <v/>
      </c>
      <c r="L147" s="34" t="str">
        <f>IF($A147="","",SUMIFS(SERVIZI!$P:$P,SERVIZI!$B:$B,$A147))</f>
        <v/>
      </c>
      <c r="M147" s="34" t="str">
        <f t="shared" si="17"/>
        <v/>
      </c>
      <c r="N147" s="33" t="str">
        <f>IF($A147="","",SUMIFS(SERVIZI!$M:$M,SERVIZI!$B:$B,$A147))</f>
        <v/>
      </c>
      <c r="O147" s="34" t="str">
        <f>IF($A147="","",SUMIFS(SERVIZI!$AC:$AC,SERVIZI!$B:$B,$A147))</f>
        <v/>
      </c>
      <c r="P147" s="34" t="str">
        <f t="shared" si="18"/>
        <v/>
      </c>
      <c r="Q147" s="35" t="str">
        <f t="shared" si="19"/>
        <v/>
      </c>
      <c r="R147" s="34" t="str">
        <f>IF($A147="","",SUMIFS(SERVIZI!$AK:$AK,SERVIZI!$B:$B,$A147))</f>
        <v/>
      </c>
      <c r="S147" s="34" t="str">
        <f>IF($A147="","",$J147-SUMIFS(SERVIZI!$AJ:$AJ,SERVIZI!$B:$B,$A147))</f>
        <v/>
      </c>
      <c r="T147" s="36" t="str">
        <f>IF($A147="","",IF($K147&lt;&gt;"OK","QUOTE NON QUADRATE",IF(COUNTIFS(SERVIZI!$B:$B,$A147,SERVIZI!$AN:$AN,"OK")&lt;$I147,"VERIFICARE SERVIZI","OK")))</f>
        <v/>
      </c>
    </row>
    <row r="148" spans="1:20" x14ac:dyDescent="0.3">
      <c r="A148" s="42"/>
      <c r="B148" s="42"/>
      <c r="C148" s="42"/>
      <c r="D148" s="42"/>
      <c r="E148" s="43"/>
      <c r="F148" s="43"/>
      <c r="G148" s="42"/>
      <c r="H148" s="44"/>
      <c r="I148" s="33" t="str">
        <f>IF($A148="","",COUNTIFS(SERVIZI!$B:$B,$A148))</f>
        <v/>
      </c>
      <c r="J148" s="34" t="str">
        <f>IF($A148="","",SUMIFS(SERVIZI!$Q:$Q,SERVIZI!$B:$B,$A148))</f>
        <v/>
      </c>
      <c r="K148" s="36" t="str">
        <f t="shared" si="16"/>
        <v/>
      </c>
      <c r="L148" s="34" t="str">
        <f>IF($A148="","",SUMIFS(SERVIZI!$P:$P,SERVIZI!$B:$B,$A148))</f>
        <v/>
      </c>
      <c r="M148" s="34" t="str">
        <f t="shared" si="17"/>
        <v/>
      </c>
      <c r="N148" s="33" t="str">
        <f>IF($A148="","",SUMIFS(SERVIZI!$M:$M,SERVIZI!$B:$B,$A148))</f>
        <v/>
      </c>
      <c r="O148" s="34" t="str">
        <f>IF($A148="","",SUMIFS(SERVIZI!$AC:$AC,SERVIZI!$B:$B,$A148))</f>
        <v/>
      </c>
      <c r="P148" s="34" t="str">
        <f t="shared" si="18"/>
        <v/>
      </c>
      <c r="Q148" s="35" t="str">
        <f t="shared" si="19"/>
        <v/>
      </c>
      <c r="R148" s="34" t="str">
        <f>IF($A148="","",SUMIFS(SERVIZI!$AK:$AK,SERVIZI!$B:$B,$A148))</f>
        <v/>
      </c>
      <c r="S148" s="34" t="str">
        <f>IF($A148="","",$J148-SUMIFS(SERVIZI!$AJ:$AJ,SERVIZI!$B:$B,$A148))</f>
        <v/>
      </c>
      <c r="T148" s="36" t="str">
        <f>IF($A148="","",IF($K148&lt;&gt;"OK","QUOTE NON QUADRATE",IF(COUNTIFS(SERVIZI!$B:$B,$A148,SERVIZI!$AN:$AN,"OK")&lt;$I148,"VERIFICARE SERVIZI","OK")))</f>
        <v/>
      </c>
    </row>
    <row r="149" spans="1:20" x14ac:dyDescent="0.3">
      <c r="A149" s="42"/>
      <c r="B149" s="42"/>
      <c r="C149" s="42"/>
      <c r="D149" s="42"/>
      <c r="E149" s="43"/>
      <c r="F149" s="43"/>
      <c r="G149" s="42"/>
      <c r="H149" s="44"/>
      <c r="I149" s="33" t="str">
        <f>IF($A149="","",COUNTIFS(SERVIZI!$B:$B,$A149))</f>
        <v/>
      </c>
      <c r="J149" s="34" t="str">
        <f>IF($A149="","",SUMIFS(SERVIZI!$Q:$Q,SERVIZI!$B:$B,$A149))</f>
        <v/>
      </c>
      <c r="K149" s="36" t="str">
        <f t="shared" si="16"/>
        <v/>
      </c>
      <c r="L149" s="34" t="str">
        <f>IF($A149="","",SUMIFS(SERVIZI!$P:$P,SERVIZI!$B:$B,$A149))</f>
        <v/>
      </c>
      <c r="M149" s="34" t="str">
        <f t="shared" si="17"/>
        <v/>
      </c>
      <c r="N149" s="33" t="str">
        <f>IF($A149="","",SUMIFS(SERVIZI!$M:$M,SERVIZI!$B:$B,$A149))</f>
        <v/>
      </c>
      <c r="O149" s="34" t="str">
        <f>IF($A149="","",SUMIFS(SERVIZI!$AC:$AC,SERVIZI!$B:$B,$A149))</f>
        <v/>
      </c>
      <c r="P149" s="34" t="str">
        <f t="shared" si="18"/>
        <v/>
      </c>
      <c r="Q149" s="35" t="str">
        <f t="shared" si="19"/>
        <v/>
      </c>
      <c r="R149" s="34" t="str">
        <f>IF($A149="","",SUMIFS(SERVIZI!$AK:$AK,SERVIZI!$B:$B,$A149))</f>
        <v/>
      </c>
      <c r="S149" s="34" t="str">
        <f>IF($A149="","",$J149-SUMIFS(SERVIZI!$AJ:$AJ,SERVIZI!$B:$B,$A149))</f>
        <v/>
      </c>
      <c r="T149" s="36" t="str">
        <f>IF($A149="","",IF($K149&lt;&gt;"OK","QUOTE NON QUADRATE",IF(COUNTIFS(SERVIZI!$B:$B,$A149,SERVIZI!$AN:$AN,"OK")&lt;$I149,"VERIFICARE SERVIZI","OK")))</f>
        <v/>
      </c>
    </row>
    <row r="150" spans="1:20" x14ac:dyDescent="0.3">
      <c r="A150" s="42"/>
      <c r="B150" s="42"/>
      <c r="C150" s="42"/>
      <c r="D150" s="42"/>
      <c r="E150" s="43"/>
      <c r="F150" s="43"/>
      <c r="G150" s="42"/>
      <c r="H150" s="44"/>
      <c r="I150" s="33" t="str">
        <f>IF($A150="","",COUNTIFS(SERVIZI!$B:$B,$A150))</f>
        <v/>
      </c>
      <c r="J150" s="34" t="str">
        <f>IF($A150="","",SUMIFS(SERVIZI!$Q:$Q,SERVIZI!$B:$B,$A150))</f>
        <v/>
      </c>
      <c r="K150" s="36" t="str">
        <f t="shared" si="16"/>
        <v/>
      </c>
      <c r="L150" s="34" t="str">
        <f>IF($A150="","",SUMIFS(SERVIZI!$P:$P,SERVIZI!$B:$B,$A150))</f>
        <v/>
      </c>
      <c r="M150" s="34" t="str">
        <f t="shared" si="17"/>
        <v/>
      </c>
      <c r="N150" s="33" t="str">
        <f>IF($A150="","",SUMIFS(SERVIZI!$M:$M,SERVIZI!$B:$B,$A150))</f>
        <v/>
      </c>
      <c r="O150" s="34" t="str">
        <f>IF($A150="","",SUMIFS(SERVIZI!$AC:$AC,SERVIZI!$B:$B,$A150))</f>
        <v/>
      </c>
      <c r="P150" s="34" t="str">
        <f t="shared" si="18"/>
        <v/>
      </c>
      <c r="Q150" s="35" t="str">
        <f t="shared" si="19"/>
        <v/>
      </c>
      <c r="R150" s="34" t="str">
        <f>IF($A150="","",SUMIFS(SERVIZI!$AK:$AK,SERVIZI!$B:$B,$A150))</f>
        <v/>
      </c>
      <c r="S150" s="34" t="str">
        <f>IF($A150="","",$J150-SUMIFS(SERVIZI!$AJ:$AJ,SERVIZI!$B:$B,$A150))</f>
        <v/>
      </c>
      <c r="T150" s="36" t="str">
        <f>IF($A150="","",IF($K150&lt;&gt;"OK","QUOTE NON QUADRATE",IF(COUNTIFS(SERVIZI!$B:$B,$A150,SERVIZI!$AN:$AN,"OK")&lt;$I150,"VERIFICARE SERVIZI","OK")))</f>
        <v/>
      </c>
    </row>
    <row r="151" spans="1:20" x14ac:dyDescent="0.3">
      <c r="A151" s="42"/>
      <c r="B151" s="42"/>
      <c r="C151" s="42"/>
      <c r="D151" s="42"/>
      <c r="E151" s="43"/>
      <c r="F151" s="43"/>
      <c r="G151" s="42"/>
      <c r="H151" s="44"/>
      <c r="I151" s="33" t="str">
        <f>IF($A151="","",COUNTIFS(SERVIZI!$B:$B,$A151))</f>
        <v/>
      </c>
      <c r="J151" s="34" t="str">
        <f>IF($A151="","",SUMIFS(SERVIZI!$Q:$Q,SERVIZI!$B:$B,$A151))</f>
        <v/>
      </c>
      <c r="K151" s="36" t="str">
        <f t="shared" si="16"/>
        <v/>
      </c>
      <c r="L151" s="34" t="str">
        <f>IF($A151="","",SUMIFS(SERVIZI!$P:$P,SERVIZI!$B:$B,$A151))</f>
        <v/>
      </c>
      <c r="M151" s="34" t="str">
        <f t="shared" si="17"/>
        <v/>
      </c>
      <c r="N151" s="33" t="str">
        <f>IF($A151="","",SUMIFS(SERVIZI!$M:$M,SERVIZI!$B:$B,$A151))</f>
        <v/>
      </c>
      <c r="O151" s="34" t="str">
        <f>IF($A151="","",SUMIFS(SERVIZI!$AC:$AC,SERVIZI!$B:$B,$A151))</f>
        <v/>
      </c>
      <c r="P151" s="34" t="str">
        <f t="shared" si="18"/>
        <v/>
      </c>
      <c r="Q151" s="35" t="str">
        <f t="shared" si="19"/>
        <v/>
      </c>
      <c r="R151" s="34" t="str">
        <f>IF($A151="","",SUMIFS(SERVIZI!$AK:$AK,SERVIZI!$B:$B,$A151))</f>
        <v/>
      </c>
      <c r="S151" s="34" t="str">
        <f>IF($A151="","",$J151-SUMIFS(SERVIZI!$AJ:$AJ,SERVIZI!$B:$B,$A151))</f>
        <v/>
      </c>
      <c r="T151" s="36" t="str">
        <f>IF($A151="","",IF($K151&lt;&gt;"OK","QUOTE NON QUADRATE",IF(COUNTIFS(SERVIZI!$B:$B,$A151,SERVIZI!$AN:$AN,"OK")&lt;$I151,"VERIFICARE SERVIZI","OK")))</f>
        <v/>
      </c>
    </row>
    <row r="152" spans="1:20" x14ac:dyDescent="0.3">
      <c r="A152" s="42"/>
      <c r="B152" s="42"/>
      <c r="C152" s="42"/>
      <c r="D152" s="42"/>
      <c r="E152" s="43"/>
      <c r="F152" s="43"/>
      <c r="G152" s="42"/>
      <c r="H152" s="44"/>
      <c r="I152" s="33" t="str">
        <f>IF($A152="","",COUNTIFS(SERVIZI!$B:$B,$A152))</f>
        <v/>
      </c>
      <c r="J152" s="34" t="str">
        <f>IF($A152="","",SUMIFS(SERVIZI!$Q:$Q,SERVIZI!$B:$B,$A152))</f>
        <v/>
      </c>
      <c r="K152" s="36" t="str">
        <f t="shared" si="16"/>
        <v/>
      </c>
      <c r="L152" s="34" t="str">
        <f>IF($A152="","",SUMIFS(SERVIZI!$P:$P,SERVIZI!$B:$B,$A152))</f>
        <v/>
      </c>
      <c r="M152" s="34" t="str">
        <f t="shared" si="17"/>
        <v/>
      </c>
      <c r="N152" s="33" t="str">
        <f>IF($A152="","",SUMIFS(SERVIZI!$M:$M,SERVIZI!$B:$B,$A152))</f>
        <v/>
      </c>
      <c r="O152" s="34" t="str">
        <f>IF($A152="","",SUMIFS(SERVIZI!$AC:$AC,SERVIZI!$B:$B,$A152))</f>
        <v/>
      </c>
      <c r="P152" s="34" t="str">
        <f t="shared" si="18"/>
        <v/>
      </c>
      <c r="Q152" s="35" t="str">
        <f t="shared" si="19"/>
        <v/>
      </c>
      <c r="R152" s="34" t="str">
        <f>IF($A152="","",SUMIFS(SERVIZI!$AK:$AK,SERVIZI!$B:$B,$A152))</f>
        <v/>
      </c>
      <c r="S152" s="34" t="str">
        <f>IF($A152="","",$J152-SUMIFS(SERVIZI!$AJ:$AJ,SERVIZI!$B:$B,$A152))</f>
        <v/>
      </c>
      <c r="T152" s="36" t="str">
        <f>IF($A152="","",IF($K152&lt;&gt;"OK","QUOTE NON QUADRATE",IF(COUNTIFS(SERVIZI!$B:$B,$A152,SERVIZI!$AN:$AN,"OK")&lt;$I152,"VERIFICARE SERVIZI","OK")))</f>
        <v/>
      </c>
    </row>
    <row r="153" spans="1:20" x14ac:dyDescent="0.3">
      <c r="A153" s="42"/>
      <c r="B153" s="42"/>
      <c r="C153" s="42"/>
      <c r="D153" s="42"/>
      <c r="E153" s="43"/>
      <c r="F153" s="43"/>
      <c r="G153" s="42"/>
      <c r="H153" s="44"/>
      <c r="I153" s="33" t="str">
        <f>IF($A153="","",COUNTIFS(SERVIZI!$B:$B,$A153))</f>
        <v/>
      </c>
      <c r="J153" s="34" t="str">
        <f>IF($A153="","",SUMIFS(SERVIZI!$Q:$Q,SERVIZI!$B:$B,$A153))</f>
        <v/>
      </c>
      <c r="K153" s="36" t="str">
        <f t="shared" si="16"/>
        <v/>
      </c>
      <c r="L153" s="34" t="str">
        <f>IF($A153="","",SUMIFS(SERVIZI!$P:$P,SERVIZI!$B:$B,$A153))</f>
        <v/>
      </c>
      <c r="M153" s="34" t="str">
        <f t="shared" si="17"/>
        <v/>
      </c>
      <c r="N153" s="33" t="str">
        <f>IF($A153="","",SUMIFS(SERVIZI!$M:$M,SERVIZI!$B:$B,$A153))</f>
        <v/>
      </c>
      <c r="O153" s="34" t="str">
        <f>IF($A153="","",SUMIFS(SERVIZI!$AC:$AC,SERVIZI!$B:$B,$A153))</f>
        <v/>
      </c>
      <c r="P153" s="34" t="str">
        <f t="shared" si="18"/>
        <v/>
      </c>
      <c r="Q153" s="35" t="str">
        <f t="shared" si="19"/>
        <v/>
      </c>
      <c r="R153" s="34" t="str">
        <f>IF($A153="","",SUMIFS(SERVIZI!$AK:$AK,SERVIZI!$B:$B,$A153))</f>
        <v/>
      </c>
      <c r="S153" s="34" t="str">
        <f>IF($A153="","",$J153-SUMIFS(SERVIZI!$AJ:$AJ,SERVIZI!$B:$B,$A153))</f>
        <v/>
      </c>
      <c r="T153" s="36" t="str">
        <f>IF($A153="","",IF($K153&lt;&gt;"OK","QUOTE NON QUADRATE",IF(COUNTIFS(SERVIZI!$B:$B,$A153,SERVIZI!$AN:$AN,"OK")&lt;$I153,"VERIFICARE SERVIZI","OK")))</f>
        <v/>
      </c>
    </row>
    <row r="154" spans="1:20" x14ac:dyDescent="0.3">
      <c r="A154" s="42"/>
      <c r="B154" s="42"/>
      <c r="C154" s="42"/>
      <c r="D154" s="42"/>
      <c r="E154" s="43"/>
      <c r="F154" s="43"/>
      <c r="G154" s="42"/>
      <c r="H154" s="44"/>
      <c r="I154" s="33" t="str">
        <f>IF($A154="","",COUNTIFS(SERVIZI!$B:$B,$A154))</f>
        <v/>
      </c>
      <c r="J154" s="34" t="str">
        <f>IF($A154="","",SUMIFS(SERVIZI!$Q:$Q,SERVIZI!$B:$B,$A154))</f>
        <v/>
      </c>
      <c r="K154" s="36" t="str">
        <f t="shared" si="16"/>
        <v/>
      </c>
      <c r="L154" s="34" t="str">
        <f>IF($A154="","",SUMIFS(SERVIZI!$P:$P,SERVIZI!$B:$B,$A154))</f>
        <v/>
      </c>
      <c r="M154" s="34" t="str">
        <f t="shared" si="17"/>
        <v/>
      </c>
      <c r="N154" s="33" t="str">
        <f>IF($A154="","",SUMIFS(SERVIZI!$M:$M,SERVIZI!$B:$B,$A154))</f>
        <v/>
      </c>
      <c r="O154" s="34" t="str">
        <f>IF($A154="","",SUMIFS(SERVIZI!$AC:$AC,SERVIZI!$B:$B,$A154))</f>
        <v/>
      </c>
      <c r="P154" s="34" t="str">
        <f t="shared" si="18"/>
        <v/>
      </c>
      <c r="Q154" s="35" t="str">
        <f t="shared" si="19"/>
        <v/>
      </c>
      <c r="R154" s="34" t="str">
        <f>IF($A154="","",SUMIFS(SERVIZI!$AK:$AK,SERVIZI!$B:$B,$A154))</f>
        <v/>
      </c>
      <c r="S154" s="34" t="str">
        <f>IF($A154="","",$J154-SUMIFS(SERVIZI!$AJ:$AJ,SERVIZI!$B:$B,$A154))</f>
        <v/>
      </c>
      <c r="T154" s="36" t="str">
        <f>IF($A154="","",IF($K154&lt;&gt;"OK","QUOTE NON QUADRATE",IF(COUNTIFS(SERVIZI!$B:$B,$A154,SERVIZI!$AN:$AN,"OK")&lt;$I154,"VERIFICARE SERVIZI","OK")))</f>
        <v/>
      </c>
    </row>
    <row r="155" spans="1:20" x14ac:dyDescent="0.3">
      <c r="A155" s="42"/>
      <c r="B155" s="42"/>
      <c r="C155" s="42"/>
      <c r="D155" s="42"/>
      <c r="E155" s="43"/>
      <c r="F155" s="43"/>
      <c r="G155" s="42"/>
      <c r="H155" s="44"/>
      <c r="I155" s="33" t="str">
        <f>IF($A155="","",COUNTIFS(SERVIZI!$B:$B,$A155))</f>
        <v/>
      </c>
      <c r="J155" s="34" t="str">
        <f>IF($A155="","",SUMIFS(SERVIZI!$Q:$Q,SERVIZI!$B:$B,$A155))</f>
        <v/>
      </c>
      <c r="K155" s="36" t="str">
        <f t="shared" si="16"/>
        <v/>
      </c>
      <c r="L155" s="34" t="str">
        <f>IF($A155="","",SUMIFS(SERVIZI!$P:$P,SERVIZI!$B:$B,$A155))</f>
        <v/>
      </c>
      <c r="M155" s="34" t="str">
        <f t="shared" si="17"/>
        <v/>
      </c>
      <c r="N155" s="33" t="str">
        <f>IF($A155="","",SUMIFS(SERVIZI!$M:$M,SERVIZI!$B:$B,$A155))</f>
        <v/>
      </c>
      <c r="O155" s="34" t="str">
        <f>IF($A155="","",SUMIFS(SERVIZI!$AC:$AC,SERVIZI!$B:$B,$A155))</f>
        <v/>
      </c>
      <c r="P155" s="34" t="str">
        <f t="shared" si="18"/>
        <v/>
      </c>
      <c r="Q155" s="35" t="str">
        <f t="shared" si="19"/>
        <v/>
      </c>
      <c r="R155" s="34" t="str">
        <f>IF($A155="","",SUMIFS(SERVIZI!$AK:$AK,SERVIZI!$B:$B,$A155))</f>
        <v/>
      </c>
      <c r="S155" s="34" t="str">
        <f>IF($A155="","",$J155-SUMIFS(SERVIZI!$AJ:$AJ,SERVIZI!$B:$B,$A155))</f>
        <v/>
      </c>
      <c r="T155" s="36" t="str">
        <f>IF($A155="","",IF($K155&lt;&gt;"OK","QUOTE NON QUADRATE",IF(COUNTIFS(SERVIZI!$B:$B,$A155,SERVIZI!$AN:$AN,"OK")&lt;$I155,"VERIFICARE SERVIZI","OK")))</f>
        <v/>
      </c>
    </row>
    <row r="156" spans="1:20" x14ac:dyDescent="0.3">
      <c r="A156" s="42"/>
      <c r="B156" s="42"/>
      <c r="C156" s="42"/>
      <c r="D156" s="42"/>
      <c r="E156" s="43"/>
      <c r="F156" s="43"/>
      <c r="G156" s="42"/>
      <c r="H156" s="44"/>
      <c r="I156" s="33" t="str">
        <f>IF($A156="","",COUNTIFS(SERVIZI!$B:$B,$A156))</f>
        <v/>
      </c>
      <c r="J156" s="34" t="str">
        <f>IF($A156="","",SUMIFS(SERVIZI!$Q:$Q,SERVIZI!$B:$B,$A156))</f>
        <v/>
      </c>
      <c r="K156" s="36" t="str">
        <f t="shared" si="16"/>
        <v/>
      </c>
      <c r="L156" s="34" t="str">
        <f>IF($A156="","",SUMIFS(SERVIZI!$P:$P,SERVIZI!$B:$B,$A156))</f>
        <v/>
      </c>
      <c r="M156" s="34" t="str">
        <f t="shared" si="17"/>
        <v/>
      </c>
      <c r="N156" s="33" t="str">
        <f>IF($A156="","",SUMIFS(SERVIZI!$M:$M,SERVIZI!$B:$B,$A156))</f>
        <v/>
      </c>
      <c r="O156" s="34" t="str">
        <f>IF($A156="","",SUMIFS(SERVIZI!$AC:$AC,SERVIZI!$B:$B,$A156))</f>
        <v/>
      </c>
      <c r="P156" s="34" t="str">
        <f t="shared" si="18"/>
        <v/>
      </c>
      <c r="Q156" s="35" t="str">
        <f t="shared" si="19"/>
        <v/>
      </c>
      <c r="R156" s="34" t="str">
        <f>IF($A156="","",SUMIFS(SERVIZI!$AK:$AK,SERVIZI!$B:$B,$A156))</f>
        <v/>
      </c>
      <c r="S156" s="34" t="str">
        <f>IF($A156="","",$J156-SUMIFS(SERVIZI!$AJ:$AJ,SERVIZI!$B:$B,$A156))</f>
        <v/>
      </c>
      <c r="T156" s="36" t="str">
        <f>IF($A156="","",IF($K156&lt;&gt;"OK","QUOTE NON QUADRATE",IF(COUNTIFS(SERVIZI!$B:$B,$A156,SERVIZI!$AN:$AN,"OK")&lt;$I156,"VERIFICARE SERVIZI","OK")))</f>
        <v/>
      </c>
    </row>
    <row r="157" spans="1:20" x14ac:dyDescent="0.3">
      <c r="A157" s="42"/>
      <c r="B157" s="42"/>
      <c r="C157" s="42"/>
      <c r="D157" s="42"/>
      <c r="E157" s="43"/>
      <c r="F157" s="43"/>
      <c r="G157" s="42"/>
      <c r="H157" s="44"/>
      <c r="I157" s="33" t="str">
        <f>IF($A157="","",COUNTIFS(SERVIZI!$B:$B,$A157))</f>
        <v/>
      </c>
      <c r="J157" s="34" t="str">
        <f>IF($A157="","",SUMIFS(SERVIZI!$Q:$Q,SERVIZI!$B:$B,$A157))</f>
        <v/>
      </c>
      <c r="K157" s="36" t="str">
        <f t="shared" si="16"/>
        <v/>
      </c>
      <c r="L157" s="34" t="str">
        <f>IF($A157="","",SUMIFS(SERVIZI!$P:$P,SERVIZI!$B:$B,$A157))</f>
        <v/>
      </c>
      <c r="M157" s="34" t="str">
        <f t="shared" si="17"/>
        <v/>
      </c>
      <c r="N157" s="33" t="str">
        <f>IF($A157="","",SUMIFS(SERVIZI!$M:$M,SERVIZI!$B:$B,$A157))</f>
        <v/>
      </c>
      <c r="O157" s="34" t="str">
        <f>IF($A157="","",SUMIFS(SERVIZI!$AC:$AC,SERVIZI!$B:$B,$A157))</f>
        <v/>
      </c>
      <c r="P157" s="34" t="str">
        <f t="shared" si="18"/>
        <v/>
      </c>
      <c r="Q157" s="35" t="str">
        <f t="shared" si="19"/>
        <v/>
      </c>
      <c r="R157" s="34" t="str">
        <f>IF($A157="","",SUMIFS(SERVIZI!$AK:$AK,SERVIZI!$B:$B,$A157))</f>
        <v/>
      </c>
      <c r="S157" s="34" t="str">
        <f>IF($A157="","",$J157-SUMIFS(SERVIZI!$AJ:$AJ,SERVIZI!$B:$B,$A157))</f>
        <v/>
      </c>
      <c r="T157" s="36" t="str">
        <f>IF($A157="","",IF($K157&lt;&gt;"OK","QUOTE NON QUADRATE",IF(COUNTIFS(SERVIZI!$B:$B,$A157,SERVIZI!$AN:$AN,"OK")&lt;$I157,"VERIFICARE SERVIZI","OK")))</f>
        <v/>
      </c>
    </row>
    <row r="158" spans="1:20" x14ac:dyDescent="0.3">
      <c r="A158" s="42"/>
      <c r="B158" s="42"/>
      <c r="C158" s="42"/>
      <c r="D158" s="42"/>
      <c r="E158" s="43"/>
      <c r="F158" s="43"/>
      <c r="G158" s="42"/>
      <c r="H158" s="44"/>
      <c r="I158" s="33" t="str">
        <f>IF($A158="","",COUNTIFS(SERVIZI!$B:$B,$A158))</f>
        <v/>
      </c>
      <c r="J158" s="34" t="str">
        <f>IF($A158="","",SUMIFS(SERVIZI!$Q:$Q,SERVIZI!$B:$B,$A158))</f>
        <v/>
      </c>
      <c r="K158" s="36" t="str">
        <f t="shared" si="16"/>
        <v/>
      </c>
      <c r="L158" s="34" t="str">
        <f>IF($A158="","",SUMIFS(SERVIZI!$P:$P,SERVIZI!$B:$B,$A158))</f>
        <v/>
      </c>
      <c r="M158" s="34" t="str">
        <f t="shared" si="17"/>
        <v/>
      </c>
      <c r="N158" s="33" t="str">
        <f>IF($A158="","",SUMIFS(SERVIZI!$M:$M,SERVIZI!$B:$B,$A158))</f>
        <v/>
      </c>
      <c r="O158" s="34" t="str">
        <f>IF($A158="","",SUMIFS(SERVIZI!$AC:$AC,SERVIZI!$B:$B,$A158))</f>
        <v/>
      </c>
      <c r="P158" s="34" t="str">
        <f t="shared" si="18"/>
        <v/>
      </c>
      <c r="Q158" s="35" t="str">
        <f t="shared" si="19"/>
        <v/>
      </c>
      <c r="R158" s="34" t="str">
        <f>IF($A158="","",SUMIFS(SERVIZI!$AK:$AK,SERVIZI!$B:$B,$A158))</f>
        <v/>
      </c>
      <c r="S158" s="34" t="str">
        <f>IF($A158="","",$J158-SUMIFS(SERVIZI!$AJ:$AJ,SERVIZI!$B:$B,$A158))</f>
        <v/>
      </c>
      <c r="T158" s="36" t="str">
        <f>IF($A158="","",IF($K158&lt;&gt;"OK","QUOTE NON QUADRATE",IF(COUNTIFS(SERVIZI!$B:$B,$A158,SERVIZI!$AN:$AN,"OK")&lt;$I158,"VERIFICARE SERVIZI","OK")))</f>
        <v/>
      </c>
    </row>
    <row r="159" spans="1:20" x14ac:dyDescent="0.3">
      <c r="A159" s="42"/>
      <c r="B159" s="42"/>
      <c r="C159" s="42"/>
      <c r="D159" s="42"/>
      <c r="E159" s="43"/>
      <c r="F159" s="43"/>
      <c r="G159" s="42"/>
      <c r="H159" s="44"/>
      <c r="I159" s="33" t="str">
        <f>IF($A159="","",COUNTIFS(SERVIZI!$B:$B,$A159))</f>
        <v/>
      </c>
      <c r="J159" s="34" t="str">
        <f>IF($A159="","",SUMIFS(SERVIZI!$Q:$Q,SERVIZI!$B:$B,$A159))</f>
        <v/>
      </c>
      <c r="K159" s="36" t="str">
        <f t="shared" si="16"/>
        <v/>
      </c>
      <c r="L159" s="34" t="str">
        <f>IF($A159="","",SUMIFS(SERVIZI!$P:$P,SERVIZI!$B:$B,$A159))</f>
        <v/>
      </c>
      <c r="M159" s="34" t="str">
        <f t="shared" si="17"/>
        <v/>
      </c>
      <c r="N159" s="33" t="str">
        <f>IF($A159="","",SUMIFS(SERVIZI!$M:$M,SERVIZI!$B:$B,$A159))</f>
        <v/>
      </c>
      <c r="O159" s="34" t="str">
        <f>IF($A159="","",SUMIFS(SERVIZI!$AC:$AC,SERVIZI!$B:$B,$A159))</f>
        <v/>
      </c>
      <c r="P159" s="34" t="str">
        <f t="shared" si="18"/>
        <v/>
      </c>
      <c r="Q159" s="35" t="str">
        <f t="shared" si="19"/>
        <v/>
      </c>
      <c r="R159" s="34" t="str">
        <f>IF($A159="","",SUMIFS(SERVIZI!$AK:$AK,SERVIZI!$B:$B,$A159))</f>
        <v/>
      </c>
      <c r="S159" s="34" t="str">
        <f>IF($A159="","",$J159-SUMIFS(SERVIZI!$AJ:$AJ,SERVIZI!$B:$B,$A159))</f>
        <v/>
      </c>
      <c r="T159" s="36" t="str">
        <f>IF($A159="","",IF($K159&lt;&gt;"OK","QUOTE NON QUADRATE",IF(COUNTIFS(SERVIZI!$B:$B,$A159,SERVIZI!$AN:$AN,"OK")&lt;$I159,"VERIFICARE SERVIZI","OK")))</f>
        <v/>
      </c>
    </row>
    <row r="160" spans="1:20" x14ac:dyDescent="0.3">
      <c r="A160" s="42"/>
      <c r="B160" s="42"/>
      <c r="C160" s="42"/>
      <c r="D160" s="42"/>
      <c r="E160" s="43"/>
      <c r="F160" s="43"/>
      <c r="G160" s="42"/>
      <c r="H160" s="44"/>
      <c r="I160" s="33" t="str">
        <f>IF($A160="","",COUNTIFS(SERVIZI!$B:$B,$A160))</f>
        <v/>
      </c>
      <c r="J160" s="34" t="str">
        <f>IF($A160="","",SUMIFS(SERVIZI!$Q:$Q,SERVIZI!$B:$B,$A160))</f>
        <v/>
      </c>
      <c r="K160" s="36" t="str">
        <f t="shared" si="16"/>
        <v/>
      </c>
      <c r="L160" s="34" t="str">
        <f>IF($A160="","",SUMIFS(SERVIZI!$P:$P,SERVIZI!$B:$B,$A160))</f>
        <v/>
      </c>
      <c r="M160" s="34" t="str">
        <f t="shared" si="17"/>
        <v/>
      </c>
      <c r="N160" s="33" t="str">
        <f>IF($A160="","",SUMIFS(SERVIZI!$M:$M,SERVIZI!$B:$B,$A160))</f>
        <v/>
      </c>
      <c r="O160" s="34" t="str">
        <f>IF($A160="","",SUMIFS(SERVIZI!$AC:$AC,SERVIZI!$B:$B,$A160))</f>
        <v/>
      </c>
      <c r="P160" s="34" t="str">
        <f t="shared" si="18"/>
        <v/>
      </c>
      <c r="Q160" s="35" t="str">
        <f t="shared" si="19"/>
        <v/>
      </c>
      <c r="R160" s="34" t="str">
        <f>IF($A160="","",SUMIFS(SERVIZI!$AK:$AK,SERVIZI!$B:$B,$A160))</f>
        <v/>
      </c>
      <c r="S160" s="34" t="str">
        <f>IF($A160="","",$J160-SUMIFS(SERVIZI!$AJ:$AJ,SERVIZI!$B:$B,$A160))</f>
        <v/>
      </c>
      <c r="T160" s="36" t="str">
        <f>IF($A160="","",IF($K160&lt;&gt;"OK","QUOTE NON QUADRATE",IF(COUNTIFS(SERVIZI!$B:$B,$A160,SERVIZI!$AN:$AN,"OK")&lt;$I160,"VERIFICARE SERVIZI","OK")))</f>
        <v/>
      </c>
    </row>
    <row r="161" spans="1:20" x14ac:dyDescent="0.3">
      <c r="A161" s="42"/>
      <c r="B161" s="42"/>
      <c r="C161" s="42"/>
      <c r="D161" s="42"/>
      <c r="E161" s="43"/>
      <c r="F161" s="43"/>
      <c r="G161" s="42"/>
      <c r="H161" s="44"/>
      <c r="I161" s="33" t="str">
        <f>IF($A161="","",COUNTIFS(SERVIZI!$B:$B,$A161))</f>
        <v/>
      </c>
      <c r="J161" s="34" t="str">
        <f>IF($A161="","",SUMIFS(SERVIZI!$Q:$Q,SERVIZI!$B:$B,$A161))</f>
        <v/>
      </c>
      <c r="K161" s="36" t="str">
        <f t="shared" si="16"/>
        <v/>
      </c>
      <c r="L161" s="34" t="str">
        <f>IF($A161="","",SUMIFS(SERVIZI!$P:$P,SERVIZI!$B:$B,$A161))</f>
        <v/>
      </c>
      <c r="M161" s="34" t="str">
        <f t="shared" si="17"/>
        <v/>
      </c>
      <c r="N161" s="33" t="str">
        <f>IF($A161="","",SUMIFS(SERVIZI!$M:$M,SERVIZI!$B:$B,$A161))</f>
        <v/>
      </c>
      <c r="O161" s="34" t="str">
        <f>IF($A161="","",SUMIFS(SERVIZI!$AC:$AC,SERVIZI!$B:$B,$A161))</f>
        <v/>
      </c>
      <c r="P161" s="34" t="str">
        <f t="shared" si="18"/>
        <v/>
      </c>
      <c r="Q161" s="35" t="str">
        <f t="shared" si="19"/>
        <v/>
      </c>
      <c r="R161" s="34" t="str">
        <f>IF($A161="","",SUMIFS(SERVIZI!$AK:$AK,SERVIZI!$B:$B,$A161))</f>
        <v/>
      </c>
      <c r="S161" s="34" t="str">
        <f>IF($A161="","",$J161-SUMIFS(SERVIZI!$AJ:$AJ,SERVIZI!$B:$B,$A161))</f>
        <v/>
      </c>
      <c r="T161" s="36" t="str">
        <f>IF($A161="","",IF($K161&lt;&gt;"OK","QUOTE NON QUADRATE",IF(COUNTIFS(SERVIZI!$B:$B,$A161,SERVIZI!$AN:$AN,"OK")&lt;$I161,"VERIFICARE SERVIZI","OK")))</f>
        <v/>
      </c>
    </row>
    <row r="162" spans="1:20" x14ac:dyDescent="0.3">
      <c r="A162" s="42"/>
      <c r="B162" s="42"/>
      <c r="C162" s="42"/>
      <c r="D162" s="42"/>
      <c r="E162" s="43"/>
      <c r="F162" s="43"/>
      <c r="G162" s="42"/>
      <c r="H162" s="44"/>
      <c r="I162" s="33" t="str">
        <f>IF($A162="","",COUNTIFS(SERVIZI!$B:$B,$A162))</f>
        <v/>
      </c>
      <c r="J162" s="34" t="str">
        <f>IF($A162="","",SUMIFS(SERVIZI!$Q:$Q,SERVIZI!$B:$B,$A162))</f>
        <v/>
      </c>
      <c r="K162" s="36" t="str">
        <f t="shared" ref="K162:K193" si="20">IF($A162="","",IF(ABS($H162-$J162)&lt;1,"OK","DIFFERENZA "&amp;TEXT($H162-$J162,"#,##0")&amp;" €"))</f>
        <v/>
      </c>
      <c r="L162" s="34" t="str">
        <f>IF($A162="","",SUMIFS(SERVIZI!$P:$P,SERVIZI!$B:$B,$A162))</f>
        <v/>
      </c>
      <c r="M162" s="34" t="str">
        <f t="shared" ref="M162:M193" si="21">IF($A162="","",$J162-$L162)</f>
        <v/>
      </c>
      <c r="N162" s="33" t="str">
        <f>IF($A162="","",SUMIFS(SERVIZI!$M:$M,SERVIZI!$B:$B,$A162))</f>
        <v/>
      </c>
      <c r="O162" s="34" t="str">
        <f>IF($A162="","",SUMIFS(SERVIZI!$AC:$AC,SERVIZI!$B:$B,$A162))</f>
        <v/>
      </c>
      <c r="P162" s="34" t="str">
        <f t="shared" ref="P162:P193" si="22">IF($A162="","",$J162-$O162)</f>
        <v/>
      </c>
      <c r="Q162" s="35" t="str">
        <f t="shared" ref="Q162:Q193" si="23">IF($A162="","",IFERROR($P162/$J162,0))</f>
        <v/>
      </c>
      <c r="R162" s="34" t="str">
        <f>IF($A162="","",SUMIFS(SERVIZI!$AK:$AK,SERVIZI!$B:$B,$A162))</f>
        <v/>
      </c>
      <c r="S162" s="34" t="str">
        <f>IF($A162="","",$J162-SUMIFS(SERVIZI!$AJ:$AJ,SERVIZI!$B:$B,$A162))</f>
        <v/>
      </c>
      <c r="T162" s="36" t="str">
        <f>IF($A162="","",IF($K162&lt;&gt;"OK","QUOTE NON QUADRATE",IF(COUNTIFS(SERVIZI!$B:$B,$A162,SERVIZI!$AN:$AN,"OK")&lt;$I162,"VERIFICARE SERVIZI","OK")))</f>
        <v/>
      </c>
    </row>
    <row r="163" spans="1:20" x14ac:dyDescent="0.3">
      <c r="A163" s="42"/>
      <c r="B163" s="42"/>
      <c r="C163" s="42"/>
      <c r="D163" s="42"/>
      <c r="E163" s="43"/>
      <c r="F163" s="43"/>
      <c r="G163" s="42"/>
      <c r="H163" s="44"/>
      <c r="I163" s="33" t="str">
        <f>IF($A163="","",COUNTIFS(SERVIZI!$B:$B,$A163))</f>
        <v/>
      </c>
      <c r="J163" s="34" t="str">
        <f>IF($A163="","",SUMIFS(SERVIZI!$Q:$Q,SERVIZI!$B:$B,$A163))</f>
        <v/>
      </c>
      <c r="K163" s="36" t="str">
        <f t="shared" si="20"/>
        <v/>
      </c>
      <c r="L163" s="34" t="str">
        <f>IF($A163="","",SUMIFS(SERVIZI!$P:$P,SERVIZI!$B:$B,$A163))</f>
        <v/>
      </c>
      <c r="M163" s="34" t="str">
        <f t="shared" si="21"/>
        <v/>
      </c>
      <c r="N163" s="33" t="str">
        <f>IF($A163="","",SUMIFS(SERVIZI!$M:$M,SERVIZI!$B:$B,$A163))</f>
        <v/>
      </c>
      <c r="O163" s="34" t="str">
        <f>IF($A163="","",SUMIFS(SERVIZI!$AC:$AC,SERVIZI!$B:$B,$A163))</f>
        <v/>
      </c>
      <c r="P163" s="34" t="str">
        <f t="shared" si="22"/>
        <v/>
      </c>
      <c r="Q163" s="35" t="str">
        <f t="shared" si="23"/>
        <v/>
      </c>
      <c r="R163" s="34" t="str">
        <f>IF($A163="","",SUMIFS(SERVIZI!$AK:$AK,SERVIZI!$B:$B,$A163))</f>
        <v/>
      </c>
      <c r="S163" s="34" t="str">
        <f>IF($A163="","",$J163-SUMIFS(SERVIZI!$AJ:$AJ,SERVIZI!$B:$B,$A163))</f>
        <v/>
      </c>
      <c r="T163" s="36" t="str">
        <f>IF($A163="","",IF($K163&lt;&gt;"OK","QUOTE NON QUADRATE",IF(COUNTIFS(SERVIZI!$B:$B,$A163,SERVIZI!$AN:$AN,"OK")&lt;$I163,"VERIFICARE SERVIZI","OK")))</f>
        <v/>
      </c>
    </row>
    <row r="164" spans="1:20" x14ac:dyDescent="0.3">
      <c r="A164" s="42"/>
      <c r="B164" s="42"/>
      <c r="C164" s="42"/>
      <c r="D164" s="42"/>
      <c r="E164" s="43"/>
      <c r="F164" s="43"/>
      <c r="G164" s="42"/>
      <c r="H164" s="44"/>
      <c r="I164" s="33" t="str">
        <f>IF($A164="","",COUNTIFS(SERVIZI!$B:$B,$A164))</f>
        <v/>
      </c>
      <c r="J164" s="34" t="str">
        <f>IF($A164="","",SUMIFS(SERVIZI!$Q:$Q,SERVIZI!$B:$B,$A164))</f>
        <v/>
      </c>
      <c r="K164" s="36" t="str">
        <f t="shared" si="20"/>
        <v/>
      </c>
      <c r="L164" s="34" t="str">
        <f>IF($A164="","",SUMIFS(SERVIZI!$P:$P,SERVIZI!$B:$B,$A164))</f>
        <v/>
      </c>
      <c r="M164" s="34" t="str">
        <f t="shared" si="21"/>
        <v/>
      </c>
      <c r="N164" s="33" t="str">
        <f>IF($A164="","",SUMIFS(SERVIZI!$M:$M,SERVIZI!$B:$B,$A164))</f>
        <v/>
      </c>
      <c r="O164" s="34" t="str">
        <f>IF($A164="","",SUMIFS(SERVIZI!$AC:$AC,SERVIZI!$B:$B,$A164))</f>
        <v/>
      </c>
      <c r="P164" s="34" t="str">
        <f t="shared" si="22"/>
        <v/>
      </c>
      <c r="Q164" s="35" t="str">
        <f t="shared" si="23"/>
        <v/>
      </c>
      <c r="R164" s="34" t="str">
        <f>IF($A164="","",SUMIFS(SERVIZI!$AK:$AK,SERVIZI!$B:$B,$A164))</f>
        <v/>
      </c>
      <c r="S164" s="34" t="str">
        <f>IF($A164="","",$J164-SUMIFS(SERVIZI!$AJ:$AJ,SERVIZI!$B:$B,$A164))</f>
        <v/>
      </c>
      <c r="T164" s="36" t="str">
        <f>IF($A164="","",IF($K164&lt;&gt;"OK","QUOTE NON QUADRATE",IF(COUNTIFS(SERVIZI!$B:$B,$A164,SERVIZI!$AN:$AN,"OK")&lt;$I164,"VERIFICARE SERVIZI","OK")))</f>
        <v/>
      </c>
    </row>
    <row r="165" spans="1:20" x14ac:dyDescent="0.3">
      <c r="A165" s="42"/>
      <c r="B165" s="42"/>
      <c r="C165" s="42"/>
      <c r="D165" s="42"/>
      <c r="E165" s="43"/>
      <c r="F165" s="43"/>
      <c r="G165" s="42"/>
      <c r="H165" s="44"/>
      <c r="I165" s="33" t="str">
        <f>IF($A165="","",COUNTIFS(SERVIZI!$B:$B,$A165))</f>
        <v/>
      </c>
      <c r="J165" s="34" t="str">
        <f>IF($A165="","",SUMIFS(SERVIZI!$Q:$Q,SERVIZI!$B:$B,$A165))</f>
        <v/>
      </c>
      <c r="K165" s="36" t="str">
        <f t="shared" si="20"/>
        <v/>
      </c>
      <c r="L165" s="34" t="str">
        <f>IF($A165="","",SUMIFS(SERVIZI!$P:$P,SERVIZI!$B:$B,$A165))</f>
        <v/>
      </c>
      <c r="M165" s="34" t="str">
        <f t="shared" si="21"/>
        <v/>
      </c>
      <c r="N165" s="33" t="str">
        <f>IF($A165="","",SUMIFS(SERVIZI!$M:$M,SERVIZI!$B:$B,$A165))</f>
        <v/>
      </c>
      <c r="O165" s="34" t="str">
        <f>IF($A165="","",SUMIFS(SERVIZI!$AC:$AC,SERVIZI!$B:$B,$A165))</f>
        <v/>
      </c>
      <c r="P165" s="34" t="str">
        <f t="shared" si="22"/>
        <v/>
      </c>
      <c r="Q165" s="35" t="str">
        <f t="shared" si="23"/>
        <v/>
      </c>
      <c r="R165" s="34" t="str">
        <f>IF($A165="","",SUMIFS(SERVIZI!$AK:$AK,SERVIZI!$B:$B,$A165))</f>
        <v/>
      </c>
      <c r="S165" s="34" t="str">
        <f>IF($A165="","",$J165-SUMIFS(SERVIZI!$AJ:$AJ,SERVIZI!$B:$B,$A165))</f>
        <v/>
      </c>
      <c r="T165" s="36" t="str">
        <f>IF($A165="","",IF($K165&lt;&gt;"OK","QUOTE NON QUADRATE",IF(COUNTIFS(SERVIZI!$B:$B,$A165,SERVIZI!$AN:$AN,"OK")&lt;$I165,"VERIFICARE SERVIZI","OK")))</f>
        <v/>
      </c>
    </row>
    <row r="166" spans="1:20" x14ac:dyDescent="0.3">
      <c r="A166" s="42"/>
      <c r="B166" s="42"/>
      <c r="C166" s="42"/>
      <c r="D166" s="42"/>
      <c r="E166" s="43"/>
      <c r="F166" s="43"/>
      <c r="G166" s="42"/>
      <c r="H166" s="44"/>
      <c r="I166" s="33" t="str">
        <f>IF($A166="","",COUNTIFS(SERVIZI!$B:$B,$A166))</f>
        <v/>
      </c>
      <c r="J166" s="34" t="str">
        <f>IF($A166="","",SUMIFS(SERVIZI!$Q:$Q,SERVIZI!$B:$B,$A166))</f>
        <v/>
      </c>
      <c r="K166" s="36" t="str">
        <f t="shared" si="20"/>
        <v/>
      </c>
      <c r="L166" s="34" t="str">
        <f>IF($A166="","",SUMIFS(SERVIZI!$P:$P,SERVIZI!$B:$B,$A166))</f>
        <v/>
      </c>
      <c r="M166" s="34" t="str">
        <f t="shared" si="21"/>
        <v/>
      </c>
      <c r="N166" s="33" t="str">
        <f>IF($A166="","",SUMIFS(SERVIZI!$M:$M,SERVIZI!$B:$B,$A166))</f>
        <v/>
      </c>
      <c r="O166" s="34" t="str">
        <f>IF($A166="","",SUMIFS(SERVIZI!$AC:$AC,SERVIZI!$B:$B,$A166))</f>
        <v/>
      </c>
      <c r="P166" s="34" t="str">
        <f t="shared" si="22"/>
        <v/>
      </c>
      <c r="Q166" s="35" t="str">
        <f t="shared" si="23"/>
        <v/>
      </c>
      <c r="R166" s="34" t="str">
        <f>IF($A166="","",SUMIFS(SERVIZI!$AK:$AK,SERVIZI!$B:$B,$A166))</f>
        <v/>
      </c>
      <c r="S166" s="34" t="str">
        <f>IF($A166="","",$J166-SUMIFS(SERVIZI!$AJ:$AJ,SERVIZI!$B:$B,$A166))</f>
        <v/>
      </c>
      <c r="T166" s="36" t="str">
        <f>IF($A166="","",IF($K166&lt;&gt;"OK","QUOTE NON QUADRATE",IF(COUNTIFS(SERVIZI!$B:$B,$A166,SERVIZI!$AN:$AN,"OK")&lt;$I166,"VERIFICARE SERVIZI","OK")))</f>
        <v/>
      </c>
    </row>
    <row r="167" spans="1:20" x14ac:dyDescent="0.3">
      <c r="A167" s="42"/>
      <c r="B167" s="42"/>
      <c r="C167" s="42"/>
      <c r="D167" s="42"/>
      <c r="E167" s="43"/>
      <c r="F167" s="43"/>
      <c r="G167" s="42"/>
      <c r="H167" s="44"/>
      <c r="I167" s="33" t="str">
        <f>IF($A167="","",COUNTIFS(SERVIZI!$B:$B,$A167))</f>
        <v/>
      </c>
      <c r="J167" s="34" t="str">
        <f>IF($A167="","",SUMIFS(SERVIZI!$Q:$Q,SERVIZI!$B:$B,$A167))</f>
        <v/>
      </c>
      <c r="K167" s="36" t="str">
        <f t="shared" si="20"/>
        <v/>
      </c>
      <c r="L167" s="34" t="str">
        <f>IF($A167="","",SUMIFS(SERVIZI!$P:$P,SERVIZI!$B:$B,$A167))</f>
        <v/>
      </c>
      <c r="M167" s="34" t="str">
        <f t="shared" si="21"/>
        <v/>
      </c>
      <c r="N167" s="33" t="str">
        <f>IF($A167="","",SUMIFS(SERVIZI!$M:$M,SERVIZI!$B:$B,$A167))</f>
        <v/>
      </c>
      <c r="O167" s="34" t="str">
        <f>IF($A167="","",SUMIFS(SERVIZI!$AC:$AC,SERVIZI!$B:$B,$A167))</f>
        <v/>
      </c>
      <c r="P167" s="34" t="str">
        <f t="shared" si="22"/>
        <v/>
      </c>
      <c r="Q167" s="35" t="str">
        <f t="shared" si="23"/>
        <v/>
      </c>
      <c r="R167" s="34" t="str">
        <f>IF($A167="","",SUMIFS(SERVIZI!$AK:$AK,SERVIZI!$B:$B,$A167))</f>
        <v/>
      </c>
      <c r="S167" s="34" t="str">
        <f>IF($A167="","",$J167-SUMIFS(SERVIZI!$AJ:$AJ,SERVIZI!$B:$B,$A167))</f>
        <v/>
      </c>
      <c r="T167" s="36" t="str">
        <f>IF($A167="","",IF($K167&lt;&gt;"OK","QUOTE NON QUADRATE",IF(COUNTIFS(SERVIZI!$B:$B,$A167,SERVIZI!$AN:$AN,"OK")&lt;$I167,"VERIFICARE SERVIZI","OK")))</f>
        <v/>
      </c>
    </row>
    <row r="168" spans="1:20" x14ac:dyDescent="0.3">
      <c r="A168" s="42"/>
      <c r="B168" s="42"/>
      <c r="C168" s="42"/>
      <c r="D168" s="42"/>
      <c r="E168" s="43"/>
      <c r="F168" s="43"/>
      <c r="G168" s="42"/>
      <c r="H168" s="44"/>
      <c r="I168" s="33" t="str">
        <f>IF($A168="","",COUNTIFS(SERVIZI!$B:$B,$A168))</f>
        <v/>
      </c>
      <c r="J168" s="34" t="str">
        <f>IF($A168="","",SUMIFS(SERVIZI!$Q:$Q,SERVIZI!$B:$B,$A168))</f>
        <v/>
      </c>
      <c r="K168" s="36" t="str">
        <f t="shared" si="20"/>
        <v/>
      </c>
      <c r="L168" s="34" t="str">
        <f>IF($A168="","",SUMIFS(SERVIZI!$P:$P,SERVIZI!$B:$B,$A168))</f>
        <v/>
      </c>
      <c r="M168" s="34" t="str">
        <f t="shared" si="21"/>
        <v/>
      </c>
      <c r="N168" s="33" t="str">
        <f>IF($A168="","",SUMIFS(SERVIZI!$M:$M,SERVIZI!$B:$B,$A168))</f>
        <v/>
      </c>
      <c r="O168" s="34" t="str">
        <f>IF($A168="","",SUMIFS(SERVIZI!$AC:$AC,SERVIZI!$B:$B,$A168))</f>
        <v/>
      </c>
      <c r="P168" s="34" t="str">
        <f t="shared" si="22"/>
        <v/>
      </c>
      <c r="Q168" s="35" t="str">
        <f t="shared" si="23"/>
        <v/>
      </c>
      <c r="R168" s="34" t="str">
        <f>IF($A168="","",SUMIFS(SERVIZI!$AK:$AK,SERVIZI!$B:$B,$A168))</f>
        <v/>
      </c>
      <c r="S168" s="34" t="str">
        <f>IF($A168="","",$J168-SUMIFS(SERVIZI!$AJ:$AJ,SERVIZI!$B:$B,$A168))</f>
        <v/>
      </c>
      <c r="T168" s="36" t="str">
        <f>IF($A168="","",IF($K168&lt;&gt;"OK","QUOTE NON QUADRATE",IF(COUNTIFS(SERVIZI!$B:$B,$A168,SERVIZI!$AN:$AN,"OK")&lt;$I168,"VERIFICARE SERVIZI","OK")))</f>
        <v/>
      </c>
    </row>
    <row r="169" spans="1:20" x14ac:dyDescent="0.3">
      <c r="A169" s="42"/>
      <c r="B169" s="42"/>
      <c r="C169" s="42"/>
      <c r="D169" s="42"/>
      <c r="E169" s="43"/>
      <c r="F169" s="43"/>
      <c r="G169" s="42"/>
      <c r="H169" s="44"/>
      <c r="I169" s="33" t="str">
        <f>IF($A169="","",COUNTIFS(SERVIZI!$B:$B,$A169))</f>
        <v/>
      </c>
      <c r="J169" s="34" t="str">
        <f>IF($A169="","",SUMIFS(SERVIZI!$Q:$Q,SERVIZI!$B:$B,$A169))</f>
        <v/>
      </c>
      <c r="K169" s="36" t="str">
        <f t="shared" si="20"/>
        <v/>
      </c>
      <c r="L169" s="34" t="str">
        <f>IF($A169="","",SUMIFS(SERVIZI!$P:$P,SERVIZI!$B:$B,$A169))</f>
        <v/>
      </c>
      <c r="M169" s="34" t="str">
        <f t="shared" si="21"/>
        <v/>
      </c>
      <c r="N169" s="33" t="str">
        <f>IF($A169="","",SUMIFS(SERVIZI!$M:$M,SERVIZI!$B:$B,$A169))</f>
        <v/>
      </c>
      <c r="O169" s="34" t="str">
        <f>IF($A169="","",SUMIFS(SERVIZI!$AC:$AC,SERVIZI!$B:$B,$A169))</f>
        <v/>
      </c>
      <c r="P169" s="34" t="str">
        <f t="shared" si="22"/>
        <v/>
      </c>
      <c r="Q169" s="35" t="str">
        <f t="shared" si="23"/>
        <v/>
      </c>
      <c r="R169" s="34" t="str">
        <f>IF($A169="","",SUMIFS(SERVIZI!$AK:$AK,SERVIZI!$B:$B,$A169))</f>
        <v/>
      </c>
      <c r="S169" s="34" t="str">
        <f>IF($A169="","",$J169-SUMIFS(SERVIZI!$AJ:$AJ,SERVIZI!$B:$B,$A169))</f>
        <v/>
      </c>
      <c r="T169" s="36" t="str">
        <f>IF($A169="","",IF($K169&lt;&gt;"OK","QUOTE NON QUADRATE",IF(COUNTIFS(SERVIZI!$B:$B,$A169,SERVIZI!$AN:$AN,"OK")&lt;$I169,"VERIFICARE SERVIZI","OK")))</f>
        <v/>
      </c>
    </row>
    <row r="170" spans="1:20" x14ac:dyDescent="0.3">
      <c r="A170" s="42"/>
      <c r="B170" s="42"/>
      <c r="C170" s="42"/>
      <c r="D170" s="42"/>
      <c r="E170" s="43"/>
      <c r="F170" s="43"/>
      <c r="G170" s="42"/>
      <c r="H170" s="44"/>
      <c r="I170" s="33" t="str">
        <f>IF($A170="","",COUNTIFS(SERVIZI!$B:$B,$A170))</f>
        <v/>
      </c>
      <c r="J170" s="34" t="str">
        <f>IF($A170="","",SUMIFS(SERVIZI!$Q:$Q,SERVIZI!$B:$B,$A170))</f>
        <v/>
      </c>
      <c r="K170" s="36" t="str">
        <f t="shared" si="20"/>
        <v/>
      </c>
      <c r="L170" s="34" t="str">
        <f>IF($A170="","",SUMIFS(SERVIZI!$P:$P,SERVIZI!$B:$B,$A170))</f>
        <v/>
      </c>
      <c r="M170" s="34" t="str">
        <f t="shared" si="21"/>
        <v/>
      </c>
      <c r="N170" s="33" t="str">
        <f>IF($A170="","",SUMIFS(SERVIZI!$M:$M,SERVIZI!$B:$B,$A170))</f>
        <v/>
      </c>
      <c r="O170" s="34" t="str">
        <f>IF($A170="","",SUMIFS(SERVIZI!$AC:$AC,SERVIZI!$B:$B,$A170))</f>
        <v/>
      </c>
      <c r="P170" s="34" t="str">
        <f t="shared" si="22"/>
        <v/>
      </c>
      <c r="Q170" s="35" t="str">
        <f t="shared" si="23"/>
        <v/>
      </c>
      <c r="R170" s="34" t="str">
        <f>IF($A170="","",SUMIFS(SERVIZI!$AK:$AK,SERVIZI!$B:$B,$A170))</f>
        <v/>
      </c>
      <c r="S170" s="34" t="str">
        <f>IF($A170="","",$J170-SUMIFS(SERVIZI!$AJ:$AJ,SERVIZI!$B:$B,$A170))</f>
        <v/>
      </c>
      <c r="T170" s="36" t="str">
        <f>IF($A170="","",IF($K170&lt;&gt;"OK","QUOTE NON QUADRATE",IF(COUNTIFS(SERVIZI!$B:$B,$A170,SERVIZI!$AN:$AN,"OK")&lt;$I170,"VERIFICARE SERVIZI","OK")))</f>
        <v/>
      </c>
    </row>
    <row r="171" spans="1:20" x14ac:dyDescent="0.3">
      <c r="A171" s="42"/>
      <c r="B171" s="42"/>
      <c r="C171" s="42"/>
      <c r="D171" s="42"/>
      <c r="E171" s="43"/>
      <c r="F171" s="43"/>
      <c r="G171" s="42"/>
      <c r="H171" s="44"/>
      <c r="I171" s="33" t="str">
        <f>IF($A171="","",COUNTIFS(SERVIZI!$B:$B,$A171))</f>
        <v/>
      </c>
      <c r="J171" s="34" t="str">
        <f>IF($A171="","",SUMIFS(SERVIZI!$Q:$Q,SERVIZI!$B:$B,$A171))</f>
        <v/>
      </c>
      <c r="K171" s="36" t="str">
        <f t="shared" si="20"/>
        <v/>
      </c>
      <c r="L171" s="34" t="str">
        <f>IF($A171="","",SUMIFS(SERVIZI!$P:$P,SERVIZI!$B:$B,$A171))</f>
        <v/>
      </c>
      <c r="M171" s="34" t="str">
        <f t="shared" si="21"/>
        <v/>
      </c>
      <c r="N171" s="33" t="str">
        <f>IF($A171="","",SUMIFS(SERVIZI!$M:$M,SERVIZI!$B:$B,$A171))</f>
        <v/>
      </c>
      <c r="O171" s="34" t="str">
        <f>IF($A171="","",SUMIFS(SERVIZI!$AC:$AC,SERVIZI!$B:$B,$A171))</f>
        <v/>
      </c>
      <c r="P171" s="34" t="str">
        <f t="shared" si="22"/>
        <v/>
      </c>
      <c r="Q171" s="35" t="str">
        <f t="shared" si="23"/>
        <v/>
      </c>
      <c r="R171" s="34" t="str">
        <f>IF($A171="","",SUMIFS(SERVIZI!$AK:$AK,SERVIZI!$B:$B,$A171))</f>
        <v/>
      </c>
      <c r="S171" s="34" t="str">
        <f>IF($A171="","",$J171-SUMIFS(SERVIZI!$AJ:$AJ,SERVIZI!$B:$B,$A171))</f>
        <v/>
      </c>
      <c r="T171" s="36" t="str">
        <f>IF($A171="","",IF($K171&lt;&gt;"OK","QUOTE NON QUADRATE",IF(COUNTIFS(SERVIZI!$B:$B,$A171,SERVIZI!$AN:$AN,"OK")&lt;$I171,"VERIFICARE SERVIZI","OK")))</f>
        <v/>
      </c>
    </row>
    <row r="172" spans="1:20" x14ac:dyDescent="0.3">
      <c r="A172" s="42"/>
      <c r="B172" s="42"/>
      <c r="C172" s="42"/>
      <c r="D172" s="42"/>
      <c r="E172" s="43"/>
      <c r="F172" s="43"/>
      <c r="G172" s="42"/>
      <c r="H172" s="44"/>
      <c r="I172" s="33" t="str">
        <f>IF($A172="","",COUNTIFS(SERVIZI!$B:$B,$A172))</f>
        <v/>
      </c>
      <c r="J172" s="34" t="str">
        <f>IF($A172="","",SUMIFS(SERVIZI!$Q:$Q,SERVIZI!$B:$B,$A172))</f>
        <v/>
      </c>
      <c r="K172" s="36" t="str">
        <f t="shared" si="20"/>
        <v/>
      </c>
      <c r="L172" s="34" t="str">
        <f>IF($A172="","",SUMIFS(SERVIZI!$P:$P,SERVIZI!$B:$B,$A172))</f>
        <v/>
      </c>
      <c r="M172" s="34" t="str">
        <f t="shared" si="21"/>
        <v/>
      </c>
      <c r="N172" s="33" t="str">
        <f>IF($A172="","",SUMIFS(SERVIZI!$M:$M,SERVIZI!$B:$B,$A172))</f>
        <v/>
      </c>
      <c r="O172" s="34" t="str">
        <f>IF($A172="","",SUMIFS(SERVIZI!$AC:$AC,SERVIZI!$B:$B,$A172))</f>
        <v/>
      </c>
      <c r="P172" s="34" t="str">
        <f t="shared" si="22"/>
        <v/>
      </c>
      <c r="Q172" s="35" t="str">
        <f t="shared" si="23"/>
        <v/>
      </c>
      <c r="R172" s="34" t="str">
        <f>IF($A172="","",SUMIFS(SERVIZI!$AK:$AK,SERVIZI!$B:$B,$A172))</f>
        <v/>
      </c>
      <c r="S172" s="34" t="str">
        <f>IF($A172="","",$J172-SUMIFS(SERVIZI!$AJ:$AJ,SERVIZI!$B:$B,$A172))</f>
        <v/>
      </c>
      <c r="T172" s="36" t="str">
        <f>IF($A172="","",IF($K172&lt;&gt;"OK","QUOTE NON QUADRATE",IF(COUNTIFS(SERVIZI!$B:$B,$A172,SERVIZI!$AN:$AN,"OK")&lt;$I172,"VERIFICARE SERVIZI","OK")))</f>
        <v/>
      </c>
    </row>
    <row r="173" spans="1:20" x14ac:dyDescent="0.3">
      <c r="A173" s="42"/>
      <c r="B173" s="42"/>
      <c r="C173" s="42"/>
      <c r="D173" s="42"/>
      <c r="E173" s="43"/>
      <c r="F173" s="43"/>
      <c r="G173" s="42"/>
      <c r="H173" s="44"/>
      <c r="I173" s="33" t="str">
        <f>IF($A173="","",COUNTIFS(SERVIZI!$B:$B,$A173))</f>
        <v/>
      </c>
      <c r="J173" s="34" t="str">
        <f>IF($A173="","",SUMIFS(SERVIZI!$Q:$Q,SERVIZI!$B:$B,$A173))</f>
        <v/>
      </c>
      <c r="K173" s="36" t="str">
        <f t="shared" si="20"/>
        <v/>
      </c>
      <c r="L173" s="34" t="str">
        <f>IF($A173="","",SUMIFS(SERVIZI!$P:$P,SERVIZI!$B:$B,$A173))</f>
        <v/>
      </c>
      <c r="M173" s="34" t="str">
        <f t="shared" si="21"/>
        <v/>
      </c>
      <c r="N173" s="33" t="str">
        <f>IF($A173="","",SUMIFS(SERVIZI!$M:$M,SERVIZI!$B:$B,$A173))</f>
        <v/>
      </c>
      <c r="O173" s="34" t="str">
        <f>IF($A173="","",SUMIFS(SERVIZI!$AC:$AC,SERVIZI!$B:$B,$A173))</f>
        <v/>
      </c>
      <c r="P173" s="34" t="str">
        <f t="shared" si="22"/>
        <v/>
      </c>
      <c r="Q173" s="35" t="str">
        <f t="shared" si="23"/>
        <v/>
      </c>
      <c r="R173" s="34" t="str">
        <f>IF($A173="","",SUMIFS(SERVIZI!$AK:$AK,SERVIZI!$B:$B,$A173))</f>
        <v/>
      </c>
      <c r="S173" s="34" t="str">
        <f>IF($A173="","",$J173-SUMIFS(SERVIZI!$AJ:$AJ,SERVIZI!$B:$B,$A173))</f>
        <v/>
      </c>
      <c r="T173" s="36" t="str">
        <f>IF($A173="","",IF($K173&lt;&gt;"OK","QUOTE NON QUADRATE",IF(COUNTIFS(SERVIZI!$B:$B,$A173,SERVIZI!$AN:$AN,"OK")&lt;$I173,"VERIFICARE SERVIZI","OK")))</f>
        <v/>
      </c>
    </row>
    <row r="174" spans="1:20" x14ac:dyDescent="0.3">
      <c r="A174" s="42"/>
      <c r="B174" s="42"/>
      <c r="C174" s="42"/>
      <c r="D174" s="42"/>
      <c r="E174" s="43"/>
      <c r="F174" s="43"/>
      <c r="G174" s="42"/>
      <c r="H174" s="44"/>
      <c r="I174" s="33" t="str">
        <f>IF($A174="","",COUNTIFS(SERVIZI!$B:$B,$A174))</f>
        <v/>
      </c>
      <c r="J174" s="34" t="str">
        <f>IF($A174="","",SUMIFS(SERVIZI!$Q:$Q,SERVIZI!$B:$B,$A174))</f>
        <v/>
      </c>
      <c r="K174" s="36" t="str">
        <f t="shared" si="20"/>
        <v/>
      </c>
      <c r="L174" s="34" t="str">
        <f>IF($A174="","",SUMIFS(SERVIZI!$P:$P,SERVIZI!$B:$B,$A174))</f>
        <v/>
      </c>
      <c r="M174" s="34" t="str">
        <f t="shared" si="21"/>
        <v/>
      </c>
      <c r="N174" s="33" t="str">
        <f>IF($A174="","",SUMIFS(SERVIZI!$M:$M,SERVIZI!$B:$B,$A174))</f>
        <v/>
      </c>
      <c r="O174" s="34" t="str">
        <f>IF($A174="","",SUMIFS(SERVIZI!$AC:$AC,SERVIZI!$B:$B,$A174))</f>
        <v/>
      </c>
      <c r="P174" s="34" t="str">
        <f t="shared" si="22"/>
        <v/>
      </c>
      <c r="Q174" s="35" t="str">
        <f t="shared" si="23"/>
        <v/>
      </c>
      <c r="R174" s="34" t="str">
        <f>IF($A174="","",SUMIFS(SERVIZI!$AK:$AK,SERVIZI!$B:$B,$A174))</f>
        <v/>
      </c>
      <c r="S174" s="34" t="str">
        <f>IF($A174="","",$J174-SUMIFS(SERVIZI!$AJ:$AJ,SERVIZI!$B:$B,$A174))</f>
        <v/>
      </c>
      <c r="T174" s="36" t="str">
        <f>IF($A174="","",IF($K174&lt;&gt;"OK","QUOTE NON QUADRATE",IF(COUNTIFS(SERVIZI!$B:$B,$A174,SERVIZI!$AN:$AN,"OK")&lt;$I174,"VERIFICARE SERVIZI","OK")))</f>
        <v/>
      </c>
    </row>
    <row r="175" spans="1:20" x14ac:dyDescent="0.3">
      <c r="A175" s="42"/>
      <c r="B175" s="42"/>
      <c r="C175" s="42"/>
      <c r="D175" s="42"/>
      <c r="E175" s="43"/>
      <c r="F175" s="43"/>
      <c r="G175" s="42"/>
      <c r="H175" s="44"/>
      <c r="I175" s="33" t="str">
        <f>IF($A175="","",COUNTIFS(SERVIZI!$B:$B,$A175))</f>
        <v/>
      </c>
      <c r="J175" s="34" t="str">
        <f>IF($A175="","",SUMIFS(SERVIZI!$Q:$Q,SERVIZI!$B:$B,$A175))</f>
        <v/>
      </c>
      <c r="K175" s="36" t="str">
        <f t="shared" si="20"/>
        <v/>
      </c>
      <c r="L175" s="34" t="str">
        <f>IF($A175="","",SUMIFS(SERVIZI!$P:$P,SERVIZI!$B:$B,$A175))</f>
        <v/>
      </c>
      <c r="M175" s="34" t="str">
        <f t="shared" si="21"/>
        <v/>
      </c>
      <c r="N175" s="33" t="str">
        <f>IF($A175="","",SUMIFS(SERVIZI!$M:$M,SERVIZI!$B:$B,$A175))</f>
        <v/>
      </c>
      <c r="O175" s="34" t="str">
        <f>IF($A175="","",SUMIFS(SERVIZI!$AC:$AC,SERVIZI!$B:$B,$A175))</f>
        <v/>
      </c>
      <c r="P175" s="34" t="str">
        <f t="shared" si="22"/>
        <v/>
      </c>
      <c r="Q175" s="35" t="str">
        <f t="shared" si="23"/>
        <v/>
      </c>
      <c r="R175" s="34" t="str">
        <f>IF($A175="","",SUMIFS(SERVIZI!$AK:$AK,SERVIZI!$B:$B,$A175))</f>
        <v/>
      </c>
      <c r="S175" s="34" t="str">
        <f>IF($A175="","",$J175-SUMIFS(SERVIZI!$AJ:$AJ,SERVIZI!$B:$B,$A175))</f>
        <v/>
      </c>
      <c r="T175" s="36" t="str">
        <f>IF($A175="","",IF($K175&lt;&gt;"OK","QUOTE NON QUADRATE",IF(COUNTIFS(SERVIZI!$B:$B,$A175,SERVIZI!$AN:$AN,"OK")&lt;$I175,"VERIFICARE SERVIZI","OK")))</f>
        <v/>
      </c>
    </row>
    <row r="176" spans="1:20" x14ac:dyDescent="0.3">
      <c r="A176" s="42"/>
      <c r="B176" s="42"/>
      <c r="C176" s="42"/>
      <c r="D176" s="42"/>
      <c r="E176" s="43"/>
      <c r="F176" s="43"/>
      <c r="G176" s="42"/>
      <c r="H176" s="44"/>
      <c r="I176" s="33" t="str">
        <f>IF($A176="","",COUNTIFS(SERVIZI!$B:$B,$A176))</f>
        <v/>
      </c>
      <c r="J176" s="34" t="str">
        <f>IF($A176="","",SUMIFS(SERVIZI!$Q:$Q,SERVIZI!$B:$B,$A176))</f>
        <v/>
      </c>
      <c r="K176" s="36" t="str">
        <f t="shared" si="20"/>
        <v/>
      </c>
      <c r="L176" s="34" t="str">
        <f>IF($A176="","",SUMIFS(SERVIZI!$P:$P,SERVIZI!$B:$B,$A176))</f>
        <v/>
      </c>
      <c r="M176" s="34" t="str">
        <f t="shared" si="21"/>
        <v/>
      </c>
      <c r="N176" s="33" t="str">
        <f>IF($A176="","",SUMIFS(SERVIZI!$M:$M,SERVIZI!$B:$B,$A176))</f>
        <v/>
      </c>
      <c r="O176" s="34" t="str">
        <f>IF($A176="","",SUMIFS(SERVIZI!$AC:$AC,SERVIZI!$B:$B,$A176))</f>
        <v/>
      </c>
      <c r="P176" s="34" t="str">
        <f t="shared" si="22"/>
        <v/>
      </c>
      <c r="Q176" s="35" t="str">
        <f t="shared" si="23"/>
        <v/>
      </c>
      <c r="R176" s="34" t="str">
        <f>IF($A176="","",SUMIFS(SERVIZI!$AK:$AK,SERVIZI!$B:$B,$A176))</f>
        <v/>
      </c>
      <c r="S176" s="34" t="str">
        <f>IF($A176="","",$J176-SUMIFS(SERVIZI!$AJ:$AJ,SERVIZI!$B:$B,$A176))</f>
        <v/>
      </c>
      <c r="T176" s="36" t="str">
        <f>IF($A176="","",IF($K176&lt;&gt;"OK","QUOTE NON QUADRATE",IF(COUNTIFS(SERVIZI!$B:$B,$A176,SERVIZI!$AN:$AN,"OK")&lt;$I176,"VERIFICARE SERVIZI","OK")))</f>
        <v/>
      </c>
    </row>
    <row r="177" spans="1:20" x14ac:dyDescent="0.3">
      <c r="A177" s="42"/>
      <c r="B177" s="42"/>
      <c r="C177" s="42"/>
      <c r="D177" s="42"/>
      <c r="E177" s="43"/>
      <c r="F177" s="43"/>
      <c r="G177" s="42"/>
      <c r="H177" s="44"/>
      <c r="I177" s="33" t="str">
        <f>IF($A177="","",COUNTIFS(SERVIZI!$B:$B,$A177))</f>
        <v/>
      </c>
      <c r="J177" s="34" t="str">
        <f>IF($A177="","",SUMIFS(SERVIZI!$Q:$Q,SERVIZI!$B:$B,$A177))</f>
        <v/>
      </c>
      <c r="K177" s="36" t="str">
        <f t="shared" si="20"/>
        <v/>
      </c>
      <c r="L177" s="34" t="str">
        <f>IF($A177="","",SUMIFS(SERVIZI!$P:$P,SERVIZI!$B:$B,$A177))</f>
        <v/>
      </c>
      <c r="M177" s="34" t="str">
        <f t="shared" si="21"/>
        <v/>
      </c>
      <c r="N177" s="33" t="str">
        <f>IF($A177="","",SUMIFS(SERVIZI!$M:$M,SERVIZI!$B:$B,$A177))</f>
        <v/>
      </c>
      <c r="O177" s="34" t="str">
        <f>IF($A177="","",SUMIFS(SERVIZI!$AC:$AC,SERVIZI!$B:$B,$A177))</f>
        <v/>
      </c>
      <c r="P177" s="34" t="str">
        <f t="shared" si="22"/>
        <v/>
      </c>
      <c r="Q177" s="35" t="str">
        <f t="shared" si="23"/>
        <v/>
      </c>
      <c r="R177" s="34" t="str">
        <f>IF($A177="","",SUMIFS(SERVIZI!$AK:$AK,SERVIZI!$B:$B,$A177))</f>
        <v/>
      </c>
      <c r="S177" s="34" t="str">
        <f>IF($A177="","",$J177-SUMIFS(SERVIZI!$AJ:$AJ,SERVIZI!$B:$B,$A177))</f>
        <v/>
      </c>
      <c r="T177" s="36" t="str">
        <f>IF($A177="","",IF($K177&lt;&gt;"OK","QUOTE NON QUADRATE",IF(COUNTIFS(SERVIZI!$B:$B,$A177,SERVIZI!$AN:$AN,"OK")&lt;$I177,"VERIFICARE SERVIZI","OK")))</f>
        <v/>
      </c>
    </row>
    <row r="178" spans="1:20" x14ac:dyDescent="0.3">
      <c r="A178" s="42"/>
      <c r="B178" s="42"/>
      <c r="C178" s="42"/>
      <c r="D178" s="42"/>
      <c r="E178" s="43"/>
      <c r="F178" s="43"/>
      <c r="G178" s="42"/>
      <c r="H178" s="44"/>
      <c r="I178" s="33" t="str">
        <f>IF($A178="","",COUNTIFS(SERVIZI!$B:$B,$A178))</f>
        <v/>
      </c>
      <c r="J178" s="34" t="str">
        <f>IF($A178="","",SUMIFS(SERVIZI!$Q:$Q,SERVIZI!$B:$B,$A178))</f>
        <v/>
      </c>
      <c r="K178" s="36" t="str">
        <f t="shared" si="20"/>
        <v/>
      </c>
      <c r="L178" s="34" t="str">
        <f>IF($A178="","",SUMIFS(SERVIZI!$P:$P,SERVIZI!$B:$B,$A178))</f>
        <v/>
      </c>
      <c r="M178" s="34" t="str">
        <f t="shared" si="21"/>
        <v/>
      </c>
      <c r="N178" s="33" t="str">
        <f>IF($A178="","",SUMIFS(SERVIZI!$M:$M,SERVIZI!$B:$B,$A178))</f>
        <v/>
      </c>
      <c r="O178" s="34" t="str">
        <f>IF($A178="","",SUMIFS(SERVIZI!$AC:$AC,SERVIZI!$B:$B,$A178))</f>
        <v/>
      </c>
      <c r="P178" s="34" t="str">
        <f t="shared" si="22"/>
        <v/>
      </c>
      <c r="Q178" s="35" t="str">
        <f t="shared" si="23"/>
        <v/>
      </c>
      <c r="R178" s="34" t="str">
        <f>IF($A178="","",SUMIFS(SERVIZI!$AK:$AK,SERVIZI!$B:$B,$A178))</f>
        <v/>
      </c>
      <c r="S178" s="34" t="str">
        <f>IF($A178="","",$J178-SUMIFS(SERVIZI!$AJ:$AJ,SERVIZI!$B:$B,$A178))</f>
        <v/>
      </c>
      <c r="T178" s="36" t="str">
        <f>IF($A178="","",IF($K178&lt;&gt;"OK","QUOTE NON QUADRATE",IF(COUNTIFS(SERVIZI!$B:$B,$A178,SERVIZI!$AN:$AN,"OK")&lt;$I178,"VERIFICARE SERVIZI","OK")))</f>
        <v/>
      </c>
    </row>
    <row r="179" spans="1:20" x14ac:dyDescent="0.3">
      <c r="A179" s="42"/>
      <c r="B179" s="42"/>
      <c r="C179" s="42"/>
      <c r="D179" s="42"/>
      <c r="E179" s="43"/>
      <c r="F179" s="43"/>
      <c r="G179" s="42"/>
      <c r="H179" s="44"/>
      <c r="I179" s="33" t="str">
        <f>IF($A179="","",COUNTIFS(SERVIZI!$B:$B,$A179))</f>
        <v/>
      </c>
      <c r="J179" s="34" t="str">
        <f>IF($A179="","",SUMIFS(SERVIZI!$Q:$Q,SERVIZI!$B:$B,$A179))</f>
        <v/>
      </c>
      <c r="K179" s="36" t="str">
        <f t="shared" si="20"/>
        <v/>
      </c>
      <c r="L179" s="34" t="str">
        <f>IF($A179="","",SUMIFS(SERVIZI!$P:$P,SERVIZI!$B:$B,$A179))</f>
        <v/>
      </c>
      <c r="M179" s="34" t="str">
        <f t="shared" si="21"/>
        <v/>
      </c>
      <c r="N179" s="33" t="str">
        <f>IF($A179="","",SUMIFS(SERVIZI!$M:$M,SERVIZI!$B:$B,$A179))</f>
        <v/>
      </c>
      <c r="O179" s="34" t="str">
        <f>IF($A179="","",SUMIFS(SERVIZI!$AC:$AC,SERVIZI!$B:$B,$A179))</f>
        <v/>
      </c>
      <c r="P179" s="34" t="str">
        <f t="shared" si="22"/>
        <v/>
      </c>
      <c r="Q179" s="35" t="str">
        <f t="shared" si="23"/>
        <v/>
      </c>
      <c r="R179" s="34" t="str">
        <f>IF($A179="","",SUMIFS(SERVIZI!$AK:$AK,SERVIZI!$B:$B,$A179))</f>
        <v/>
      </c>
      <c r="S179" s="34" t="str">
        <f>IF($A179="","",$J179-SUMIFS(SERVIZI!$AJ:$AJ,SERVIZI!$B:$B,$A179))</f>
        <v/>
      </c>
      <c r="T179" s="36" t="str">
        <f>IF($A179="","",IF($K179&lt;&gt;"OK","QUOTE NON QUADRATE",IF(COUNTIFS(SERVIZI!$B:$B,$A179,SERVIZI!$AN:$AN,"OK")&lt;$I179,"VERIFICARE SERVIZI","OK")))</f>
        <v/>
      </c>
    </row>
    <row r="180" spans="1:20" x14ac:dyDescent="0.3">
      <c r="A180" s="42"/>
      <c r="B180" s="42"/>
      <c r="C180" s="42"/>
      <c r="D180" s="42"/>
      <c r="E180" s="43"/>
      <c r="F180" s="43"/>
      <c r="G180" s="42"/>
      <c r="H180" s="44"/>
      <c r="I180" s="33" t="str">
        <f>IF($A180="","",COUNTIFS(SERVIZI!$B:$B,$A180))</f>
        <v/>
      </c>
      <c r="J180" s="34" t="str">
        <f>IF($A180="","",SUMIFS(SERVIZI!$Q:$Q,SERVIZI!$B:$B,$A180))</f>
        <v/>
      </c>
      <c r="K180" s="36" t="str">
        <f t="shared" si="20"/>
        <v/>
      </c>
      <c r="L180" s="34" t="str">
        <f>IF($A180="","",SUMIFS(SERVIZI!$P:$P,SERVIZI!$B:$B,$A180))</f>
        <v/>
      </c>
      <c r="M180" s="34" t="str">
        <f t="shared" si="21"/>
        <v/>
      </c>
      <c r="N180" s="33" t="str">
        <f>IF($A180="","",SUMIFS(SERVIZI!$M:$M,SERVIZI!$B:$B,$A180))</f>
        <v/>
      </c>
      <c r="O180" s="34" t="str">
        <f>IF($A180="","",SUMIFS(SERVIZI!$AC:$AC,SERVIZI!$B:$B,$A180))</f>
        <v/>
      </c>
      <c r="P180" s="34" t="str">
        <f t="shared" si="22"/>
        <v/>
      </c>
      <c r="Q180" s="35" t="str">
        <f t="shared" si="23"/>
        <v/>
      </c>
      <c r="R180" s="34" t="str">
        <f>IF($A180="","",SUMIFS(SERVIZI!$AK:$AK,SERVIZI!$B:$B,$A180))</f>
        <v/>
      </c>
      <c r="S180" s="34" t="str">
        <f>IF($A180="","",$J180-SUMIFS(SERVIZI!$AJ:$AJ,SERVIZI!$B:$B,$A180))</f>
        <v/>
      </c>
      <c r="T180" s="36" t="str">
        <f>IF($A180="","",IF($K180&lt;&gt;"OK","QUOTE NON QUADRATE",IF(COUNTIFS(SERVIZI!$B:$B,$A180,SERVIZI!$AN:$AN,"OK")&lt;$I180,"VERIFICARE SERVIZI","OK")))</f>
        <v/>
      </c>
    </row>
    <row r="181" spans="1:20" x14ac:dyDescent="0.3">
      <c r="A181" s="42"/>
      <c r="B181" s="42"/>
      <c r="C181" s="42"/>
      <c r="D181" s="42"/>
      <c r="E181" s="43"/>
      <c r="F181" s="43"/>
      <c r="G181" s="42"/>
      <c r="H181" s="44"/>
      <c r="I181" s="33" t="str">
        <f>IF($A181="","",COUNTIFS(SERVIZI!$B:$B,$A181))</f>
        <v/>
      </c>
      <c r="J181" s="34" t="str">
        <f>IF($A181="","",SUMIFS(SERVIZI!$Q:$Q,SERVIZI!$B:$B,$A181))</f>
        <v/>
      </c>
      <c r="K181" s="36" t="str">
        <f t="shared" si="20"/>
        <v/>
      </c>
      <c r="L181" s="34" t="str">
        <f>IF($A181="","",SUMIFS(SERVIZI!$P:$P,SERVIZI!$B:$B,$A181))</f>
        <v/>
      </c>
      <c r="M181" s="34" t="str">
        <f t="shared" si="21"/>
        <v/>
      </c>
      <c r="N181" s="33" t="str">
        <f>IF($A181="","",SUMIFS(SERVIZI!$M:$M,SERVIZI!$B:$B,$A181))</f>
        <v/>
      </c>
      <c r="O181" s="34" t="str">
        <f>IF($A181="","",SUMIFS(SERVIZI!$AC:$AC,SERVIZI!$B:$B,$A181))</f>
        <v/>
      </c>
      <c r="P181" s="34" t="str">
        <f t="shared" si="22"/>
        <v/>
      </c>
      <c r="Q181" s="35" t="str">
        <f t="shared" si="23"/>
        <v/>
      </c>
      <c r="R181" s="34" t="str">
        <f>IF($A181="","",SUMIFS(SERVIZI!$AK:$AK,SERVIZI!$B:$B,$A181))</f>
        <v/>
      </c>
      <c r="S181" s="34" t="str">
        <f>IF($A181="","",$J181-SUMIFS(SERVIZI!$AJ:$AJ,SERVIZI!$B:$B,$A181))</f>
        <v/>
      </c>
      <c r="T181" s="36" t="str">
        <f>IF($A181="","",IF($K181&lt;&gt;"OK","QUOTE NON QUADRATE",IF(COUNTIFS(SERVIZI!$B:$B,$A181,SERVIZI!$AN:$AN,"OK")&lt;$I181,"VERIFICARE SERVIZI","OK")))</f>
        <v/>
      </c>
    </row>
    <row r="182" spans="1:20" x14ac:dyDescent="0.3">
      <c r="A182" s="42"/>
      <c r="B182" s="42"/>
      <c r="C182" s="42"/>
      <c r="D182" s="42"/>
      <c r="E182" s="43"/>
      <c r="F182" s="43"/>
      <c r="G182" s="42"/>
      <c r="H182" s="44"/>
      <c r="I182" s="33" t="str">
        <f>IF($A182="","",COUNTIFS(SERVIZI!$B:$B,$A182))</f>
        <v/>
      </c>
      <c r="J182" s="34" t="str">
        <f>IF($A182="","",SUMIFS(SERVIZI!$Q:$Q,SERVIZI!$B:$B,$A182))</f>
        <v/>
      </c>
      <c r="K182" s="36" t="str">
        <f t="shared" si="20"/>
        <v/>
      </c>
      <c r="L182" s="34" t="str">
        <f>IF($A182="","",SUMIFS(SERVIZI!$P:$P,SERVIZI!$B:$B,$A182))</f>
        <v/>
      </c>
      <c r="M182" s="34" t="str">
        <f t="shared" si="21"/>
        <v/>
      </c>
      <c r="N182" s="33" t="str">
        <f>IF($A182="","",SUMIFS(SERVIZI!$M:$M,SERVIZI!$B:$B,$A182))</f>
        <v/>
      </c>
      <c r="O182" s="34" t="str">
        <f>IF($A182="","",SUMIFS(SERVIZI!$AC:$AC,SERVIZI!$B:$B,$A182))</f>
        <v/>
      </c>
      <c r="P182" s="34" t="str">
        <f t="shared" si="22"/>
        <v/>
      </c>
      <c r="Q182" s="35" t="str">
        <f t="shared" si="23"/>
        <v/>
      </c>
      <c r="R182" s="34" t="str">
        <f>IF($A182="","",SUMIFS(SERVIZI!$AK:$AK,SERVIZI!$B:$B,$A182))</f>
        <v/>
      </c>
      <c r="S182" s="34" t="str">
        <f>IF($A182="","",$J182-SUMIFS(SERVIZI!$AJ:$AJ,SERVIZI!$B:$B,$A182))</f>
        <v/>
      </c>
      <c r="T182" s="36" t="str">
        <f>IF($A182="","",IF($K182&lt;&gt;"OK","QUOTE NON QUADRATE",IF(COUNTIFS(SERVIZI!$B:$B,$A182,SERVIZI!$AN:$AN,"OK")&lt;$I182,"VERIFICARE SERVIZI","OK")))</f>
        <v/>
      </c>
    </row>
    <row r="183" spans="1:20" x14ac:dyDescent="0.3">
      <c r="A183" s="42"/>
      <c r="B183" s="42"/>
      <c r="C183" s="42"/>
      <c r="D183" s="42"/>
      <c r="E183" s="43"/>
      <c r="F183" s="43"/>
      <c r="G183" s="42"/>
      <c r="H183" s="44"/>
      <c r="I183" s="33" t="str">
        <f>IF($A183="","",COUNTIFS(SERVIZI!$B:$B,$A183))</f>
        <v/>
      </c>
      <c r="J183" s="34" t="str">
        <f>IF($A183="","",SUMIFS(SERVIZI!$Q:$Q,SERVIZI!$B:$B,$A183))</f>
        <v/>
      </c>
      <c r="K183" s="36" t="str">
        <f t="shared" si="20"/>
        <v/>
      </c>
      <c r="L183" s="34" t="str">
        <f>IF($A183="","",SUMIFS(SERVIZI!$P:$P,SERVIZI!$B:$B,$A183))</f>
        <v/>
      </c>
      <c r="M183" s="34" t="str">
        <f t="shared" si="21"/>
        <v/>
      </c>
      <c r="N183" s="33" t="str">
        <f>IF($A183="","",SUMIFS(SERVIZI!$M:$M,SERVIZI!$B:$B,$A183))</f>
        <v/>
      </c>
      <c r="O183" s="34" t="str">
        <f>IF($A183="","",SUMIFS(SERVIZI!$AC:$AC,SERVIZI!$B:$B,$A183))</f>
        <v/>
      </c>
      <c r="P183" s="34" t="str">
        <f t="shared" si="22"/>
        <v/>
      </c>
      <c r="Q183" s="35" t="str">
        <f t="shared" si="23"/>
        <v/>
      </c>
      <c r="R183" s="34" t="str">
        <f>IF($A183="","",SUMIFS(SERVIZI!$AK:$AK,SERVIZI!$B:$B,$A183))</f>
        <v/>
      </c>
      <c r="S183" s="34" t="str">
        <f>IF($A183="","",$J183-SUMIFS(SERVIZI!$AJ:$AJ,SERVIZI!$B:$B,$A183))</f>
        <v/>
      </c>
      <c r="T183" s="36" t="str">
        <f>IF($A183="","",IF($K183&lt;&gt;"OK","QUOTE NON QUADRATE",IF(COUNTIFS(SERVIZI!$B:$B,$A183,SERVIZI!$AN:$AN,"OK")&lt;$I183,"VERIFICARE SERVIZI","OK")))</f>
        <v/>
      </c>
    </row>
    <row r="184" spans="1:20" x14ac:dyDescent="0.3">
      <c r="A184" s="42"/>
      <c r="B184" s="42"/>
      <c r="C184" s="42"/>
      <c r="D184" s="42"/>
      <c r="E184" s="43"/>
      <c r="F184" s="43"/>
      <c r="G184" s="42"/>
      <c r="H184" s="44"/>
      <c r="I184" s="33" t="str">
        <f>IF($A184="","",COUNTIFS(SERVIZI!$B:$B,$A184))</f>
        <v/>
      </c>
      <c r="J184" s="34" t="str">
        <f>IF($A184="","",SUMIFS(SERVIZI!$Q:$Q,SERVIZI!$B:$B,$A184))</f>
        <v/>
      </c>
      <c r="K184" s="36" t="str">
        <f t="shared" si="20"/>
        <v/>
      </c>
      <c r="L184" s="34" t="str">
        <f>IF($A184="","",SUMIFS(SERVIZI!$P:$P,SERVIZI!$B:$B,$A184))</f>
        <v/>
      </c>
      <c r="M184" s="34" t="str">
        <f t="shared" si="21"/>
        <v/>
      </c>
      <c r="N184" s="33" t="str">
        <f>IF($A184="","",SUMIFS(SERVIZI!$M:$M,SERVIZI!$B:$B,$A184))</f>
        <v/>
      </c>
      <c r="O184" s="34" t="str">
        <f>IF($A184="","",SUMIFS(SERVIZI!$AC:$AC,SERVIZI!$B:$B,$A184))</f>
        <v/>
      </c>
      <c r="P184" s="34" t="str">
        <f t="shared" si="22"/>
        <v/>
      </c>
      <c r="Q184" s="35" t="str">
        <f t="shared" si="23"/>
        <v/>
      </c>
      <c r="R184" s="34" t="str">
        <f>IF($A184="","",SUMIFS(SERVIZI!$AK:$AK,SERVIZI!$B:$B,$A184))</f>
        <v/>
      </c>
      <c r="S184" s="34" t="str">
        <f>IF($A184="","",$J184-SUMIFS(SERVIZI!$AJ:$AJ,SERVIZI!$B:$B,$A184))</f>
        <v/>
      </c>
      <c r="T184" s="36" t="str">
        <f>IF($A184="","",IF($K184&lt;&gt;"OK","QUOTE NON QUADRATE",IF(COUNTIFS(SERVIZI!$B:$B,$A184,SERVIZI!$AN:$AN,"OK")&lt;$I184,"VERIFICARE SERVIZI","OK")))</f>
        <v/>
      </c>
    </row>
    <row r="185" spans="1:20" x14ac:dyDescent="0.3">
      <c r="A185" s="42"/>
      <c r="B185" s="42"/>
      <c r="C185" s="42"/>
      <c r="D185" s="42"/>
      <c r="E185" s="43"/>
      <c r="F185" s="43"/>
      <c r="G185" s="42"/>
      <c r="H185" s="44"/>
      <c r="I185" s="33" t="str">
        <f>IF($A185="","",COUNTIFS(SERVIZI!$B:$B,$A185))</f>
        <v/>
      </c>
      <c r="J185" s="34" t="str">
        <f>IF($A185="","",SUMIFS(SERVIZI!$Q:$Q,SERVIZI!$B:$B,$A185))</f>
        <v/>
      </c>
      <c r="K185" s="36" t="str">
        <f t="shared" si="20"/>
        <v/>
      </c>
      <c r="L185" s="34" t="str">
        <f>IF($A185="","",SUMIFS(SERVIZI!$P:$P,SERVIZI!$B:$B,$A185))</f>
        <v/>
      </c>
      <c r="M185" s="34" t="str">
        <f t="shared" si="21"/>
        <v/>
      </c>
      <c r="N185" s="33" t="str">
        <f>IF($A185="","",SUMIFS(SERVIZI!$M:$M,SERVIZI!$B:$B,$A185))</f>
        <v/>
      </c>
      <c r="O185" s="34" t="str">
        <f>IF($A185="","",SUMIFS(SERVIZI!$AC:$AC,SERVIZI!$B:$B,$A185))</f>
        <v/>
      </c>
      <c r="P185" s="34" t="str">
        <f t="shared" si="22"/>
        <v/>
      </c>
      <c r="Q185" s="35" t="str">
        <f t="shared" si="23"/>
        <v/>
      </c>
      <c r="R185" s="34" t="str">
        <f>IF($A185="","",SUMIFS(SERVIZI!$AK:$AK,SERVIZI!$B:$B,$A185))</f>
        <v/>
      </c>
      <c r="S185" s="34" t="str">
        <f>IF($A185="","",$J185-SUMIFS(SERVIZI!$AJ:$AJ,SERVIZI!$B:$B,$A185))</f>
        <v/>
      </c>
      <c r="T185" s="36" t="str">
        <f>IF($A185="","",IF($K185&lt;&gt;"OK","QUOTE NON QUADRATE",IF(COUNTIFS(SERVIZI!$B:$B,$A185,SERVIZI!$AN:$AN,"OK")&lt;$I185,"VERIFICARE SERVIZI","OK")))</f>
        <v/>
      </c>
    </row>
    <row r="186" spans="1:20" x14ac:dyDescent="0.3">
      <c r="A186" s="42"/>
      <c r="B186" s="42"/>
      <c r="C186" s="42"/>
      <c r="D186" s="42"/>
      <c r="E186" s="43"/>
      <c r="F186" s="43"/>
      <c r="G186" s="42"/>
      <c r="H186" s="44"/>
      <c r="I186" s="33" t="str">
        <f>IF($A186="","",COUNTIFS(SERVIZI!$B:$B,$A186))</f>
        <v/>
      </c>
      <c r="J186" s="34" t="str">
        <f>IF($A186="","",SUMIFS(SERVIZI!$Q:$Q,SERVIZI!$B:$B,$A186))</f>
        <v/>
      </c>
      <c r="K186" s="36" t="str">
        <f t="shared" si="20"/>
        <v/>
      </c>
      <c r="L186" s="34" t="str">
        <f>IF($A186="","",SUMIFS(SERVIZI!$P:$P,SERVIZI!$B:$B,$A186))</f>
        <v/>
      </c>
      <c r="M186" s="34" t="str">
        <f t="shared" si="21"/>
        <v/>
      </c>
      <c r="N186" s="33" t="str">
        <f>IF($A186="","",SUMIFS(SERVIZI!$M:$M,SERVIZI!$B:$B,$A186))</f>
        <v/>
      </c>
      <c r="O186" s="34" t="str">
        <f>IF($A186="","",SUMIFS(SERVIZI!$AC:$AC,SERVIZI!$B:$B,$A186))</f>
        <v/>
      </c>
      <c r="P186" s="34" t="str">
        <f t="shared" si="22"/>
        <v/>
      </c>
      <c r="Q186" s="35" t="str">
        <f t="shared" si="23"/>
        <v/>
      </c>
      <c r="R186" s="34" t="str">
        <f>IF($A186="","",SUMIFS(SERVIZI!$AK:$AK,SERVIZI!$B:$B,$A186))</f>
        <v/>
      </c>
      <c r="S186" s="34" t="str">
        <f>IF($A186="","",$J186-SUMIFS(SERVIZI!$AJ:$AJ,SERVIZI!$B:$B,$A186))</f>
        <v/>
      </c>
      <c r="T186" s="36" t="str">
        <f>IF($A186="","",IF($K186&lt;&gt;"OK","QUOTE NON QUADRATE",IF(COUNTIFS(SERVIZI!$B:$B,$A186,SERVIZI!$AN:$AN,"OK")&lt;$I186,"VERIFICARE SERVIZI","OK")))</f>
        <v/>
      </c>
    </row>
    <row r="187" spans="1:20" x14ac:dyDescent="0.3">
      <c r="A187" s="42"/>
      <c r="B187" s="42"/>
      <c r="C187" s="42"/>
      <c r="D187" s="42"/>
      <c r="E187" s="43"/>
      <c r="F187" s="43"/>
      <c r="G187" s="42"/>
      <c r="H187" s="44"/>
      <c r="I187" s="33" t="str">
        <f>IF($A187="","",COUNTIFS(SERVIZI!$B:$B,$A187))</f>
        <v/>
      </c>
      <c r="J187" s="34" t="str">
        <f>IF($A187="","",SUMIFS(SERVIZI!$Q:$Q,SERVIZI!$B:$B,$A187))</f>
        <v/>
      </c>
      <c r="K187" s="36" t="str">
        <f t="shared" si="20"/>
        <v/>
      </c>
      <c r="L187" s="34" t="str">
        <f>IF($A187="","",SUMIFS(SERVIZI!$P:$P,SERVIZI!$B:$B,$A187))</f>
        <v/>
      </c>
      <c r="M187" s="34" t="str">
        <f t="shared" si="21"/>
        <v/>
      </c>
      <c r="N187" s="33" t="str">
        <f>IF($A187="","",SUMIFS(SERVIZI!$M:$M,SERVIZI!$B:$B,$A187))</f>
        <v/>
      </c>
      <c r="O187" s="34" t="str">
        <f>IF($A187="","",SUMIFS(SERVIZI!$AC:$AC,SERVIZI!$B:$B,$A187))</f>
        <v/>
      </c>
      <c r="P187" s="34" t="str">
        <f t="shared" si="22"/>
        <v/>
      </c>
      <c r="Q187" s="35" t="str">
        <f t="shared" si="23"/>
        <v/>
      </c>
      <c r="R187" s="34" t="str">
        <f>IF($A187="","",SUMIFS(SERVIZI!$AK:$AK,SERVIZI!$B:$B,$A187))</f>
        <v/>
      </c>
      <c r="S187" s="34" t="str">
        <f>IF($A187="","",$J187-SUMIFS(SERVIZI!$AJ:$AJ,SERVIZI!$B:$B,$A187))</f>
        <v/>
      </c>
      <c r="T187" s="36" t="str">
        <f>IF($A187="","",IF($K187&lt;&gt;"OK","QUOTE NON QUADRATE",IF(COUNTIFS(SERVIZI!$B:$B,$A187,SERVIZI!$AN:$AN,"OK")&lt;$I187,"VERIFICARE SERVIZI","OK")))</f>
        <v/>
      </c>
    </row>
    <row r="188" spans="1:20" x14ac:dyDescent="0.3">
      <c r="A188" s="42"/>
      <c r="B188" s="42"/>
      <c r="C188" s="42"/>
      <c r="D188" s="42"/>
      <c r="E188" s="43"/>
      <c r="F188" s="43"/>
      <c r="G188" s="42"/>
      <c r="H188" s="44"/>
      <c r="I188" s="33" t="str">
        <f>IF($A188="","",COUNTIFS(SERVIZI!$B:$B,$A188))</f>
        <v/>
      </c>
      <c r="J188" s="34" t="str">
        <f>IF($A188="","",SUMIFS(SERVIZI!$Q:$Q,SERVIZI!$B:$B,$A188))</f>
        <v/>
      </c>
      <c r="K188" s="36" t="str">
        <f t="shared" si="20"/>
        <v/>
      </c>
      <c r="L188" s="34" t="str">
        <f>IF($A188="","",SUMIFS(SERVIZI!$P:$P,SERVIZI!$B:$B,$A188))</f>
        <v/>
      </c>
      <c r="M188" s="34" t="str">
        <f t="shared" si="21"/>
        <v/>
      </c>
      <c r="N188" s="33" t="str">
        <f>IF($A188="","",SUMIFS(SERVIZI!$M:$M,SERVIZI!$B:$B,$A188))</f>
        <v/>
      </c>
      <c r="O188" s="34" t="str">
        <f>IF($A188="","",SUMIFS(SERVIZI!$AC:$AC,SERVIZI!$B:$B,$A188))</f>
        <v/>
      </c>
      <c r="P188" s="34" t="str">
        <f t="shared" si="22"/>
        <v/>
      </c>
      <c r="Q188" s="35" t="str">
        <f t="shared" si="23"/>
        <v/>
      </c>
      <c r="R188" s="34" t="str">
        <f>IF($A188="","",SUMIFS(SERVIZI!$AK:$AK,SERVIZI!$B:$B,$A188))</f>
        <v/>
      </c>
      <c r="S188" s="34" t="str">
        <f>IF($A188="","",$J188-SUMIFS(SERVIZI!$AJ:$AJ,SERVIZI!$B:$B,$A188))</f>
        <v/>
      </c>
      <c r="T188" s="36" t="str">
        <f>IF($A188="","",IF($K188&lt;&gt;"OK","QUOTE NON QUADRATE",IF(COUNTIFS(SERVIZI!$B:$B,$A188,SERVIZI!$AN:$AN,"OK")&lt;$I188,"VERIFICARE SERVIZI","OK")))</f>
        <v/>
      </c>
    </row>
    <row r="189" spans="1:20" x14ac:dyDescent="0.3">
      <c r="A189" s="42"/>
      <c r="B189" s="42"/>
      <c r="C189" s="42"/>
      <c r="D189" s="42"/>
      <c r="E189" s="43"/>
      <c r="F189" s="43"/>
      <c r="G189" s="42"/>
      <c r="H189" s="44"/>
      <c r="I189" s="33" t="str">
        <f>IF($A189="","",COUNTIFS(SERVIZI!$B:$B,$A189))</f>
        <v/>
      </c>
      <c r="J189" s="34" t="str">
        <f>IF($A189="","",SUMIFS(SERVIZI!$Q:$Q,SERVIZI!$B:$B,$A189))</f>
        <v/>
      </c>
      <c r="K189" s="36" t="str">
        <f t="shared" si="20"/>
        <v/>
      </c>
      <c r="L189" s="34" t="str">
        <f>IF($A189="","",SUMIFS(SERVIZI!$P:$P,SERVIZI!$B:$B,$A189))</f>
        <v/>
      </c>
      <c r="M189" s="34" t="str">
        <f t="shared" si="21"/>
        <v/>
      </c>
      <c r="N189" s="33" t="str">
        <f>IF($A189="","",SUMIFS(SERVIZI!$M:$M,SERVIZI!$B:$B,$A189))</f>
        <v/>
      </c>
      <c r="O189" s="34" t="str">
        <f>IF($A189="","",SUMIFS(SERVIZI!$AC:$AC,SERVIZI!$B:$B,$A189))</f>
        <v/>
      </c>
      <c r="P189" s="34" t="str">
        <f t="shared" si="22"/>
        <v/>
      </c>
      <c r="Q189" s="35" t="str">
        <f t="shared" si="23"/>
        <v/>
      </c>
      <c r="R189" s="34" t="str">
        <f>IF($A189="","",SUMIFS(SERVIZI!$AK:$AK,SERVIZI!$B:$B,$A189))</f>
        <v/>
      </c>
      <c r="S189" s="34" t="str">
        <f>IF($A189="","",$J189-SUMIFS(SERVIZI!$AJ:$AJ,SERVIZI!$B:$B,$A189))</f>
        <v/>
      </c>
      <c r="T189" s="36" t="str">
        <f>IF($A189="","",IF($K189&lt;&gt;"OK","QUOTE NON QUADRATE",IF(COUNTIFS(SERVIZI!$B:$B,$A189,SERVIZI!$AN:$AN,"OK")&lt;$I189,"VERIFICARE SERVIZI","OK")))</f>
        <v/>
      </c>
    </row>
    <row r="190" spans="1:20" x14ac:dyDescent="0.3">
      <c r="A190" s="42"/>
      <c r="B190" s="42"/>
      <c r="C190" s="42"/>
      <c r="D190" s="42"/>
      <c r="E190" s="43"/>
      <c r="F190" s="43"/>
      <c r="G190" s="42"/>
      <c r="H190" s="44"/>
      <c r="I190" s="33" t="str">
        <f>IF($A190="","",COUNTIFS(SERVIZI!$B:$B,$A190))</f>
        <v/>
      </c>
      <c r="J190" s="34" t="str">
        <f>IF($A190="","",SUMIFS(SERVIZI!$Q:$Q,SERVIZI!$B:$B,$A190))</f>
        <v/>
      </c>
      <c r="K190" s="36" t="str">
        <f t="shared" si="20"/>
        <v/>
      </c>
      <c r="L190" s="34" t="str">
        <f>IF($A190="","",SUMIFS(SERVIZI!$P:$P,SERVIZI!$B:$B,$A190))</f>
        <v/>
      </c>
      <c r="M190" s="34" t="str">
        <f t="shared" si="21"/>
        <v/>
      </c>
      <c r="N190" s="33" t="str">
        <f>IF($A190="","",SUMIFS(SERVIZI!$M:$M,SERVIZI!$B:$B,$A190))</f>
        <v/>
      </c>
      <c r="O190" s="34" t="str">
        <f>IF($A190="","",SUMIFS(SERVIZI!$AC:$AC,SERVIZI!$B:$B,$A190))</f>
        <v/>
      </c>
      <c r="P190" s="34" t="str">
        <f t="shared" si="22"/>
        <v/>
      </c>
      <c r="Q190" s="35" t="str">
        <f t="shared" si="23"/>
        <v/>
      </c>
      <c r="R190" s="34" t="str">
        <f>IF($A190="","",SUMIFS(SERVIZI!$AK:$AK,SERVIZI!$B:$B,$A190))</f>
        <v/>
      </c>
      <c r="S190" s="34" t="str">
        <f>IF($A190="","",$J190-SUMIFS(SERVIZI!$AJ:$AJ,SERVIZI!$B:$B,$A190))</f>
        <v/>
      </c>
      <c r="T190" s="36" t="str">
        <f>IF($A190="","",IF($K190&lt;&gt;"OK","QUOTE NON QUADRATE",IF(COUNTIFS(SERVIZI!$B:$B,$A190,SERVIZI!$AN:$AN,"OK")&lt;$I190,"VERIFICARE SERVIZI","OK")))</f>
        <v/>
      </c>
    </row>
    <row r="191" spans="1:20" x14ac:dyDescent="0.3">
      <c r="A191" s="42"/>
      <c r="B191" s="42"/>
      <c r="C191" s="42"/>
      <c r="D191" s="42"/>
      <c r="E191" s="43"/>
      <c r="F191" s="43"/>
      <c r="G191" s="42"/>
      <c r="H191" s="44"/>
      <c r="I191" s="33" t="str">
        <f>IF($A191="","",COUNTIFS(SERVIZI!$B:$B,$A191))</f>
        <v/>
      </c>
      <c r="J191" s="34" t="str">
        <f>IF($A191="","",SUMIFS(SERVIZI!$Q:$Q,SERVIZI!$B:$B,$A191))</f>
        <v/>
      </c>
      <c r="K191" s="36" t="str">
        <f t="shared" si="20"/>
        <v/>
      </c>
      <c r="L191" s="34" t="str">
        <f>IF($A191="","",SUMIFS(SERVIZI!$P:$P,SERVIZI!$B:$B,$A191))</f>
        <v/>
      </c>
      <c r="M191" s="34" t="str">
        <f t="shared" si="21"/>
        <v/>
      </c>
      <c r="N191" s="33" t="str">
        <f>IF($A191="","",SUMIFS(SERVIZI!$M:$M,SERVIZI!$B:$B,$A191))</f>
        <v/>
      </c>
      <c r="O191" s="34" t="str">
        <f>IF($A191="","",SUMIFS(SERVIZI!$AC:$AC,SERVIZI!$B:$B,$A191))</f>
        <v/>
      </c>
      <c r="P191" s="34" t="str">
        <f t="shared" si="22"/>
        <v/>
      </c>
      <c r="Q191" s="35" t="str">
        <f t="shared" si="23"/>
        <v/>
      </c>
      <c r="R191" s="34" t="str">
        <f>IF($A191="","",SUMIFS(SERVIZI!$AK:$AK,SERVIZI!$B:$B,$A191))</f>
        <v/>
      </c>
      <c r="S191" s="34" t="str">
        <f>IF($A191="","",$J191-SUMIFS(SERVIZI!$AJ:$AJ,SERVIZI!$B:$B,$A191))</f>
        <v/>
      </c>
      <c r="T191" s="36" t="str">
        <f>IF($A191="","",IF($K191&lt;&gt;"OK","QUOTE NON QUADRATE",IF(COUNTIFS(SERVIZI!$B:$B,$A191,SERVIZI!$AN:$AN,"OK")&lt;$I191,"VERIFICARE SERVIZI","OK")))</f>
        <v/>
      </c>
    </row>
    <row r="192" spans="1:20" x14ac:dyDescent="0.3">
      <c r="A192" s="42"/>
      <c r="B192" s="42"/>
      <c r="C192" s="42"/>
      <c r="D192" s="42"/>
      <c r="E192" s="43"/>
      <c r="F192" s="43"/>
      <c r="G192" s="42"/>
      <c r="H192" s="44"/>
      <c r="I192" s="33" t="str">
        <f>IF($A192="","",COUNTIFS(SERVIZI!$B:$B,$A192))</f>
        <v/>
      </c>
      <c r="J192" s="34" t="str">
        <f>IF($A192="","",SUMIFS(SERVIZI!$Q:$Q,SERVIZI!$B:$B,$A192))</f>
        <v/>
      </c>
      <c r="K192" s="36" t="str">
        <f t="shared" si="20"/>
        <v/>
      </c>
      <c r="L192" s="34" t="str">
        <f>IF($A192="","",SUMIFS(SERVIZI!$P:$P,SERVIZI!$B:$B,$A192))</f>
        <v/>
      </c>
      <c r="M192" s="34" t="str">
        <f t="shared" si="21"/>
        <v/>
      </c>
      <c r="N192" s="33" t="str">
        <f>IF($A192="","",SUMIFS(SERVIZI!$M:$M,SERVIZI!$B:$B,$A192))</f>
        <v/>
      </c>
      <c r="O192" s="34" t="str">
        <f>IF($A192="","",SUMIFS(SERVIZI!$AC:$AC,SERVIZI!$B:$B,$A192))</f>
        <v/>
      </c>
      <c r="P192" s="34" t="str">
        <f t="shared" si="22"/>
        <v/>
      </c>
      <c r="Q192" s="35" t="str">
        <f t="shared" si="23"/>
        <v/>
      </c>
      <c r="R192" s="34" t="str">
        <f>IF($A192="","",SUMIFS(SERVIZI!$AK:$AK,SERVIZI!$B:$B,$A192))</f>
        <v/>
      </c>
      <c r="S192" s="34" t="str">
        <f>IF($A192="","",$J192-SUMIFS(SERVIZI!$AJ:$AJ,SERVIZI!$B:$B,$A192))</f>
        <v/>
      </c>
      <c r="T192" s="36" t="str">
        <f>IF($A192="","",IF($K192&lt;&gt;"OK","QUOTE NON QUADRATE",IF(COUNTIFS(SERVIZI!$B:$B,$A192,SERVIZI!$AN:$AN,"OK")&lt;$I192,"VERIFICARE SERVIZI","OK")))</f>
        <v/>
      </c>
    </row>
    <row r="193" spans="1:20" x14ac:dyDescent="0.3">
      <c r="A193" s="42"/>
      <c r="B193" s="42"/>
      <c r="C193" s="42"/>
      <c r="D193" s="42"/>
      <c r="E193" s="43"/>
      <c r="F193" s="43"/>
      <c r="G193" s="42"/>
      <c r="H193" s="44"/>
      <c r="I193" s="33" t="str">
        <f>IF($A193="","",COUNTIFS(SERVIZI!$B:$B,$A193))</f>
        <v/>
      </c>
      <c r="J193" s="34" t="str">
        <f>IF($A193="","",SUMIFS(SERVIZI!$Q:$Q,SERVIZI!$B:$B,$A193))</f>
        <v/>
      </c>
      <c r="K193" s="36" t="str">
        <f t="shared" si="20"/>
        <v/>
      </c>
      <c r="L193" s="34" t="str">
        <f>IF($A193="","",SUMIFS(SERVIZI!$P:$P,SERVIZI!$B:$B,$A193))</f>
        <v/>
      </c>
      <c r="M193" s="34" t="str">
        <f t="shared" si="21"/>
        <v/>
      </c>
      <c r="N193" s="33" t="str">
        <f>IF($A193="","",SUMIFS(SERVIZI!$M:$M,SERVIZI!$B:$B,$A193))</f>
        <v/>
      </c>
      <c r="O193" s="34" t="str">
        <f>IF($A193="","",SUMIFS(SERVIZI!$AC:$AC,SERVIZI!$B:$B,$A193))</f>
        <v/>
      </c>
      <c r="P193" s="34" t="str">
        <f t="shared" si="22"/>
        <v/>
      </c>
      <c r="Q193" s="35" t="str">
        <f t="shared" si="23"/>
        <v/>
      </c>
      <c r="R193" s="34" t="str">
        <f>IF($A193="","",SUMIFS(SERVIZI!$AK:$AK,SERVIZI!$B:$B,$A193))</f>
        <v/>
      </c>
      <c r="S193" s="34" t="str">
        <f>IF($A193="","",$J193-SUMIFS(SERVIZI!$AJ:$AJ,SERVIZI!$B:$B,$A193))</f>
        <v/>
      </c>
      <c r="T193" s="36" t="str">
        <f>IF($A193="","",IF($K193&lt;&gt;"OK","QUOTE NON QUADRATE",IF(COUNTIFS(SERVIZI!$B:$B,$A193,SERVIZI!$AN:$AN,"OK")&lt;$I193,"VERIFICARE SERVIZI","OK")))</f>
        <v/>
      </c>
    </row>
    <row r="194" spans="1:20" x14ac:dyDescent="0.3">
      <c r="A194" s="42"/>
      <c r="B194" s="42"/>
      <c r="C194" s="42"/>
      <c r="D194" s="42"/>
      <c r="E194" s="43"/>
      <c r="F194" s="43"/>
      <c r="G194" s="42"/>
      <c r="H194" s="44"/>
      <c r="I194" s="33" t="str">
        <f>IF($A194="","",COUNTIFS(SERVIZI!$B:$B,$A194))</f>
        <v/>
      </c>
      <c r="J194" s="34" t="str">
        <f>IF($A194="","",SUMIFS(SERVIZI!$Q:$Q,SERVIZI!$B:$B,$A194))</f>
        <v/>
      </c>
      <c r="K194" s="36" t="str">
        <f t="shared" ref="K194:K201" si="24">IF($A194="","",IF(ABS($H194-$J194)&lt;1,"OK","DIFFERENZA "&amp;TEXT($H194-$J194,"#,##0")&amp;" €"))</f>
        <v/>
      </c>
      <c r="L194" s="34" t="str">
        <f>IF($A194="","",SUMIFS(SERVIZI!$P:$P,SERVIZI!$B:$B,$A194))</f>
        <v/>
      </c>
      <c r="M194" s="34" t="str">
        <f t="shared" ref="M194:M201" si="25">IF($A194="","",$J194-$L194)</f>
        <v/>
      </c>
      <c r="N194" s="33" t="str">
        <f>IF($A194="","",SUMIFS(SERVIZI!$M:$M,SERVIZI!$B:$B,$A194))</f>
        <v/>
      </c>
      <c r="O194" s="34" t="str">
        <f>IF($A194="","",SUMIFS(SERVIZI!$AC:$AC,SERVIZI!$B:$B,$A194))</f>
        <v/>
      </c>
      <c r="P194" s="34" t="str">
        <f t="shared" ref="P194:P201" si="26">IF($A194="","",$J194-$O194)</f>
        <v/>
      </c>
      <c r="Q194" s="35" t="str">
        <f t="shared" ref="Q194:Q201" si="27">IF($A194="","",IFERROR($P194/$J194,0))</f>
        <v/>
      </c>
      <c r="R194" s="34" t="str">
        <f>IF($A194="","",SUMIFS(SERVIZI!$AK:$AK,SERVIZI!$B:$B,$A194))</f>
        <v/>
      </c>
      <c r="S194" s="34" t="str">
        <f>IF($A194="","",$J194-SUMIFS(SERVIZI!$AJ:$AJ,SERVIZI!$B:$B,$A194))</f>
        <v/>
      </c>
      <c r="T194" s="36" t="str">
        <f>IF($A194="","",IF($K194&lt;&gt;"OK","QUOTE NON QUADRATE",IF(COUNTIFS(SERVIZI!$B:$B,$A194,SERVIZI!$AN:$AN,"OK")&lt;$I194,"VERIFICARE SERVIZI","OK")))</f>
        <v/>
      </c>
    </row>
    <row r="195" spans="1:20" x14ac:dyDescent="0.3">
      <c r="A195" s="42"/>
      <c r="B195" s="42"/>
      <c r="C195" s="42"/>
      <c r="D195" s="42"/>
      <c r="E195" s="43"/>
      <c r="F195" s="43"/>
      <c r="G195" s="42"/>
      <c r="H195" s="44"/>
      <c r="I195" s="33" t="str">
        <f>IF($A195="","",COUNTIFS(SERVIZI!$B:$B,$A195))</f>
        <v/>
      </c>
      <c r="J195" s="34" t="str">
        <f>IF($A195="","",SUMIFS(SERVIZI!$Q:$Q,SERVIZI!$B:$B,$A195))</f>
        <v/>
      </c>
      <c r="K195" s="36" t="str">
        <f t="shared" si="24"/>
        <v/>
      </c>
      <c r="L195" s="34" t="str">
        <f>IF($A195="","",SUMIFS(SERVIZI!$P:$P,SERVIZI!$B:$B,$A195))</f>
        <v/>
      </c>
      <c r="M195" s="34" t="str">
        <f t="shared" si="25"/>
        <v/>
      </c>
      <c r="N195" s="33" t="str">
        <f>IF($A195="","",SUMIFS(SERVIZI!$M:$M,SERVIZI!$B:$B,$A195))</f>
        <v/>
      </c>
      <c r="O195" s="34" t="str">
        <f>IF($A195="","",SUMIFS(SERVIZI!$AC:$AC,SERVIZI!$B:$B,$A195))</f>
        <v/>
      </c>
      <c r="P195" s="34" t="str">
        <f t="shared" si="26"/>
        <v/>
      </c>
      <c r="Q195" s="35" t="str">
        <f t="shared" si="27"/>
        <v/>
      </c>
      <c r="R195" s="34" t="str">
        <f>IF($A195="","",SUMIFS(SERVIZI!$AK:$AK,SERVIZI!$B:$B,$A195))</f>
        <v/>
      </c>
      <c r="S195" s="34" t="str">
        <f>IF($A195="","",$J195-SUMIFS(SERVIZI!$AJ:$AJ,SERVIZI!$B:$B,$A195))</f>
        <v/>
      </c>
      <c r="T195" s="36" t="str">
        <f>IF($A195="","",IF($K195&lt;&gt;"OK","QUOTE NON QUADRATE",IF(COUNTIFS(SERVIZI!$B:$B,$A195,SERVIZI!$AN:$AN,"OK")&lt;$I195,"VERIFICARE SERVIZI","OK")))</f>
        <v/>
      </c>
    </row>
    <row r="196" spans="1:20" x14ac:dyDescent="0.3">
      <c r="A196" s="42"/>
      <c r="B196" s="42"/>
      <c r="C196" s="42"/>
      <c r="D196" s="42"/>
      <c r="E196" s="43"/>
      <c r="F196" s="43"/>
      <c r="G196" s="42"/>
      <c r="H196" s="44"/>
      <c r="I196" s="33" t="str">
        <f>IF($A196="","",COUNTIFS(SERVIZI!$B:$B,$A196))</f>
        <v/>
      </c>
      <c r="J196" s="34" t="str">
        <f>IF($A196="","",SUMIFS(SERVIZI!$Q:$Q,SERVIZI!$B:$B,$A196))</f>
        <v/>
      </c>
      <c r="K196" s="36" t="str">
        <f t="shared" si="24"/>
        <v/>
      </c>
      <c r="L196" s="34" t="str">
        <f>IF($A196="","",SUMIFS(SERVIZI!$P:$P,SERVIZI!$B:$B,$A196))</f>
        <v/>
      </c>
      <c r="M196" s="34" t="str">
        <f t="shared" si="25"/>
        <v/>
      </c>
      <c r="N196" s="33" t="str">
        <f>IF($A196="","",SUMIFS(SERVIZI!$M:$M,SERVIZI!$B:$B,$A196))</f>
        <v/>
      </c>
      <c r="O196" s="34" t="str">
        <f>IF($A196="","",SUMIFS(SERVIZI!$AC:$AC,SERVIZI!$B:$B,$A196))</f>
        <v/>
      </c>
      <c r="P196" s="34" t="str">
        <f t="shared" si="26"/>
        <v/>
      </c>
      <c r="Q196" s="35" t="str">
        <f t="shared" si="27"/>
        <v/>
      </c>
      <c r="R196" s="34" t="str">
        <f>IF($A196="","",SUMIFS(SERVIZI!$AK:$AK,SERVIZI!$B:$B,$A196))</f>
        <v/>
      </c>
      <c r="S196" s="34" t="str">
        <f>IF($A196="","",$J196-SUMIFS(SERVIZI!$AJ:$AJ,SERVIZI!$B:$B,$A196))</f>
        <v/>
      </c>
      <c r="T196" s="36" t="str">
        <f>IF($A196="","",IF($K196&lt;&gt;"OK","QUOTE NON QUADRATE",IF(COUNTIFS(SERVIZI!$B:$B,$A196,SERVIZI!$AN:$AN,"OK")&lt;$I196,"VERIFICARE SERVIZI","OK")))</f>
        <v/>
      </c>
    </row>
    <row r="197" spans="1:20" x14ac:dyDescent="0.3">
      <c r="A197" s="42"/>
      <c r="B197" s="42"/>
      <c r="C197" s="42"/>
      <c r="D197" s="42"/>
      <c r="E197" s="43"/>
      <c r="F197" s="43"/>
      <c r="G197" s="42"/>
      <c r="H197" s="44"/>
      <c r="I197" s="33" t="str">
        <f>IF($A197="","",COUNTIFS(SERVIZI!$B:$B,$A197))</f>
        <v/>
      </c>
      <c r="J197" s="34" t="str">
        <f>IF($A197="","",SUMIFS(SERVIZI!$Q:$Q,SERVIZI!$B:$B,$A197))</f>
        <v/>
      </c>
      <c r="K197" s="36" t="str">
        <f t="shared" si="24"/>
        <v/>
      </c>
      <c r="L197" s="34" t="str">
        <f>IF($A197="","",SUMIFS(SERVIZI!$P:$P,SERVIZI!$B:$B,$A197))</f>
        <v/>
      </c>
      <c r="M197" s="34" t="str">
        <f t="shared" si="25"/>
        <v/>
      </c>
      <c r="N197" s="33" t="str">
        <f>IF($A197="","",SUMIFS(SERVIZI!$M:$M,SERVIZI!$B:$B,$A197))</f>
        <v/>
      </c>
      <c r="O197" s="34" t="str">
        <f>IF($A197="","",SUMIFS(SERVIZI!$AC:$AC,SERVIZI!$B:$B,$A197))</f>
        <v/>
      </c>
      <c r="P197" s="34" t="str">
        <f t="shared" si="26"/>
        <v/>
      </c>
      <c r="Q197" s="35" t="str">
        <f t="shared" si="27"/>
        <v/>
      </c>
      <c r="R197" s="34" t="str">
        <f>IF($A197="","",SUMIFS(SERVIZI!$AK:$AK,SERVIZI!$B:$B,$A197))</f>
        <v/>
      </c>
      <c r="S197" s="34" t="str">
        <f>IF($A197="","",$J197-SUMIFS(SERVIZI!$AJ:$AJ,SERVIZI!$B:$B,$A197))</f>
        <v/>
      </c>
      <c r="T197" s="36" t="str">
        <f>IF($A197="","",IF($K197&lt;&gt;"OK","QUOTE NON QUADRATE",IF(COUNTIFS(SERVIZI!$B:$B,$A197,SERVIZI!$AN:$AN,"OK")&lt;$I197,"VERIFICARE SERVIZI","OK")))</f>
        <v/>
      </c>
    </row>
    <row r="198" spans="1:20" x14ac:dyDescent="0.3">
      <c r="A198" s="42"/>
      <c r="B198" s="42"/>
      <c r="C198" s="42"/>
      <c r="D198" s="42"/>
      <c r="E198" s="43"/>
      <c r="F198" s="43"/>
      <c r="G198" s="42"/>
      <c r="H198" s="44"/>
      <c r="I198" s="33" t="str">
        <f>IF($A198="","",COUNTIFS(SERVIZI!$B:$B,$A198))</f>
        <v/>
      </c>
      <c r="J198" s="34" t="str">
        <f>IF($A198="","",SUMIFS(SERVIZI!$Q:$Q,SERVIZI!$B:$B,$A198))</f>
        <v/>
      </c>
      <c r="K198" s="36" t="str">
        <f t="shared" si="24"/>
        <v/>
      </c>
      <c r="L198" s="34" t="str">
        <f>IF($A198="","",SUMIFS(SERVIZI!$P:$P,SERVIZI!$B:$B,$A198))</f>
        <v/>
      </c>
      <c r="M198" s="34" t="str">
        <f t="shared" si="25"/>
        <v/>
      </c>
      <c r="N198" s="33" t="str">
        <f>IF($A198="","",SUMIFS(SERVIZI!$M:$M,SERVIZI!$B:$B,$A198))</f>
        <v/>
      </c>
      <c r="O198" s="34" t="str">
        <f>IF($A198="","",SUMIFS(SERVIZI!$AC:$AC,SERVIZI!$B:$B,$A198))</f>
        <v/>
      </c>
      <c r="P198" s="34" t="str">
        <f t="shared" si="26"/>
        <v/>
      </c>
      <c r="Q198" s="35" t="str">
        <f t="shared" si="27"/>
        <v/>
      </c>
      <c r="R198" s="34" t="str">
        <f>IF($A198="","",SUMIFS(SERVIZI!$AK:$AK,SERVIZI!$B:$B,$A198))</f>
        <v/>
      </c>
      <c r="S198" s="34" t="str">
        <f>IF($A198="","",$J198-SUMIFS(SERVIZI!$AJ:$AJ,SERVIZI!$B:$B,$A198))</f>
        <v/>
      </c>
      <c r="T198" s="36" t="str">
        <f>IF($A198="","",IF($K198&lt;&gt;"OK","QUOTE NON QUADRATE",IF(COUNTIFS(SERVIZI!$B:$B,$A198,SERVIZI!$AN:$AN,"OK")&lt;$I198,"VERIFICARE SERVIZI","OK")))</f>
        <v/>
      </c>
    </row>
    <row r="199" spans="1:20" x14ac:dyDescent="0.3">
      <c r="A199" s="42"/>
      <c r="B199" s="42"/>
      <c r="C199" s="42"/>
      <c r="D199" s="42"/>
      <c r="E199" s="43"/>
      <c r="F199" s="43"/>
      <c r="G199" s="42"/>
      <c r="H199" s="44"/>
      <c r="I199" s="33" t="str">
        <f>IF($A199="","",COUNTIFS(SERVIZI!$B:$B,$A199))</f>
        <v/>
      </c>
      <c r="J199" s="34" t="str">
        <f>IF($A199="","",SUMIFS(SERVIZI!$Q:$Q,SERVIZI!$B:$B,$A199))</f>
        <v/>
      </c>
      <c r="K199" s="36" t="str">
        <f t="shared" si="24"/>
        <v/>
      </c>
      <c r="L199" s="34" t="str">
        <f>IF($A199="","",SUMIFS(SERVIZI!$P:$P,SERVIZI!$B:$B,$A199))</f>
        <v/>
      </c>
      <c r="M199" s="34" t="str">
        <f t="shared" si="25"/>
        <v/>
      </c>
      <c r="N199" s="33" t="str">
        <f>IF($A199="","",SUMIFS(SERVIZI!$M:$M,SERVIZI!$B:$B,$A199))</f>
        <v/>
      </c>
      <c r="O199" s="34" t="str">
        <f>IF($A199="","",SUMIFS(SERVIZI!$AC:$AC,SERVIZI!$B:$B,$A199))</f>
        <v/>
      </c>
      <c r="P199" s="34" t="str">
        <f t="shared" si="26"/>
        <v/>
      </c>
      <c r="Q199" s="35" t="str">
        <f t="shared" si="27"/>
        <v/>
      </c>
      <c r="R199" s="34" t="str">
        <f>IF($A199="","",SUMIFS(SERVIZI!$AK:$AK,SERVIZI!$B:$B,$A199))</f>
        <v/>
      </c>
      <c r="S199" s="34" t="str">
        <f>IF($A199="","",$J199-SUMIFS(SERVIZI!$AJ:$AJ,SERVIZI!$B:$B,$A199))</f>
        <v/>
      </c>
      <c r="T199" s="36" t="str">
        <f>IF($A199="","",IF($K199&lt;&gt;"OK","QUOTE NON QUADRATE",IF(COUNTIFS(SERVIZI!$B:$B,$A199,SERVIZI!$AN:$AN,"OK")&lt;$I199,"VERIFICARE SERVIZI","OK")))</f>
        <v/>
      </c>
    </row>
    <row r="200" spans="1:20" x14ac:dyDescent="0.3">
      <c r="A200" s="42"/>
      <c r="B200" s="42"/>
      <c r="C200" s="42"/>
      <c r="D200" s="42"/>
      <c r="E200" s="43"/>
      <c r="F200" s="43"/>
      <c r="G200" s="42"/>
      <c r="H200" s="44"/>
      <c r="I200" s="33" t="str">
        <f>IF($A200="","",COUNTIFS(SERVIZI!$B:$B,$A200))</f>
        <v/>
      </c>
      <c r="J200" s="34" t="str">
        <f>IF($A200="","",SUMIFS(SERVIZI!$Q:$Q,SERVIZI!$B:$B,$A200))</f>
        <v/>
      </c>
      <c r="K200" s="36" t="str">
        <f t="shared" si="24"/>
        <v/>
      </c>
      <c r="L200" s="34" t="str">
        <f>IF($A200="","",SUMIFS(SERVIZI!$P:$P,SERVIZI!$B:$B,$A200))</f>
        <v/>
      </c>
      <c r="M200" s="34" t="str">
        <f t="shared" si="25"/>
        <v/>
      </c>
      <c r="N200" s="33" t="str">
        <f>IF($A200="","",SUMIFS(SERVIZI!$M:$M,SERVIZI!$B:$B,$A200))</f>
        <v/>
      </c>
      <c r="O200" s="34" t="str">
        <f>IF($A200="","",SUMIFS(SERVIZI!$AC:$AC,SERVIZI!$B:$B,$A200))</f>
        <v/>
      </c>
      <c r="P200" s="34" t="str">
        <f t="shared" si="26"/>
        <v/>
      </c>
      <c r="Q200" s="35" t="str">
        <f t="shared" si="27"/>
        <v/>
      </c>
      <c r="R200" s="34" t="str">
        <f>IF($A200="","",SUMIFS(SERVIZI!$AK:$AK,SERVIZI!$B:$B,$A200))</f>
        <v/>
      </c>
      <c r="S200" s="34" t="str">
        <f>IF($A200="","",$J200-SUMIFS(SERVIZI!$AJ:$AJ,SERVIZI!$B:$B,$A200))</f>
        <v/>
      </c>
      <c r="T200" s="36" t="str">
        <f>IF($A200="","",IF($K200&lt;&gt;"OK","QUOTE NON QUADRATE",IF(COUNTIFS(SERVIZI!$B:$B,$A200,SERVIZI!$AN:$AN,"OK")&lt;$I200,"VERIFICARE SERVIZI","OK")))</f>
        <v/>
      </c>
    </row>
    <row r="201" spans="1:20" x14ac:dyDescent="0.3">
      <c r="A201" s="42"/>
      <c r="B201" s="42"/>
      <c r="C201" s="42"/>
      <c r="D201" s="42"/>
      <c r="E201" s="43"/>
      <c r="F201" s="43"/>
      <c r="G201" s="42"/>
      <c r="H201" s="44"/>
      <c r="I201" s="33" t="str">
        <f>IF($A201="","",COUNTIFS(SERVIZI!$B:$B,$A201))</f>
        <v/>
      </c>
      <c r="J201" s="34" t="str">
        <f>IF($A201="","",SUMIFS(SERVIZI!$Q:$Q,SERVIZI!$B:$B,$A201))</f>
        <v/>
      </c>
      <c r="K201" s="36" t="str">
        <f t="shared" si="24"/>
        <v/>
      </c>
      <c r="L201" s="34" t="str">
        <f>IF($A201="","",SUMIFS(SERVIZI!$P:$P,SERVIZI!$B:$B,$A201))</f>
        <v/>
      </c>
      <c r="M201" s="34" t="str">
        <f t="shared" si="25"/>
        <v/>
      </c>
      <c r="N201" s="33" t="str">
        <f>IF($A201="","",SUMIFS(SERVIZI!$M:$M,SERVIZI!$B:$B,$A201))</f>
        <v/>
      </c>
      <c r="O201" s="34" t="str">
        <f>IF($A201="","",SUMIFS(SERVIZI!$AC:$AC,SERVIZI!$B:$B,$A201))</f>
        <v/>
      </c>
      <c r="P201" s="34" t="str">
        <f t="shared" si="26"/>
        <v/>
      </c>
      <c r="Q201" s="35" t="str">
        <f t="shared" si="27"/>
        <v/>
      </c>
      <c r="R201" s="34" t="str">
        <f>IF($A201="","",SUMIFS(SERVIZI!$AK:$AK,SERVIZI!$B:$B,$A201))</f>
        <v/>
      </c>
      <c r="S201" s="34" t="str">
        <f>IF($A201="","",$J201-SUMIFS(SERVIZI!$AJ:$AJ,SERVIZI!$B:$B,$A201))</f>
        <v/>
      </c>
      <c r="T201" s="36" t="str">
        <f>IF($A201="","",IF($K201&lt;&gt;"OK","QUOTE NON QUADRATE",IF(COUNTIFS(SERVIZI!$B:$B,$A201,SERVIZI!$AN:$AN,"OK")&lt;$I201,"VERIFICARE SERVIZI","OK")))</f>
        <v/>
      </c>
    </row>
  </sheetData>
  <dataValidations count="1">
    <dataValidation type="list" allowBlank="1" sqref="G2:G201" xr:uid="{00000000-0002-0000-0400-000000000000}">
      <formula1>L_STATO</formula1>
    </dataValidation>
  </dataValidation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tabColor rgb="FFC55A11"/>
  </sheetPr>
  <dimension ref="A1:AP201"/>
  <sheetViews>
    <sheetView showGridLines="0" zoomScaleNormal="100" workbookViewId="0">
      <pane ySplit="1" topLeftCell="A2" activePane="bottomLeft" state="frozen"/>
      <selection pane="bottomLeft" activeCell="M3" sqref="M3"/>
    </sheetView>
  </sheetViews>
  <sheetFormatPr defaultColWidth="8.6640625" defaultRowHeight="14.4" x14ac:dyDescent="0.3"/>
  <cols>
    <col min="1" max="1" width="18" customWidth="1"/>
    <col min="2" max="2" width="17" customWidth="1"/>
    <col min="3" max="3" width="14" customWidth="1"/>
    <col min="4" max="4" width="20" customWidth="1"/>
    <col min="5" max="5" width="18" customWidth="1"/>
    <col min="6" max="6" width="16" customWidth="1"/>
    <col min="7" max="7" width="13" customWidth="1"/>
    <col min="8" max="9" width="15" customWidth="1"/>
    <col min="10" max="10" width="19" customWidth="1"/>
    <col min="11" max="11" width="10" customWidth="1"/>
    <col min="12" max="12" width="22.44140625" customWidth="1"/>
    <col min="13" max="13" width="13" customWidth="1"/>
    <col min="14" max="14" width="15" customWidth="1"/>
    <col min="15" max="15" width="27" customWidth="1"/>
    <col min="16" max="16" width="18" customWidth="1"/>
    <col min="17" max="17" width="20" customWidth="1"/>
    <col min="18" max="18" width="14" customWidth="1"/>
    <col min="19" max="19" width="12" customWidth="1"/>
    <col min="20" max="20" width="21" customWidth="1"/>
    <col min="21" max="21" width="18" customWidth="1"/>
    <col min="22" max="22" width="15" customWidth="1"/>
    <col min="23" max="23" width="14" customWidth="1"/>
    <col min="24" max="25" width="12" customWidth="1"/>
    <col min="26" max="26" width="15" customWidth="1"/>
    <col min="27" max="27" width="17" customWidth="1"/>
    <col min="28" max="28" width="20" customWidth="1"/>
    <col min="29" max="29" width="18" customWidth="1"/>
    <col min="30" max="30" width="16" customWidth="1"/>
    <col min="31" max="31" width="11" customWidth="1"/>
    <col min="32" max="32" width="14" customWidth="1"/>
    <col min="33" max="33" width="17" customWidth="1"/>
    <col min="34" max="36" width="15" customWidth="1"/>
    <col min="37" max="37" width="13" customWidth="1"/>
    <col min="38" max="38" width="14" customWidth="1"/>
    <col min="39" max="39" width="16" customWidth="1"/>
    <col min="40" max="40" width="28" customWidth="1"/>
  </cols>
  <sheetData>
    <row r="1" spans="1:42" ht="36" customHeight="1" x14ac:dyDescent="0.3">
      <c r="A1" s="41" t="s">
        <v>278</v>
      </c>
      <c r="B1" s="41" t="s">
        <v>304</v>
      </c>
      <c r="C1" s="41" t="s">
        <v>98</v>
      </c>
      <c r="D1" s="41" t="s">
        <v>101</v>
      </c>
      <c r="E1" s="41" t="s">
        <v>319</v>
      </c>
      <c r="F1" s="41" t="s">
        <v>320</v>
      </c>
      <c r="G1" s="41" t="s">
        <v>306</v>
      </c>
      <c r="H1" s="41" t="s">
        <v>307</v>
      </c>
      <c r="I1" s="41" t="s">
        <v>107</v>
      </c>
      <c r="J1" s="41" t="s">
        <v>321</v>
      </c>
      <c r="K1" s="41" t="s">
        <v>322</v>
      </c>
      <c r="L1" s="41" t="s">
        <v>323</v>
      </c>
      <c r="M1" s="41" t="s">
        <v>280</v>
      </c>
      <c r="N1" s="41" t="s">
        <v>288</v>
      </c>
      <c r="O1" s="41" t="s">
        <v>324</v>
      </c>
      <c r="P1" s="41" t="s">
        <v>325</v>
      </c>
      <c r="Q1" s="41" t="s">
        <v>326</v>
      </c>
      <c r="R1" s="41" t="s">
        <v>327</v>
      </c>
      <c r="S1" s="41" t="s">
        <v>328</v>
      </c>
      <c r="T1" s="41" t="s">
        <v>329</v>
      </c>
      <c r="U1" s="41" t="s">
        <v>330</v>
      </c>
      <c r="V1" s="41" t="s">
        <v>331</v>
      </c>
      <c r="W1" s="41" t="s">
        <v>332</v>
      </c>
      <c r="X1" s="41" t="s">
        <v>333</v>
      </c>
      <c r="Y1" s="41" t="s">
        <v>334</v>
      </c>
      <c r="Z1" s="41" t="s">
        <v>335</v>
      </c>
      <c r="AA1" s="41" t="s">
        <v>336</v>
      </c>
      <c r="AB1" s="41" t="s">
        <v>337</v>
      </c>
      <c r="AC1" s="41" t="s">
        <v>314</v>
      </c>
      <c r="AD1" s="41" t="s">
        <v>315</v>
      </c>
      <c r="AE1" s="41" t="s">
        <v>316</v>
      </c>
      <c r="AF1" s="41" t="s">
        <v>290</v>
      </c>
      <c r="AG1" s="41" t="s">
        <v>338</v>
      </c>
      <c r="AH1" s="41" t="s">
        <v>339</v>
      </c>
      <c r="AI1" s="41" t="s">
        <v>340</v>
      </c>
      <c r="AJ1" s="41" t="s">
        <v>341</v>
      </c>
      <c r="AK1" s="41" t="s">
        <v>124</v>
      </c>
      <c r="AL1" s="41" t="s">
        <v>317</v>
      </c>
      <c r="AM1" s="41" t="s">
        <v>342</v>
      </c>
      <c r="AN1" s="41" t="s">
        <v>297</v>
      </c>
      <c r="AP1" s="2" t="s">
        <v>343</v>
      </c>
    </row>
    <row r="2" spans="1:42" x14ac:dyDescent="0.3">
      <c r="A2" s="42" t="s">
        <v>937</v>
      </c>
      <c r="B2" s="42" t="s">
        <v>933</v>
      </c>
      <c r="C2" s="42" t="s">
        <v>891</v>
      </c>
      <c r="D2" s="42"/>
      <c r="E2" s="42" t="s">
        <v>916</v>
      </c>
      <c r="F2" s="42" t="s">
        <v>891</v>
      </c>
      <c r="G2" s="43">
        <v>46097</v>
      </c>
      <c r="H2" s="43">
        <v>46311</v>
      </c>
      <c r="I2" s="42" t="s">
        <v>318</v>
      </c>
      <c r="J2" s="44">
        <v>33500</v>
      </c>
      <c r="K2" s="46">
        <v>1.55399</v>
      </c>
      <c r="L2" s="34">
        <f t="shared" ref="L2:L33" si="0">IF($A2="","",$J2*IF($K2="",MARKUP_DEF,$K2))</f>
        <v>52058.665000000001</v>
      </c>
      <c r="M2" s="33">
        <f>IF($A2="","",SUMIFS(ASSEGNAZIONI!$F:$F,ASSEGNAZIONI!$B:$B,$A2))</f>
        <v>112</v>
      </c>
      <c r="N2" s="34">
        <f>IF($A2="","",SUMIFS(ASSEGNAZIONI!$I:$I,ASSEGNAZIONI!$B:$B,$A2))</f>
        <v>6930.56</v>
      </c>
      <c r="O2" s="34">
        <f>IF($A2="","",SUMIFS(ASSEGNAZIONI!$J:$J,ASSEGNAZIONI!$B:$B,$A2))</f>
        <v>4256</v>
      </c>
      <c r="P2" s="34">
        <f t="shared" ref="P2:P33" si="1">IF($A2="","",$L2+$N2)</f>
        <v>58989.224999999999</v>
      </c>
      <c r="Q2" s="44">
        <v>32000</v>
      </c>
      <c r="R2" s="34">
        <f t="shared" ref="R2:R33" si="2">IF($A2="","",IF($Q2="",0,$Q2-$P2))</f>
        <v>-26989.224999999999</v>
      </c>
      <c r="S2" s="35">
        <f t="shared" ref="S2:S33" si="3">IF($A2="","",IFERROR($R2/$P2,0))</f>
        <v>-0.45752804855463008</v>
      </c>
      <c r="T2" s="34">
        <f>IF($A2="","",SUMIFS(ODA!$R:$R,ODA!$B:$B,$A2))</f>
        <v>0</v>
      </c>
      <c r="U2" s="34">
        <f>IF($A2="","",SUMIFS(ODA!$P:$P,ODA!$B:$B,$A2))</f>
        <v>0</v>
      </c>
      <c r="V2" s="45">
        <f t="shared" ref="V2:V33" si="4">IF($A2="","",IFERROR($L2/$T2,0))</f>
        <v>0</v>
      </c>
      <c r="W2" s="33">
        <f>IF($A2="","",SUMIFS(ORE!$F:$F,ORE!$B:$B,$A2))</f>
        <v>72</v>
      </c>
      <c r="X2" s="33">
        <f>IF($A2="","",SUMIFS(PREVISIONE_ORE!$G:$G,PREVISIONE_ORE!$D:$D,$A2,PREVISIONE_ORE!$K:$K,"Sì"))</f>
        <v>40</v>
      </c>
      <c r="Y2" s="33">
        <f>IF($A2="","",IF(COUNTIFS(ASSEGNAZIONI!$B:$B,$A2)&gt;0,SUMIFS(ASSEGNAZIONI!$N:$N,ASSEGNAZIONI!$B:$B,$A2),MAX($W2,0)))</f>
        <v>112</v>
      </c>
      <c r="Z2" s="33">
        <f t="shared" ref="Z2:Z33" si="5">IF($A2="","",$Y2-$M2)</f>
        <v>0</v>
      </c>
      <c r="AA2" s="34">
        <f>IF($A2="","",IF(COUNTIFS(ASSEGNAZIONI!$B:$B,$A2)&gt;0,SUMIFS(ASSEGNAZIONI!$P:$P,ASSEGNAZIONI!$B:$B,$A2),0))</f>
        <v>4256</v>
      </c>
      <c r="AB2" s="34">
        <f t="shared" ref="AB2:AB33" si="6">IF($A2="","",MAX($T2,$J2))</f>
        <v>33500</v>
      </c>
      <c r="AC2" s="34">
        <f t="shared" ref="AC2:AC33" si="7">IF($A2="","",$AA2+$AB2)</f>
        <v>37756</v>
      </c>
      <c r="AD2" s="34">
        <f t="shared" ref="AD2:AD33" si="8">IF($A2="","",IF($Q2="",0,$Q2-$AC2))</f>
        <v>-5756</v>
      </c>
      <c r="AE2" s="35">
        <f t="shared" ref="AE2:AE33" si="9">IF($A2="","",IFERROR($AD2/$Q2,0))</f>
        <v>-0.17987500000000001</v>
      </c>
      <c r="AF2" s="34">
        <f t="shared" ref="AF2:AF33" si="10">IF($A2="","",$N2-$AA2)</f>
        <v>2674.5600000000004</v>
      </c>
      <c r="AG2" s="34">
        <f t="shared" ref="AG2:AG33" si="11">IF($A2="","",$L2-$AB2)</f>
        <v>18558.665000000001</v>
      </c>
      <c r="AH2" s="35">
        <f>IF($A2="","",IFERROR(AVERAGEIFS(FASI!$L:$L,FASI!$B:$B,$A2),0))</f>
        <v>0.39285714285714285</v>
      </c>
      <c r="AI2" s="35">
        <f t="shared" ref="AI2:AI33" si="12">IF($A2="","",IFERROR($W2/$M2,0))</f>
        <v>0.6428571428571429</v>
      </c>
      <c r="AJ2" s="34">
        <f>IF($A2="","",SUMIFS(SAL!$H:$H,SAL!$B:$B,$A2,SAL!$O:$O,"Emessa")+SUMIFS(SAL!$H:$H,SAL!$B:$B,$A2,SAL!$O:$O,"Incassata")+SUMIFS(SAL!$H:$H,SAL!$B:$B,$A2,SAL!$O:$O,"Scaduta"))</f>
        <v>0</v>
      </c>
      <c r="AK2" s="34">
        <f>IF($A2="","",SUMIFS(SAL!$H:$H,SAL!$B:$B,$A2,SAL!$O:$O,"Incassata"))</f>
        <v>0</v>
      </c>
      <c r="AL2" s="34">
        <f t="shared" ref="AL2:AL33" si="13">IF($A2="","",IF($Q2="",0,$Q2-$AJ2))</f>
        <v>32000</v>
      </c>
      <c r="AM2" s="34">
        <f t="shared" ref="AM2:AM33" si="14">IF($A2="","",$U2-$AK2)</f>
        <v>0</v>
      </c>
      <c r="AN2" s="36" t="str">
        <f ca="1">IF($A2="","",IF($M2=0,"RISORSE NON ASSEGNATE",IF($AE2&lt;0.1,"MARGINE CRITICO",IF($S2&lt;-SCONTO_MAX,"SCONTO OLTRE SOGLIA",IF($Z2&gt;0,"ORE OLTRE LA STIMA",IF($AI2&gt;ALLERTA_ORE,"CONSUMO ORE ELEVATO",IF(COUNTIFS(SAL!$B:$B,$A2,SAL!$K:$K,"EMETTIBILE")&gt;0,"SAL DA EMETTERE",IF(COUNTIFS(FASI!$B:$B,$A2,FASI!$H:$H,"&lt;"&amp;TODAY(),FASI!$L:$L,"&lt;1")&gt;0,"FASI IN RITARDO","OK"))))))))</f>
        <v>MARGINE CRITICO</v>
      </c>
      <c r="AP2" s="2" t="s">
        <v>345</v>
      </c>
    </row>
    <row r="3" spans="1:42" x14ac:dyDescent="0.3">
      <c r="A3" s="42" t="s">
        <v>951</v>
      </c>
      <c r="B3" s="42" t="s">
        <v>933</v>
      </c>
      <c r="C3" s="42" t="s">
        <v>919</v>
      </c>
      <c r="D3" s="42"/>
      <c r="E3" s="42" t="s">
        <v>915</v>
      </c>
      <c r="F3" s="42" t="s">
        <v>919</v>
      </c>
      <c r="G3" s="43">
        <v>46094</v>
      </c>
      <c r="H3" s="43">
        <v>46311</v>
      </c>
      <c r="I3" s="42" t="s">
        <v>318</v>
      </c>
      <c r="J3" s="44">
        <v>20000</v>
      </c>
      <c r="K3" s="46">
        <v>1.55399</v>
      </c>
      <c r="L3" s="34">
        <f t="shared" si="0"/>
        <v>31079.8</v>
      </c>
      <c r="M3" s="33">
        <f>IF($A3="","",SUMIFS(ASSEGNAZIONI!$F:$F,ASSEGNAZIONI!$B:$B,$A3))</f>
        <v>112</v>
      </c>
      <c r="N3" s="34">
        <f>IF($A3="","",SUMIFS(ASSEGNAZIONI!$I:$I,ASSEGNAZIONI!$B:$B,$A3))</f>
        <v>6930.56</v>
      </c>
      <c r="O3" s="34">
        <f>IF($A3="","",SUMIFS(ASSEGNAZIONI!$J:$J,ASSEGNAZIONI!$B:$B,$A3))</f>
        <v>4256</v>
      </c>
      <c r="P3" s="34">
        <f t="shared" si="1"/>
        <v>38010.36</v>
      </c>
      <c r="Q3" s="44">
        <v>65000</v>
      </c>
      <c r="R3" s="34">
        <f t="shared" si="2"/>
        <v>26989.64</v>
      </c>
      <c r="S3" s="35">
        <f t="shared" si="3"/>
        <v>0.71006009940447812</v>
      </c>
      <c r="T3" s="34">
        <f>IF($A3="","",SUMIFS(ODA!$R:$R,ODA!$B:$B,$A3))</f>
        <v>0</v>
      </c>
      <c r="U3" s="34">
        <f>IF($A3="","",SUMIFS(ODA!$P:$P,ODA!$B:$B,$A3))</f>
        <v>0</v>
      </c>
      <c r="V3" s="45">
        <f t="shared" si="4"/>
        <v>0</v>
      </c>
      <c r="W3" s="33">
        <f>IF($A3="","",SUMIFS(ORE!$F:$F,ORE!$B:$B,$A3))</f>
        <v>54</v>
      </c>
      <c r="X3" s="33">
        <f>IF($A3="","",SUMIFS(PREVISIONE_ORE!$G:$G,PREVISIONE_ORE!$D:$D,$A3,PREVISIONE_ORE!$K:$K,"Sì"))</f>
        <v>30</v>
      </c>
      <c r="Y3" s="33">
        <f>IF($A3="","",IF(COUNTIFS(ASSEGNAZIONI!$B:$B,$A3)&gt;0,SUMIFS(ASSEGNAZIONI!$N:$N,ASSEGNAZIONI!$B:$B,$A3),MAX($W3,0)))</f>
        <v>84</v>
      </c>
      <c r="Z3" s="33">
        <f t="shared" si="5"/>
        <v>-28</v>
      </c>
      <c r="AA3" s="34">
        <f>IF($A3="","",IF(COUNTIFS(ASSEGNAZIONI!$B:$B,$A3)&gt;0,SUMIFS(ASSEGNAZIONI!$P:$P,ASSEGNAZIONI!$B:$B,$A3),0))</f>
        <v>3192</v>
      </c>
      <c r="AB3" s="34">
        <f t="shared" si="6"/>
        <v>20000</v>
      </c>
      <c r="AC3" s="34">
        <f t="shared" si="7"/>
        <v>23192</v>
      </c>
      <c r="AD3" s="34">
        <f t="shared" si="8"/>
        <v>41808</v>
      </c>
      <c r="AE3" s="35">
        <f t="shared" si="9"/>
        <v>0.64319999999999999</v>
      </c>
      <c r="AF3" s="34">
        <f t="shared" si="10"/>
        <v>3738.5600000000004</v>
      </c>
      <c r="AG3" s="34">
        <f t="shared" si="11"/>
        <v>11079.8</v>
      </c>
      <c r="AH3" s="35">
        <f>IF($A3="","",IFERROR(AVERAGEIFS(FASI!$L:$L,FASI!$B:$B,$A3),0))</f>
        <v>0.43333333333333335</v>
      </c>
      <c r="AI3" s="35">
        <f t="shared" si="12"/>
        <v>0.48214285714285715</v>
      </c>
      <c r="AJ3" s="34">
        <f>IF($A3="","",SUMIFS(SAL!$H:$H,SAL!$B:$B,$A3,SAL!$O:$O,"Emessa")+SUMIFS(SAL!$H:$H,SAL!$B:$B,$A3,SAL!$O:$O,"Incassata")+SUMIFS(SAL!$H:$H,SAL!$B:$B,$A3,SAL!$O:$O,"Scaduta"))</f>
        <v>0</v>
      </c>
      <c r="AK3" s="34">
        <f>IF($A3="","",SUMIFS(SAL!$H:$H,SAL!$B:$B,$A3,SAL!$O:$O,"Incassata"))</f>
        <v>0</v>
      </c>
      <c r="AL3" s="34">
        <f t="shared" si="13"/>
        <v>65000</v>
      </c>
      <c r="AM3" s="34">
        <f t="shared" si="14"/>
        <v>0</v>
      </c>
      <c r="AN3" s="36" t="str">
        <f ca="1">IF($A3="","",IF($M3=0,"RISORSE NON ASSEGNATE",IF($AE3&lt;0.1,"MARGINE CRITICO",IF($S3&lt;-SCONTO_MAX,"SCONTO OLTRE SOGLIA",IF($Z3&gt;0,"ORE OLTRE LA STIMA",IF($AI3&gt;ALLERTA_ORE,"CONSUMO ORE ELEVATO",IF(COUNTIFS(SAL!$B:$B,$A3,SAL!$K:$K,"EMETTIBILE")&gt;0,"SAL DA EMETTERE",IF(COUNTIFS(FASI!$B:$B,$A3,FASI!$H:$H,"&lt;"&amp;TODAY(),FASI!$L:$L,"&lt;1")&gt;0,"FASI IN RITARDO","OK"))))))))</f>
        <v>FASI IN RITARDO</v>
      </c>
    </row>
    <row r="4" spans="1:42" x14ac:dyDescent="0.3">
      <c r="A4" s="42"/>
      <c r="B4" s="42"/>
      <c r="C4" s="42"/>
      <c r="D4" s="42"/>
      <c r="E4" s="42"/>
      <c r="F4" s="42"/>
      <c r="G4" s="43"/>
      <c r="H4" s="43"/>
      <c r="I4" s="42"/>
      <c r="J4" s="44"/>
      <c r="K4" s="46"/>
      <c r="L4" s="34" t="str">
        <f t="shared" si="0"/>
        <v/>
      </c>
      <c r="M4" s="33" t="str">
        <f>IF($A4="","",SUMIFS(ASSEGNAZIONI!$F:$F,ASSEGNAZIONI!$B:$B,$A4))</f>
        <v/>
      </c>
      <c r="N4" s="34" t="str">
        <f>IF($A4="","",SUMIFS(ASSEGNAZIONI!$I:$I,ASSEGNAZIONI!$B:$B,$A4))</f>
        <v/>
      </c>
      <c r="O4" s="34" t="str">
        <f>IF($A4="","",SUMIFS(ASSEGNAZIONI!$J:$J,ASSEGNAZIONI!$B:$B,$A4))</f>
        <v/>
      </c>
      <c r="P4" s="34" t="str">
        <f t="shared" si="1"/>
        <v/>
      </c>
      <c r="Q4" s="44"/>
      <c r="R4" s="34" t="str">
        <f t="shared" si="2"/>
        <v/>
      </c>
      <c r="S4" s="35" t="str">
        <f t="shared" si="3"/>
        <v/>
      </c>
      <c r="T4" s="34" t="str">
        <f>IF($A4="","",SUMIFS(ODA!$R:$R,ODA!$B:$B,$A4))</f>
        <v/>
      </c>
      <c r="U4" s="34" t="str">
        <f>IF($A4="","",SUMIFS(ODA!$P:$P,ODA!$B:$B,$A4))</f>
        <v/>
      </c>
      <c r="V4" s="45" t="str">
        <f t="shared" si="4"/>
        <v/>
      </c>
      <c r="W4" s="33" t="str">
        <f>IF($A4="","",SUMIFS(ORE!$F:$F,ORE!$B:$B,$A4))</f>
        <v/>
      </c>
      <c r="X4" s="33" t="str">
        <f>IF($A4="","",SUMIFS(PREVISIONE_ORE!$G:$G,PREVISIONE_ORE!$D:$D,$A4,PREVISIONE_ORE!$K:$K,"Sì"))</f>
        <v/>
      </c>
      <c r="Y4" s="33" t="str">
        <f>IF($A4="","",IF(COUNTIFS(ASSEGNAZIONI!$B:$B,$A4)&gt;0,SUMIFS(ASSEGNAZIONI!$N:$N,ASSEGNAZIONI!$B:$B,$A4),MAX($W4,0)))</f>
        <v/>
      </c>
      <c r="Z4" s="33" t="str">
        <f t="shared" si="5"/>
        <v/>
      </c>
      <c r="AA4" s="34" t="str">
        <f>IF($A4="","",IF(COUNTIFS(ASSEGNAZIONI!$B:$B,$A4)&gt;0,SUMIFS(ASSEGNAZIONI!$P:$P,ASSEGNAZIONI!$B:$B,$A4),0))</f>
        <v/>
      </c>
      <c r="AB4" s="34" t="str">
        <f t="shared" si="6"/>
        <v/>
      </c>
      <c r="AC4" s="34" t="str">
        <f t="shared" si="7"/>
        <v/>
      </c>
      <c r="AD4" s="34" t="str">
        <f t="shared" si="8"/>
        <v/>
      </c>
      <c r="AE4" s="35" t="str">
        <f t="shared" si="9"/>
        <v/>
      </c>
      <c r="AF4" s="34" t="str">
        <f t="shared" si="10"/>
        <v/>
      </c>
      <c r="AG4" s="34" t="str">
        <f t="shared" si="11"/>
        <v/>
      </c>
      <c r="AH4" s="35" t="str">
        <f>IF($A4="","",IFERROR(AVERAGEIFS(FASI!$L:$L,FASI!$B:$B,$A4),0))</f>
        <v/>
      </c>
      <c r="AI4" s="35" t="str">
        <f t="shared" si="12"/>
        <v/>
      </c>
      <c r="AJ4" s="34" t="str">
        <f>IF($A4="","",SUMIFS(SAL!$H:$H,SAL!$B:$B,$A4,SAL!$O:$O,"Emessa")+SUMIFS(SAL!$H:$H,SAL!$B:$B,$A4,SAL!$O:$O,"Incassata")+SUMIFS(SAL!$H:$H,SAL!$B:$B,$A4,SAL!$O:$O,"Scaduta"))</f>
        <v/>
      </c>
      <c r="AK4" s="34" t="str">
        <f>IF($A4="","",SUMIFS(SAL!$H:$H,SAL!$B:$B,$A4,SAL!$O:$O,"Incassata"))</f>
        <v/>
      </c>
      <c r="AL4" s="34" t="str">
        <f t="shared" si="13"/>
        <v/>
      </c>
      <c r="AM4" s="34" t="str">
        <f t="shared" si="14"/>
        <v/>
      </c>
      <c r="AN4" s="36" t="str">
        <f ca="1">IF($A4="","",IF($M4=0,"RISORSE NON ASSEGNATE",IF($AE4&lt;0.1,"MARGINE CRITICO",IF($S4&lt;-SCONTO_MAX,"SCONTO OLTRE SOGLIA",IF($Z4&gt;0,"ORE OLTRE LA STIMA",IF($AI4&gt;ALLERTA_ORE,"CONSUMO ORE ELEVATO",IF(COUNTIFS(SAL!$B:$B,$A4,SAL!$K:$K,"EMETTIBILE")&gt;0,"SAL DA EMETTERE",IF(COUNTIFS(FASI!$B:$B,$A4,FASI!$H:$H,"&lt;"&amp;TODAY(),FASI!$L:$L,"&lt;1")&gt;0,"FASI IN RITARDO","OK"))))))))</f>
        <v/>
      </c>
    </row>
    <row r="5" spans="1:42" x14ac:dyDescent="0.3">
      <c r="A5" s="42"/>
      <c r="B5" s="42"/>
      <c r="C5" s="42"/>
      <c r="D5" s="42"/>
      <c r="E5" s="42"/>
      <c r="F5" s="42"/>
      <c r="G5" s="43"/>
      <c r="H5" s="43"/>
      <c r="I5" s="42"/>
      <c r="J5" s="44"/>
      <c r="K5" s="46"/>
      <c r="L5" s="34" t="str">
        <f t="shared" si="0"/>
        <v/>
      </c>
      <c r="M5" s="33" t="str">
        <f>IF($A5="","",SUMIFS(ASSEGNAZIONI!$F:$F,ASSEGNAZIONI!$B:$B,$A5))</f>
        <v/>
      </c>
      <c r="N5" s="34" t="str">
        <f>IF($A5="","",SUMIFS(ASSEGNAZIONI!$I:$I,ASSEGNAZIONI!$B:$B,$A5))</f>
        <v/>
      </c>
      <c r="O5" s="34" t="str">
        <f>IF($A5="","",SUMIFS(ASSEGNAZIONI!$J:$J,ASSEGNAZIONI!$B:$B,$A5))</f>
        <v/>
      </c>
      <c r="P5" s="34" t="str">
        <f t="shared" si="1"/>
        <v/>
      </c>
      <c r="Q5" s="44"/>
      <c r="R5" s="34" t="str">
        <f t="shared" si="2"/>
        <v/>
      </c>
      <c r="S5" s="35" t="str">
        <f t="shared" si="3"/>
        <v/>
      </c>
      <c r="T5" s="34" t="str">
        <f>IF($A5="","",SUMIFS(ODA!$R:$R,ODA!$B:$B,$A5))</f>
        <v/>
      </c>
      <c r="U5" s="34" t="str">
        <f>IF($A5="","",SUMIFS(ODA!$P:$P,ODA!$B:$B,$A5))</f>
        <v/>
      </c>
      <c r="V5" s="45" t="str">
        <f t="shared" si="4"/>
        <v/>
      </c>
      <c r="W5" s="33" t="str">
        <f>IF($A5="","",SUMIFS(ORE!$F:$F,ORE!$B:$B,$A5))</f>
        <v/>
      </c>
      <c r="X5" s="33" t="str">
        <f>IF($A5="","",SUMIFS(PREVISIONE_ORE!$G:$G,PREVISIONE_ORE!$D:$D,$A5,PREVISIONE_ORE!$K:$K,"Sì"))</f>
        <v/>
      </c>
      <c r="Y5" s="33" t="str">
        <f>IF($A5="","",IF(COUNTIFS(ASSEGNAZIONI!$B:$B,$A5)&gt;0,SUMIFS(ASSEGNAZIONI!$N:$N,ASSEGNAZIONI!$B:$B,$A5),MAX($W5,0)))</f>
        <v/>
      </c>
      <c r="Z5" s="33" t="str">
        <f t="shared" si="5"/>
        <v/>
      </c>
      <c r="AA5" s="34" t="str">
        <f>IF($A5="","",IF(COUNTIFS(ASSEGNAZIONI!$B:$B,$A5)&gt;0,SUMIFS(ASSEGNAZIONI!$P:$P,ASSEGNAZIONI!$B:$B,$A5),0))</f>
        <v/>
      </c>
      <c r="AB5" s="34" t="str">
        <f t="shared" si="6"/>
        <v/>
      </c>
      <c r="AC5" s="34" t="str">
        <f t="shared" si="7"/>
        <v/>
      </c>
      <c r="AD5" s="34" t="str">
        <f t="shared" si="8"/>
        <v/>
      </c>
      <c r="AE5" s="35" t="str">
        <f t="shared" si="9"/>
        <v/>
      </c>
      <c r="AF5" s="34" t="str">
        <f t="shared" si="10"/>
        <v/>
      </c>
      <c r="AG5" s="34" t="str">
        <f t="shared" si="11"/>
        <v/>
      </c>
      <c r="AH5" s="35" t="str">
        <f>IF($A5="","",IFERROR(AVERAGEIFS(FASI!$L:$L,FASI!$B:$B,$A5),0))</f>
        <v/>
      </c>
      <c r="AI5" s="35" t="str">
        <f t="shared" si="12"/>
        <v/>
      </c>
      <c r="AJ5" s="34" t="str">
        <f>IF($A5="","",SUMIFS(SAL!$H:$H,SAL!$B:$B,$A5,SAL!$O:$O,"Emessa")+SUMIFS(SAL!$H:$H,SAL!$B:$B,$A5,SAL!$O:$O,"Incassata")+SUMIFS(SAL!$H:$H,SAL!$B:$B,$A5,SAL!$O:$O,"Scaduta"))</f>
        <v/>
      </c>
      <c r="AK5" s="34" t="str">
        <f>IF($A5="","",SUMIFS(SAL!$H:$H,SAL!$B:$B,$A5,SAL!$O:$O,"Incassata"))</f>
        <v/>
      </c>
      <c r="AL5" s="34" t="str">
        <f t="shared" si="13"/>
        <v/>
      </c>
      <c r="AM5" s="34" t="str">
        <f t="shared" si="14"/>
        <v/>
      </c>
      <c r="AN5" s="36" t="str">
        <f ca="1">IF($A5="","",IF($M5=0,"RISORSE NON ASSEGNATE",IF($AE5&lt;0.1,"MARGINE CRITICO",IF($S5&lt;-SCONTO_MAX,"SCONTO OLTRE SOGLIA",IF($Z5&gt;0,"ORE OLTRE LA STIMA",IF($AI5&gt;ALLERTA_ORE,"CONSUMO ORE ELEVATO",IF(COUNTIFS(SAL!$B:$B,$A5,SAL!$K:$K,"EMETTIBILE")&gt;0,"SAL DA EMETTERE",IF(COUNTIFS(FASI!$B:$B,$A5,FASI!$H:$H,"&lt;"&amp;TODAY(),FASI!$L:$L,"&lt;1")&gt;0,"FASI IN RITARDO","OK"))))))))</f>
        <v/>
      </c>
    </row>
    <row r="6" spans="1:42" x14ac:dyDescent="0.3">
      <c r="A6" s="42"/>
      <c r="B6" s="42"/>
      <c r="C6" s="42"/>
      <c r="D6" s="42"/>
      <c r="E6" s="42"/>
      <c r="F6" s="42"/>
      <c r="G6" s="43"/>
      <c r="H6" s="43"/>
      <c r="I6" s="42"/>
      <c r="J6" s="44"/>
      <c r="K6" s="46"/>
      <c r="L6" s="34" t="str">
        <f t="shared" si="0"/>
        <v/>
      </c>
      <c r="M6" s="33" t="str">
        <f>IF($A6="","",SUMIFS(ASSEGNAZIONI!$F:$F,ASSEGNAZIONI!$B:$B,$A6))</f>
        <v/>
      </c>
      <c r="N6" s="34" t="str">
        <f>IF($A6="","",SUMIFS(ASSEGNAZIONI!$I:$I,ASSEGNAZIONI!$B:$B,$A6))</f>
        <v/>
      </c>
      <c r="O6" s="34" t="str">
        <f>IF($A6="","",SUMIFS(ASSEGNAZIONI!$J:$J,ASSEGNAZIONI!$B:$B,$A6))</f>
        <v/>
      </c>
      <c r="P6" s="34" t="str">
        <f t="shared" si="1"/>
        <v/>
      </c>
      <c r="Q6" s="44"/>
      <c r="R6" s="34" t="str">
        <f t="shared" si="2"/>
        <v/>
      </c>
      <c r="S6" s="35" t="str">
        <f t="shared" si="3"/>
        <v/>
      </c>
      <c r="T6" s="34" t="str">
        <f>IF($A6="","",SUMIFS(ODA!$R:$R,ODA!$B:$B,$A6))</f>
        <v/>
      </c>
      <c r="U6" s="34" t="str">
        <f>IF($A6="","",SUMIFS(ODA!$P:$P,ODA!$B:$B,$A6))</f>
        <v/>
      </c>
      <c r="V6" s="45" t="str">
        <f t="shared" si="4"/>
        <v/>
      </c>
      <c r="W6" s="33" t="str">
        <f>IF($A6="","",SUMIFS(ORE!$F:$F,ORE!$B:$B,$A6))</f>
        <v/>
      </c>
      <c r="X6" s="33" t="str">
        <f>IF($A6="","",SUMIFS(PREVISIONE_ORE!$G:$G,PREVISIONE_ORE!$D:$D,$A6,PREVISIONE_ORE!$K:$K,"Sì"))</f>
        <v/>
      </c>
      <c r="Y6" s="33" t="str">
        <f>IF($A6="","",IF(COUNTIFS(ASSEGNAZIONI!$B:$B,$A6)&gt;0,SUMIFS(ASSEGNAZIONI!$N:$N,ASSEGNAZIONI!$B:$B,$A6),MAX($W6,0)))</f>
        <v/>
      </c>
      <c r="Z6" s="33" t="str">
        <f t="shared" si="5"/>
        <v/>
      </c>
      <c r="AA6" s="34" t="str">
        <f>IF($A6="","",IF(COUNTIFS(ASSEGNAZIONI!$B:$B,$A6)&gt;0,SUMIFS(ASSEGNAZIONI!$P:$P,ASSEGNAZIONI!$B:$B,$A6),0))</f>
        <v/>
      </c>
      <c r="AB6" s="34" t="str">
        <f t="shared" si="6"/>
        <v/>
      </c>
      <c r="AC6" s="34" t="str">
        <f t="shared" si="7"/>
        <v/>
      </c>
      <c r="AD6" s="34" t="str">
        <f t="shared" si="8"/>
        <v/>
      </c>
      <c r="AE6" s="35" t="str">
        <f t="shared" si="9"/>
        <v/>
      </c>
      <c r="AF6" s="34" t="str">
        <f t="shared" si="10"/>
        <v/>
      </c>
      <c r="AG6" s="34" t="str">
        <f t="shared" si="11"/>
        <v/>
      </c>
      <c r="AH6" s="35" t="str">
        <f>IF($A6="","",IFERROR(AVERAGEIFS(FASI!$L:$L,FASI!$B:$B,$A6),0))</f>
        <v/>
      </c>
      <c r="AI6" s="35" t="str">
        <f t="shared" si="12"/>
        <v/>
      </c>
      <c r="AJ6" s="34" t="str">
        <f>IF($A6="","",SUMIFS(SAL!$H:$H,SAL!$B:$B,$A6,SAL!$O:$O,"Emessa")+SUMIFS(SAL!$H:$H,SAL!$B:$B,$A6,SAL!$O:$O,"Incassata")+SUMIFS(SAL!$H:$H,SAL!$B:$B,$A6,SAL!$O:$O,"Scaduta"))</f>
        <v/>
      </c>
      <c r="AK6" s="34" t="str">
        <f>IF($A6="","",SUMIFS(SAL!$H:$H,SAL!$B:$B,$A6,SAL!$O:$O,"Incassata"))</f>
        <v/>
      </c>
      <c r="AL6" s="34" t="str">
        <f t="shared" si="13"/>
        <v/>
      </c>
      <c r="AM6" s="34" t="str">
        <f t="shared" si="14"/>
        <v/>
      </c>
      <c r="AN6" s="36" t="str">
        <f ca="1">IF($A6="","",IF($M6=0,"RISORSE NON ASSEGNATE",IF($AE6&lt;0.1,"MARGINE CRITICO",IF($S6&lt;-SCONTO_MAX,"SCONTO OLTRE SOGLIA",IF($Z6&gt;0,"ORE OLTRE LA STIMA",IF($AI6&gt;ALLERTA_ORE,"CONSUMO ORE ELEVATO",IF(COUNTIFS(SAL!$B:$B,$A6,SAL!$K:$K,"EMETTIBILE")&gt;0,"SAL DA EMETTERE",IF(COUNTIFS(FASI!$B:$B,$A6,FASI!$H:$H,"&lt;"&amp;TODAY(),FASI!$L:$L,"&lt;1")&gt;0,"FASI IN RITARDO","OK"))))))))</f>
        <v/>
      </c>
    </row>
    <row r="7" spans="1:42" x14ac:dyDescent="0.3">
      <c r="A7" s="42"/>
      <c r="B7" s="42"/>
      <c r="C7" s="42"/>
      <c r="D7" s="42"/>
      <c r="E7" s="42"/>
      <c r="F7" s="42"/>
      <c r="G7" s="43"/>
      <c r="H7" s="43"/>
      <c r="I7" s="42"/>
      <c r="J7" s="44"/>
      <c r="K7" s="46"/>
      <c r="L7" s="34" t="str">
        <f t="shared" si="0"/>
        <v/>
      </c>
      <c r="M7" s="33" t="str">
        <f>IF($A7="","",SUMIFS(ASSEGNAZIONI!$F:$F,ASSEGNAZIONI!$B:$B,$A7))</f>
        <v/>
      </c>
      <c r="N7" s="34" t="str">
        <f>IF($A7="","",SUMIFS(ASSEGNAZIONI!$I:$I,ASSEGNAZIONI!$B:$B,$A7))</f>
        <v/>
      </c>
      <c r="O7" s="34" t="str">
        <f>IF($A7="","",SUMIFS(ASSEGNAZIONI!$J:$J,ASSEGNAZIONI!$B:$B,$A7))</f>
        <v/>
      </c>
      <c r="P7" s="34" t="str">
        <f t="shared" si="1"/>
        <v/>
      </c>
      <c r="Q7" s="44"/>
      <c r="R7" s="34" t="str">
        <f t="shared" si="2"/>
        <v/>
      </c>
      <c r="S7" s="35" t="str">
        <f t="shared" si="3"/>
        <v/>
      </c>
      <c r="T7" s="34" t="str">
        <f>IF($A7="","",SUMIFS(ODA!$R:$R,ODA!$B:$B,$A7))</f>
        <v/>
      </c>
      <c r="U7" s="34" t="str">
        <f>IF($A7="","",SUMIFS(ODA!$P:$P,ODA!$B:$B,$A7))</f>
        <v/>
      </c>
      <c r="V7" s="45" t="str">
        <f t="shared" si="4"/>
        <v/>
      </c>
      <c r="W7" s="33" t="str">
        <f>IF($A7="","",SUMIFS(ORE!$F:$F,ORE!$B:$B,$A7))</f>
        <v/>
      </c>
      <c r="X7" s="33" t="str">
        <f>IF($A7="","",SUMIFS(PREVISIONE_ORE!$G:$G,PREVISIONE_ORE!$D:$D,$A7,PREVISIONE_ORE!$K:$K,"Sì"))</f>
        <v/>
      </c>
      <c r="Y7" s="33" t="str">
        <f>IF($A7="","",IF(COUNTIFS(ASSEGNAZIONI!$B:$B,$A7)&gt;0,SUMIFS(ASSEGNAZIONI!$N:$N,ASSEGNAZIONI!$B:$B,$A7),MAX($W7,0)))</f>
        <v/>
      </c>
      <c r="Z7" s="33" t="str">
        <f t="shared" si="5"/>
        <v/>
      </c>
      <c r="AA7" s="34" t="str">
        <f>IF($A7="","",IF(COUNTIFS(ASSEGNAZIONI!$B:$B,$A7)&gt;0,SUMIFS(ASSEGNAZIONI!$P:$P,ASSEGNAZIONI!$B:$B,$A7),0))</f>
        <v/>
      </c>
      <c r="AB7" s="34" t="str">
        <f t="shared" si="6"/>
        <v/>
      </c>
      <c r="AC7" s="34" t="str">
        <f t="shared" si="7"/>
        <v/>
      </c>
      <c r="AD7" s="34" t="str">
        <f t="shared" si="8"/>
        <v/>
      </c>
      <c r="AE7" s="35" t="str">
        <f t="shared" si="9"/>
        <v/>
      </c>
      <c r="AF7" s="34" t="str">
        <f t="shared" si="10"/>
        <v/>
      </c>
      <c r="AG7" s="34" t="str">
        <f t="shared" si="11"/>
        <v/>
      </c>
      <c r="AH7" s="35" t="str">
        <f>IF($A7="","",IFERROR(AVERAGEIFS(FASI!$L:$L,FASI!$B:$B,$A7),0))</f>
        <v/>
      </c>
      <c r="AI7" s="35" t="str">
        <f t="shared" si="12"/>
        <v/>
      </c>
      <c r="AJ7" s="34" t="str">
        <f>IF($A7="","",SUMIFS(SAL!$H:$H,SAL!$B:$B,$A7,SAL!$O:$O,"Emessa")+SUMIFS(SAL!$H:$H,SAL!$B:$B,$A7,SAL!$O:$O,"Incassata")+SUMIFS(SAL!$H:$H,SAL!$B:$B,$A7,SAL!$O:$O,"Scaduta"))</f>
        <v/>
      </c>
      <c r="AK7" s="34" t="str">
        <f>IF($A7="","",SUMIFS(SAL!$H:$H,SAL!$B:$B,$A7,SAL!$O:$O,"Incassata"))</f>
        <v/>
      </c>
      <c r="AL7" s="34" t="str">
        <f t="shared" si="13"/>
        <v/>
      </c>
      <c r="AM7" s="34" t="str">
        <f t="shared" si="14"/>
        <v/>
      </c>
      <c r="AN7" s="36" t="str">
        <f ca="1">IF($A7="","",IF($M7=0,"RISORSE NON ASSEGNATE",IF($AE7&lt;0.1,"MARGINE CRITICO",IF($S7&lt;-SCONTO_MAX,"SCONTO OLTRE SOGLIA",IF($Z7&gt;0,"ORE OLTRE LA STIMA",IF($AI7&gt;ALLERTA_ORE,"CONSUMO ORE ELEVATO",IF(COUNTIFS(SAL!$B:$B,$A7,SAL!$K:$K,"EMETTIBILE")&gt;0,"SAL DA EMETTERE",IF(COUNTIFS(FASI!$B:$B,$A7,FASI!$H:$H,"&lt;"&amp;TODAY(),FASI!$L:$L,"&lt;1")&gt;0,"FASI IN RITARDO","OK"))))))))</f>
        <v/>
      </c>
    </row>
    <row r="8" spans="1:42" x14ac:dyDescent="0.3">
      <c r="A8" s="42"/>
      <c r="B8" s="42"/>
      <c r="C8" s="42"/>
      <c r="D8" s="42"/>
      <c r="E8" s="42"/>
      <c r="F8" s="42"/>
      <c r="G8" s="43"/>
      <c r="H8" s="43"/>
      <c r="I8" s="42"/>
      <c r="J8" s="44"/>
      <c r="K8" s="46"/>
      <c r="L8" s="34" t="str">
        <f t="shared" si="0"/>
        <v/>
      </c>
      <c r="M8" s="33" t="str">
        <f>IF($A8="","",SUMIFS(ASSEGNAZIONI!$F:$F,ASSEGNAZIONI!$B:$B,$A8))</f>
        <v/>
      </c>
      <c r="N8" s="34" t="str">
        <f>IF($A8="","",SUMIFS(ASSEGNAZIONI!$I:$I,ASSEGNAZIONI!$B:$B,$A8))</f>
        <v/>
      </c>
      <c r="O8" s="34" t="str">
        <f>IF($A8="","",SUMIFS(ASSEGNAZIONI!$J:$J,ASSEGNAZIONI!$B:$B,$A8))</f>
        <v/>
      </c>
      <c r="P8" s="34" t="str">
        <f t="shared" si="1"/>
        <v/>
      </c>
      <c r="Q8" s="44"/>
      <c r="R8" s="34" t="str">
        <f t="shared" si="2"/>
        <v/>
      </c>
      <c r="S8" s="35" t="str">
        <f t="shared" si="3"/>
        <v/>
      </c>
      <c r="T8" s="34" t="str">
        <f>IF($A8="","",SUMIFS(ODA!$R:$R,ODA!$B:$B,$A8))</f>
        <v/>
      </c>
      <c r="U8" s="34" t="str">
        <f>IF($A8="","",SUMIFS(ODA!$P:$P,ODA!$B:$B,$A8))</f>
        <v/>
      </c>
      <c r="V8" s="45" t="str">
        <f t="shared" si="4"/>
        <v/>
      </c>
      <c r="W8" s="33" t="str">
        <f>IF($A8="","",SUMIFS(ORE!$F:$F,ORE!$B:$B,$A8))</f>
        <v/>
      </c>
      <c r="X8" s="33" t="str">
        <f>IF($A8="","",SUMIFS(PREVISIONE_ORE!$G:$G,PREVISIONE_ORE!$D:$D,$A8,PREVISIONE_ORE!$K:$K,"Sì"))</f>
        <v/>
      </c>
      <c r="Y8" s="33" t="str">
        <f>IF($A8="","",IF(COUNTIFS(ASSEGNAZIONI!$B:$B,$A8)&gt;0,SUMIFS(ASSEGNAZIONI!$N:$N,ASSEGNAZIONI!$B:$B,$A8),MAX($W8,0)))</f>
        <v/>
      </c>
      <c r="Z8" s="33" t="str">
        <f t="shared" si="5"/>
        <v/>
      </c>
      <c r="AA8" s="34" t="str">
        <f>IF($A8="","",IF(COUNTIFS(ASSEGNAZIONI!$B:$B,$A8)&gt;0,SUMIFS(ASSEGNAZIONI!$P:$P,ASSEGNAZIONI!$B:$B,$A8),0))</f>
        <v/>
      </c>
      <c r="AB8" s="34" t="str">
        <f t="shared" si="6"/>
        <v/>
      </c>
      <c r="AC8" s="34" t="str">
        <f t="shared" si="7"/>
        <v/>
      </c>
      <c r="AD8" s="34" t="str">
        <f t="shared" si="8"/>
        <v/>
      </c>
      <c r="AE8" s="35" t="str">
        <f t="shared" si="9"/>
        <v/>
      </c>
      <c r="AF8" s="34" t="str">
        <f t="shared" si="10"/>
        <v/>
      </c>
      <c r="AG8" s="34" t="str">
        <f t="shared" si="11"/>
        <v/>
      </c>
      <c r="AH8" s="35" t="str">
        <f>IF($A8="","",IFERROR(AVERAGEIFS(FASI!$L:$L,FASI!$B:$B,$A8),0))</f>
        <v/>
      </c>
      <c r="AI8" s="35" t="str">
        <f t="shared" si="12"/>
        <v/>
      </c>
      <c r="AJ8" s="34" t="str">
        <f>IF($A8="","",SUMIFS(SAL!$H:$H,SAL!$B:$B,$A8,SAL!$O:$O,"Emessa")+SUMIFS(SAL!$H:$H,SAL!$B:$B,$A8,SAL!$O:$O,"Incassata")+SUMIFS(SAL!$H:$H,SAL!$B:$B,$A8,SAL!$O:$O,"Scaduta"))</f>
        <v/>
      </c>
      <c r="AK8" s="34" t="str">
        <f>IF($A8="","",SUMIFS(SAL!$H:$H,SAL!$B:$B,$A8,SAL!$O:$O,"Incassata"))</f>
        <v/>
      </c>
      <c r="AL8" s="34" t="str">
        <f t="shared" si="13"/>
        <v/>
      </c>
      <c r="AM8" s="34" t="str">
        <f t="shared" si="14"/>
        <v/>
      </c>
      <c r="AN8" s="36" t="str">
        <f ca="1">IF($A8="","",IF($M8=0,"RISORSE NON ASSEGNATE",IF($AE8&lt;0.1,"MARGINE CRITICO",IF($S8&lt;-SCONTO_MAX,"SCONTO OLTRE SOGLIA",IF($Z8&gt;0,"ORE OLTRE LA STIMA",IF($AI8&gt;ALLERTA_ORE,"CONSUMO ORE ELEVATO",IF(COUNTIFS(SAL!$B:$B,$A8,SAL!$K:$K,"EMETTIBILE")&gt;0,"SAL DA EMETTERE",IF(COUNTIFS(FASI!$B:$B,$A8,FASI!$H:$H,"&lt;"&amp;TODAY(),FASI!$L:$L,"&lt;1")&gt;0,"FASI IN RITARDO","OK"))))))))</f>
        <v/>
      </c>
    </row>
    <row r="9" spans="1:42" x14ac:dyDescent="0.3">
      <c r="A9" s="42"/>
      <c r="B9" s="42"/>
      <c r="C9" s="42"/>
      <c r="D9" s="42"/>
      <c r="E9" s="42"/>
      <c r="F9" s="42"/>
      <c r="G9" s="43"/>
      <c r="H9" s="43"/>
      <c r="I9" s="42"/>
      <c r="J9" s="44"/>
      <c r="K9" s="46"/>
      <c r="L9" s="34" t="str">
        <f t="shared" si="0"/>
        <v/>
      </c>
      <c r="M9" s="33" t="str">
        <f>IF($A9="","",SUMIFS(ASSEGNAZIONI!$F:$F,ASSEGNAZIONI!$B:$B,$A9))</f>
        <v/>
      </c>
      <c r="N9" s="34" t="str">
        <f>IF($A9="","",SUMIFS(ASSEGNAZIONI!$I:$I,ASSEGNAZIONI!$B:$B,$A9))</f>
        <v/>
      </c>
      <c r="O9" s="34" t="str">
        <f>IF($A9="","",SUMIFS(ASSEGNAZIONI!$J:$J,ASSEGNAZIONI!$B:$B,$A9))</f>
        <v/>
      </c>
      <c r="P9" s="34" t="str">
        <f t="shared" si="1"/>
        <v/>
      </c>
      <c r="Q9" s="44"/>
      <c r="R9" s="34" t="str">
        <f t="shared" si="2"/>
        <v/>
      </c>
      <c r="S9" s="35" t="str">
        <f t="shared" si="3"/>
        <v/>
      </c>
      <c r="T9" s="34" t="str">
        <f>IF($A9="","",SUMIFS(ODA!$R:$R,ODA!$B:$B,$A9))</f>
        <v/>
      </c>
      <c r="U9" s="34" t="str">
        <f>IF($A9="","",SUMIFS(ODA!$P:$P,ODA!$B:$B,$A9))</f>
        <v/>
      </c>
      <c r="V9" s="45" t="str">
        <f t="shared" si="4"/>
        <v/>
      </c>
      <c r="W9" s="33" t="str">
        <f>IF($A9="","",SUMIFS(ORE!$F:$F,ORE!$B:$B,$A9))</f>
        <v/>
      </c>
      <c r="X9" s="33" t="str">
        <f>IF($A9="","",SUMIFS(PREVISIONE_ORE!$G:$G,PREVISIONE_ORE!$D:$D,$A9,PREVISIONE_ORE!$K:$K,"Sì"))</f>
        <v/>
      </c>
      <c r="Y9" s="33" t="str">
        <f>IF($A9="","",IF(COUNTIFS(ASSEGNAZIONI!$B:$B,$A9)&gt;0,SUMIFS(ASSEGNAZIONI!$N:$N,ASSEGNAZIONI!$B:$B,$A9),MAX($W9,0)))</f>
        <v/>
      </c>
      <c r="Z9" s="33" t="str">
        <f t="shared" si="5"/>
        <v/>
      </c>
      <c r="AA9" s="34" t="str">
        <f>IF($A9="","",IF(COUNTIFS(ASSEGNAZIONI!$B:$B,$A9)&gt;0,SUMIFS(ASSEGNAZIONI!$P:$P,ASSEGNAZIONI!$B:$B,$A9),0))</f>
        <v/>
      </c>
      <c r="AB9" s="34" t="str">
        <f t="shared" si="6"/>
        <v/>
      </c>
      <c r="AC9" s="34" t="str">
        <f t="shared" si="7"/>
        <v/>
      </c>
      <c r="AD9" s="34" t="str">
        <f t="shared" si="8"/>
        <v/>
      </c>
      <c r="AE9" s="35" t="str">
        <f t="shared" si="9"/>
        <v/>
      </c>
      <c r="AF9" s="34" t="str">
        <f t="shared" si="10"/>
        <v/>
      </c>
      <c r="AG9" s="34" t="str">
        <f t="shared" si="11"/>
        <v/>
      </c>
      <c r="AH9" s="35" t="str">
        <f>IF($A9="","",IFERROR(AVERAGEIFS(FASI!$L:$L,FASI!$B:$B,$A9),0))</f>
        <v/>
      </c>
      <c r="AI9" s="35" t="str">
        <f t="shared" si="12"/>
        <v/>
      </c>
      <c r="AJ9" s="34" t="str">
        <f>IF($A9="","",SUMIFS(SAL!$H:$H,SAL!$B:$B,$A9,SAL!$O:$O,"Emessa")+SUMIFS(SAL!$H:$H,SAL!$B:$B,$A9,SAL!$O:$O,"Incassata")+SUMIFS(SAL!$H:$H,SAL!$B:$B,$A9,SAL!$O:$O,"Scaduta"))</f>
        <v/>
      </c>
      <c r="AK9" s="34" t="str">
        <f>IF($A9="","",SUMIFS(SAL!$H:$H,SAL!$B:$B,$A9,SAL!$O:$O,"Incassata"))</f>
        <v/>
      </c>
      <c r="AL9" s="34" t="str">
        <f t="shared" si="13"/>
        <v/>
      </c>
      <c r="AM9" s="34" t="str">
        <f t="shared" si="14"/>
        <v/>
      </c>
      <c r="AN9" s="36" t="str">
        <f ca="1">IF($A9="","",IF($M9=0,"RISORSE NON ASSEGNATE",IF($AE9&lt;0.1,"MARGINE CRITICO",IF($S9&lt;-SCONTO_MAX,"SCONTO OLTRE SOGLIA",IF($Z9&gt;0,"ORE OLTRE LA STIMA",IF($AI9&gt;ALLERTA_ORE,"CONSUMO ORE ELEVATO",IF(COUNTIFS(SAL!$B:$B,$A9,SAL!$K:$K,"EMETTIBILE")&gt;0,"SAL DA EMETTERE",IF(COUNTIFS(FASI!$B:$B,$A9,FASI!$H:$H,"&lt;"&amp;TODAY(),FASI!$L:$L,"&lt;1")&gt;0,"FASI IN RITARDO","OK"))))))))</f>
        <v/>
      </c>
    </row>
    <row r="10" spans="1:42" x14ac:dyDescent="0.3">
      <c r="A10" s="42"/>
      <c r="B10" s="42"/>
      <c r="C10" s="42"/>
      <c r="D10" s="42"/>
      <c r="E10" s="42"/>
      <c r="F10" s="42"/>
      <c r="G10" s="43"/>
      <c r="H10" s="43"/>
      <c r="I10" s="42"/>
      <c r="J10" s="44"/>
      <c r="K10" s="46"/>
      <c r="L10" s="34" t="str">
        <f t="shared" si="0"/>
        <v/>
      </c>
      <c r="M10" s="33" t="str">
        <f>IF($A10="","",SUMIFS(ASSEGNAZIONI!$F:$F,ASSEGNAZIONI!$B:$B,$A10))</f>
        <v/>
      </c>
      <c r="N10" s="34" t="str">
        <f>IF($A10="","",SUMIFS(ASSEGNAZIONI!$I:$I,ASSEGNAZIONI!$B:$B,$A10))</f>
        <v/>
      </c>
      <c r="O10" s="34" t="str">
        <f>IF($A10="","",SUMIFS(ASSEGNAZIONI!$J:$J,ASSEGNAZIONI!$B:$B,$A10))</f>
        <v/>
      </c>
      <c r="P10" s="34" t="str">
        <f t="shared" si="1"/>
        <v/>
      </c>
      <c r="Q10" s="44"/>
      <c r="R10" s="34" t="str">
        <f t="shared" si="2"/>
        <v/>
      </c>
      <c r="S10" s="35" t="str">
        <f t="shared" si="3"/>
        <v/>
      </c>
      <c r="T10" s="34" t="str">
        <f>IF($A10="","",SUMIFS(ODA!$R:$R,ODA!$B:$B,$A10))</f>
        <v/>
      </c>
      <c r="U10" s="34" t="str">
        <f>IF($A10="","",SUMIFS(ODA!$P:$P,ODA!$B:$B,$A10))</f>
        <v/>
      </c>
      <c r="V10" s="45" t="str">
        <f t="shared" si="4"/>
        <v/>
      </c>
      <c r="W10" s="33" t="str">
        <f>IF($A10="","",SUMIFS(ORE!$F:$F,ORE!$B:$B,$A10))</f>
        <v/>
      </c>
      <c r="X10" s="33" t="str">
        <f>IF($A10="","",SUMIFS(PREVISIONE_ORE!$G:$G,PREVISIONE_ORE!$D:$D,$A10,PREVISIONE_ORE!$K:$K,"Sì"))</f>
        <v/>
      </c>
      <c r="Y10" s="33" t="str">
        <f>IF($A10="","",IF(COUNTIFS(ASSEGNAZIONI!$B:$B,$A10)&gt;0,SUMIFS(ASSEGNAZIONI!$N:$N,ASSEGNAZIONI!$B:$B,$A10),MAX($W10,0)))</f>
        <v/>
      </c>
      <c r="Z10" s="33" t="str">
        <f t="shared" si="5"/>
        <v/>
      </c>
      <c r="AA10" s="34" t="str">
        <f>IF($A10="","",IF(COUNTIFS(ASSEGNAZIONI!$B:$B,$A10)&gt;0,SUMIFS(ASSEGNAZIONI!$P:$P,ASSEGNAZIONI!$B:$B,$A10),0))</f>
        <v/>
      </c>
      <c r="AB10" s="34" t="str">
        <f t="shared" si="6"/>
        <v/>
      </c>
      <c r="AC10" s="34" t="str">
        <f t="shared" si="7"/>
        <v/>
      </c>
      <c r="AD10" s="34" t="str">
        <f t="shared" si="8"/>
        <v/>
      </c>
      <c r="AE10" s="35" t="str">
        <f t="shared" si="9"/>
        <v/>
      </c>
      <c r="AF10" s="34" t="str">
        <f t="shared" si="10"/>
        <v/>
      </c>
      <c r="AG10" s="34" t="str">
        <f t="shared" si="11"/>
        <v/>
      </c>
      <c r="AH10" s="35" t="str">
        <f>IF($A10="","",IFERROR(AVERAGEIFS(FASI!$L:$L,FASI!$B:$B,$A10),0))</f>
        <v/>
      </c>
      <c r="AI10" s="35" t="str">
        <f t="shared" si="12"/>
        <v/>
      </c>
      <c r="AJ10" s="34" t="str">
        <f>IF($A10="","",SUMIFS(SAL!$H:$H,SAL!$B:$B,$A10,SAL!$O:$O,"Emessa")+SUMIFS(SAL!$H:$H,SAL!$B:$B,$A10,SAL!$O:$O,"Incassata")+SUMIFS(SAL!$H:$H,SAL!$B:$B,$A10,SAL!$O:$O,"Scaduta"))</f>
        <v/>
      </c>
      <c r="AK10" s="34" t="str">
        <f>IF($A10="","",SUMIFS(SAL!$H:$H,SAL!$B:$B,$A10,SAL!$O:$O,"Incassata"))</f>
        <v/>
      </c>
      <c r="AL10" s="34" t="str">
        <f t="shared" si="13"/>
        <v/>
      </c>
      <c r="AM10" s="34" t="str">
        <f t="shared" si="14"/>
        <v/>
      </c>
      <c r="AN10" s="36" t="str">
        <f ca="1">IF($A10="","",IF($M10=0,"RISORSE NON ASSEGNATE",IF($AE10&lt;0.1,"MARGINE CRITICO",IF($S10&lt;-SCONTO_MAX,"SCONTO OLTRE SOGLIA",IF($Z10&gt;0,"ORE OLTRE LA STIMA",IF($AI10&gt;ALLERTA_ORE,"CONSUMO ORE ELEVATO",IF(COUNTIFS(SAL!$B:$B,$A10,SAL!$K:$K,"EMETTIBILE")&gt;0,"SAL DA EMETTERE",IF(COUNTIFS(FASI!$B:$B,$A10,FASI!$H:$H,"&lt;"&amp;TODAY(),FASI!$L:$L,"&lt;1")&gt;0,"FASI IN RITARDO","OK"))))))))</f>
        <v/>
      </c>
    </row>
    <row r="11" spans="1:42" x14ac:dyDescent="0.3">
      <c r="A11" s="42"/>
      <c r="B11" s="42"/>
      <c r="C11" s="42"/>
      <c r="D11" s="42"/>
      <c r="E11" s="42"/>
      <c r="F11" s="42"/>
      <c r="G11" s="43"/>
      <c r="H11" s="43"/>
      <c r="I11" s="42"/>
      <c r="J11" s="44"/>
      <c r="K11" s="46"/>
      <c r="L11" s="34" t="str">
        <f t="shared" si="0"/>
        <v/>
      </c>
      <c r="M11" s="33" t="str">
        <f>IF($A11="","",SUMIFS(ASSEGNAZIONI!$F:$F,ASSEGNAZIONI!$B:$B,$A11))</f>
        <v/>
      </c>
      <c r="N11" s="34" t="str">
        <f>IF($A11="","",SUMIFS(ASSEGNAZIONI!$I:$I,ASSEGNAZIONI!$B:$B,$A11))</f>
        <v/>
      </c>
      <c r="O11" s="34" t="str">
        <f>IF($A11="","",SUMIFS(ASSEGNAZIONI!$J:$J,ASSEGNAZIONI!$B:$B,$A11))</f>
        <v/>
      </c>
      <c r="P11" s="34" t="str">
        <f t="shared" si="1"/>
        <v/>
      </c>
      <c r="Q11" s="44"/>
      <c r="R11" s="34" t="str">
        <f t="shared" si="2"/>
        <v/>
      </c>
      <c r="S11" s="35" t="str">
        <f t="shared" si="3"/>
        <v/>
      </c>
      <c r="T11" s="34" t="str">
        <f>IF($A11="","",SUMIFS(ODA!$R:$R,ODA!$B:$B,$A11))</f>
        <v/>
      </c>
      <c r="U11" s="34" t="str">
        <f>IF($A11="","",SUMIFS(ODA!$P:$P,ODA!$B:$B,$A11))</f>
        <v/>
      </c>
      <c r="V11" s="45" t="str">
        <f t="shared" si="4"/>
        <v/>
      </c>
      <c r="W11" s="33" t="str">
        <f>IF($A11="","",SUMIFS(ORE!$F:$F,ORE!$B:$B,$A11))</f>
        <v/>
      </c>
      <c r="X11" s="33" t="str">
        <f>IF($A11="","",SUMIFS(PREVISIONE_ORE!$G:$G,PREVISIONE_ORE!$D:$D,$A11,PREVISIONE_ORE!$K:$K,"Sì"))</f>
        <v/>
      </c>
      <c r="Y11" s="33" t="str">
        <f>IF($A11="","",IF(COUNTIFS(ASSEGNAZIONI!$B:$B,$A11)&gt;0,SUMIFS(ASSEGNAZIONI!$N:$N,ASSEGNAZIONI!$B:$B,$A11),MAX($W11,0)))</f>
        <v/>
      </c>
      <c r="Z11" s="33" t="str">
        <f t="shared" si="5"/>
        <v/>
      </c>
      <c r="AA11" s="34" t="str">
        <f>IF($A11="","",IF(COUNTIFS(ASSEGNAZIONI!$B:$B,$A11)&gt;0,SUMIFS(ASSEGNAZIONI!$P:$P,ASSEGNAZIONI!$B:$B,$A11),0))</f>
        <v/>
      </c>
      <c r="AB11" s="34" t="str">
        <f t="shared" si="6"/>
        <v/>
      </c>
      <c r="AC11" s="34" t="str">
        <f t="shared" si="7"/>
        <v/>
      </c>
      <c r="AD11" s="34" t="str">
        <f t="shared" si="8"/>
        <v/>
      </c>
      <c r="AE11" s="35" t="str">
        <f t="shared" si="9"/>
        <v/>
      </c>
      <c r="AF11" s="34" t="str">
        <f t="shared" si="10"/>
        <v/>
      </c>
      <c r="AG11" s="34" t="str">
        <f t="shared" si="11"/>
        <v/>
      </c>
      <c r="AH11" s="35" t="str">
        <f>IF($A11="","",IFERROR(AVERAGEIFS(FASI!$L:$L,FASI!$B:$B,$A11),0))</f>
        <v/>
      </c>
      <c r="AI11" s="35" t="str">
        <f t="shared" si="12"/>
        <v/>
      </c>
      <c r="AJ11" s="34" t="str">
        <f>IF($A11="","",SUMIFS(SAL!$H:$H,SAL!$B:$B,$A11,SAL!$O:$O,"Emessa")+SUMIFS(SAL!$H:$H,SAL!$B:$B,$A11,SAL!$O:$O,"Incassata")+SUMIFS(SAL!$H:$H,SAL!$B:$B,$A11,SAL!$O:$O,"Scaduta"))</f>
        <v/>
      </c>
      <c r="AK11" s="34" t="str">
        <f>IF($A11="","",SUMIFS(SAL!$H:$H,SAL!$B:$B,$A11,SAL!$O:$O,"Incassata"))</f>
        <v/>
      </c>
      <c r="AL11" s="34" t="str">
        <f t="shared" si="13"/>
        <v/>
      </c>
      <c r="AM11" s="34" t="str">
        <f t="shared" si="14"/>
        <v/>
      </c>
      <c r="AN11" s="36" t="str">
        <f ca="1">IF($A11="","",IF($M11=0,"RISORSE NON ASSEGNATE",IF($AE11&lt;0.1,"MARGINE CRITICO",IF($S11&lt;-SCONTO_MAX,"SCONTO OLTRE SOGLIA",IF($Z11&gt;0,"ORE OLTRE LA STIMA",IF($AI11&gt;ALLERTA_ORE,"CONSUMO ORE ELEVATO",IF(COUNTIFS(SAL!$B:$B,$A11,SAL!$K:$K,"EMETTIBILE")&gt;0,"SAL DA EMETTERE",IF(COUNTIFS(FASI!$B:$B,$A11,FASI!$H:$H,"&lt;"&amp;TODAY(),FASI!$L:$L,"&lt;1")&gt;0,"FASI IN RITARDO","OK"))))))))</f>
        <v/>
      </c>
    </row>
    <row r="12" spans="1:42" x14ac:dyDescent="0.3">
      <c r="A12" s="42"/>
      <c r="B12" s="42"/>
      <c r="C12" s="42"/>
      <c r="D12" s="42"/>
      <c r="E12" s="42"/>
      <c r="F12" s="42"/>
      <c r="G12" s="43"/>
      <c r="H12" s="43"/>
      <c r="I12" s="42"/>
      <c r="J12" s="44"/>
      <c r="K12" s="46"/>
      <c r="L12" s="34" t="str">
        <f t="shared" si="0"/>
        <v/>
      </c>
      <c r="M12" s="33" t="str">
        <f>IF($A12="","",SUMIFS(ASSEGNAZIONI!$F:$F,ASSEGNAZIONI!$B:$B,$A12))</f>
        <v/>
      </c>
      <c r="N12" s="34" t="str">
        <f>IF($A12="","",SUMIFS(ASSEGNAZIONI!$I:$I,ASSEGNAZIONI!$B:$B,$A12))</f>
        <v/>
      </c>
      <c r="O12" s="34" t="str">
        <f>IF($A12="","",SUMIFS(ASSEGNAZIONI!$J:$J,ASSEGNAZIONI!$B:$B,$A12))</f>
        <v/>
      </c>
      <c r="P12" s="34" t="str">
        <f t="shared" si="1"/>
        <v/>
      </c>
      <c r="Q12" s="44"/>
      <c r="R12" s="34" t="str">
        <f t="shared" si="2"/>
        <v/>
      </c>
      <c r="S12" s="35" t="str">
        <f t="shared" si="3"/>
        <v/>
      </c>
      <c r="T12" s="34" t="str">
        <f>IF($A12="","",SUMIFS(ODA!$R:$R,ODA!$B:$B,$A12))</f>
        <v/>
      </c>
      <c r="U12" s="34" t="str">
        <f>IF($A12="","",SUMIFS(ODA!$P:$P,ODA!$B:$B,$A12))</f>
        <v/>
      </c>
      <c r="V12" s="45" t="str">
        <f t="shared" si="4"/>
        <v/>
      </c>
      <c r="W12" s="33" t="str">
        <f>IF($A12="","",SUMIFS(ORE!$F:$F,ORE!$B:$B,$A12))</f>
        <v/>
      </c>
      <c r="X12" s="33" t="str">
        <f>IF($A12="","",SUMIFS(PREVISIONE_ORE!$G:$G,PREVISIONE_ORE!$D:$D,$A12,PREVISIONE_ORE!$K:$K,"Sì"))</f>
        <v/>
      </c>
      <c r="Y12" s="33" t="str">
        <f>IF($A12="","",IF(COUNTIFS(ASSEGNAZIONI!$B:$B,$A12)&gt;0,SUMIFS(ASSEGNAZIONI!$N:$N,ASSEGNAZIONI!$B:$B,$A12),MAX($W12,0)))</f>
        <v/>
      </c>
      <c r="Z12" s="33" t="str">
        <f t="shared" si="5"/>
        <v/>
      </c>
      <c r="AA12" s="34" t="str">
        <f>IF($A12="","",IF(COUNTIFS(ASSEGNAZIONI!$B:$B,$A12)&gt;0,SUMIFS(ASSEGNAZIONI!$P:$P,ASSEGNAZIONI!$B:$B,$A12),0))</f>
        <v/>
      </c>
      <c r="AB12" s="34" t="str">
        <f t="shared" si="6"/>
        <v/>
      </c>
      <c r="AC12" s="34" t="str">
        <f t="shared" si="7"/>
        <v/>
      </c>
      <c r="AD12" s="34" t="str">
        <f t="shared" si="8"/>
        <v/>
      </c>
      <c r="AE12" s="35" t="str">
        <f t="shared" si="9"/>
        <v/>
      </c>
      <c r="AF12" s="34" t="str">
        <f t="shared" si="10"/>
        <v/>
      </c>
      <c r="AG12" s="34" t="str">
        <f t="shared" si="11"/>
        <v/>
      </c>
      <c r="AH12" s="35" t="str">
        <f>IF($A12="","",IFERROR(AVERAGEIFS(FASI!$L:$L,FASI!$B:$B,$A12),0))</f>
        <v/>
      </c>
      <c r="AI12" s="35" t="str">
        <f t="shared" si="12"/>
        <v/>
      </c>
      <c r="AJ12" s="34" t="str">
        <f>IF($A12="","",SUMIFS(SAL!$H:$H,SAL!$B:$B,$A12,SAL!$O:$O,"Emessa")+SUMIFS(SAL!$H:$H,SAL!$B:$B,$A12,SAL!$O:$O,"Incassata")+SUMIFS(SAL!$H:$H,SAL!$B:$B,$A12,SAL!$O:$O,"Scaduta"))</f>
        <v/>
      </c>
      <c r="AK12" s="34" t="str">
        <f>IF($A12="","",SUMIFS(SAL!$H:$H,SAL!$B:$B,$A12,SAL!$O:$O,"Incassata"))</f>
        <v/>
      </c>
      <c r="AL12" s="34" t="str">
        <f t="shared" si="13"/>
        <v/>
      </c>
      <c r="AM12" s="34" t="str">
        <f t="shared" si="14"/>
        <v/>
      </c>
      <c r="AN12" s="36" t="str">
        <f ca="1">IF($A12="","",IF($M12=0,"RISORSE NON ASSEGNATE",IF($AE12&lt;0.1,"MARGINE CRITICO",IF($S12&lt;-SCONTO_MAX,"SCONTO OLTRE SOGLIA",IF($Z12&gt;0,"ORE OLTRE LA STIMA",IF($AI12&gt;ALLERTA_ORE,"CONSUMO ORE ELEVATO",IF(COUNTIFS(SAL!$B:$B,$A12,SAL!$K:$K,"EMETTIBILE")&gt;0,"SAL DA EMETTERE",IF(COUNTIFS(FASI!$B:$B,$A12,FASI!$H:$H,"&lt;"&amp;TODAY(),FASI!$L:$L,"&lt;1")&gt;0,"FASI IN RITARDO","OK"))))))))</f>
        <v/>
      </c>
    </row>
    <row r="13" spans="1:42" x14ac:dyDescent="0.3">
      <c r="A13" s="42"/>
      <c r="B13" s="42"/>
      <c r="C13" s="42"/>
      <c r="D13" s="42"/>
      <c r="E13" s="42"/>
      <c r="F13" s="42"/>
      <c r="G13" s="43"/>
      <c r="H13" s="43"/>
      <c r="I13" s="42"/>
      <c r="J13" s="44"/>
      <c r="K13" s="46"/>
      <c r="L13" s="34" t="str">
        <f t="shared" si="0"/>
        <v/>
      </c>
      <c r="M13" s="33" t="str">
        <f>IF($A13="","",SUMIFS(ASSEGNAZIONI!$F:$F,ASSEGNAZIONI!$B:$B,$A13))</f>
        <v/>
      </c>
      <c r="N13" s="34" t="str">
        <f>IF($A13="","",SUMIFS(ASSEGNAZIONI!$I:$I,ASSEGNAZIONI!$B:$B,$A13))</f>
        <v/>
      </c>
      <c r="O13" s="34" t="str">
        <f>IF($A13="","",SUMIFS(ASSEGNAZIONI!$J:$J,ASSEGNAZIONI!$B:$B,$A13))</f>
        <v/>
      </c>
      <c r="P13" s="34" t="str">
        <f t="shared" si="1"/>
        <v/>
      </c>
      <c r="Q13" s="44"/>
      <c r="R13" s="34" t="str">
        <f t="shared" si="2"/>
        <v/>
      </c>
      <c r="S13" s="35" t="str">
        <f t="shared" si="3"/>
        <v/>
      </c>
      <c r="T13" s="34" t="str">
        <f>IF($A13="","",SUMIFS(ODA!$R:$R,ODA!$B:$B,$A13))</f>
        <v/>
      </c>
      <c r="U13" s="34" t="str">
        <f>IF($A13="","",SUMIFS(ODA!$P:$P,ODA!$B:$B,$A13))</f>
        <v/>
      </c>
      <c r="V13" s="45" t="str">
        <f t="shared" si="4"/>
        <v/>
      </c>
      <c r="W13" s="33" t="str">
        <f>IF($A13="","",SUMIFS(ORE!$F:$F,ORE!$B:$B,$A13))</f>
        <v/>
      </c>
      <c r="X13" s="33" t="str">
        <f>IF($A13="","",SUMIFS(PREVISIONE_ORE!$G:$G,PREVISIONE_ORE!$D:$D,$A13,PREVISIONE_ORE!$K:$K,"Sì"))</f>
        <v/>
      </c>
      <c r="Y13" s="33" t="str">
        <f>IF($A13="","",IF(COUNTIFS(ASSEGNAZIONI!$B:$B,$A13)&gt;0,SUMIFS(ASSEGNAZIONI!$N:$N,ASSEGNAZIONI!$B:$B,$A13),MAX($W13,0)))</f>
        <v/>
      </c>
      <c r="Z13" s="33" t="str">
        <f t="shared" si="5"/>
        <v/>
      </c>
      <c r="AA13" s="34" t="str">
        <f>IF($A13="","",IF(COUNTIFS(ASSEGNAZIONI!$B:$B,$A13)&gt;0,SUMIFS(ASSEGNAZIONI!$P:$P,ASSEGNAZIONI!$B:$B,$A13),0))</f>
        <v/>
      </c>
      <c r="AB13" s="34" t="str">
        <f t="shared" si="6"/>
        <v/>
      </c>
      <c r="AC13" s="34" t="str">
        <f t="shared" si="7"/>
        <v/>
      </c>
      <c r="AD13" s="34" t="str">
        <f t="shared" si="8"/>
        <v/>
      </c>
      <c r="AE13" s="35" t="str">
        <f t="shared" si="9"/>
        <v/>
      </c>
      <c r="AF13" s="34" t="str">
        <f t="shared" si="10"/>
        <v/>
      </c>
      <c r="AG13" s="34" t="str">
        <f t="shared" si="11"/>
        <v/>
      </c>
      <c r="AH13" s="35" t="str">
        <f>IF($A13="","",IFERROR(AVERAGEIFS(FASI!$L:$L,FASI!$B:$B,$A13),0))</f>
        <v/>
      </c>
      <c r="AI13" s="35" t="str">
        <f t="shared" si="12"/>
        <v/>
      </c>
      <c r="AJ13" s="34" t="str">
        <f>IF($A13="","",SUMIFS(SAL!$H:$H,SAL!$B:$B,$A13,SAL!$O:$O,"Emessa")+SUMIFS(SAL!$H:$H,SAL!$B:$B,$A13,SAL!$O:$O,"Incassata")+SUMIFS(SAL!$H:$H,SAL!$B:$B,$A13,SAL!$O:$O,"Scaduta"))</f>
        <v/>
      </c>
      <c r="AK13" s="34" t="str">
        <f>IF($A13="","",SUMIFS(SAL!$H:$H,SAL!$B:$B,$A13,SAL!$O:$O,"Incassata"))</f>
        <v/>
      </c>
      <c r="AL13" s="34" t="str">
        <f t="shared" si="13"/>
        <v/>
      </c>
      <c r="AM13" s="34" t="str">
        <f t="shared" si="14"/>
        <v/>
      </c>
      <c r="AN13" s="36" t="str">
        <f ca="1">IF($A13="","",IF($M13=0,"RISORSE NON ASSEGNATE",IF($AE13&lt;0.1,"MARGINE CRITICO",IF($S13&lt;-SCONTO_MAX,"SCONTO OLTRE SOGLIA",IF($Z13&gt;0,"ORE OLTRE LA STIMA",IF($AI13&gt;ALLERTA_ORE,"CONSUMO ORE ELEVATO",IF(COUNTIFS(SAL!$B:$B,$A13,SAL!$K:$K,"EMETTIBILE")&gt;0,"SAL DA EMETTERE",IF(COUNTIFS(FASI!$B:$B,$A13,FASI!$H:$H,"&lt;"&amp;TODAY(),FASI!$L:$L,"&lt;1")&gt;0,"FASI IN RITARDO","OK"))))))))</f>
        <v/>
      </c>
    </row>
    <row r="14" spans="1:42" x14ac:dyDescent="0.3">
      <c r="A14" s="42"/>
      <c r="B14" s="42"/>
      <c r="C14" s="42"/>
      <c r="D14" s="42"/>
      <c r="E14" s="42"/>
      <c r="F14" s="42"/>
      <c r="G14" s="43"/>
      <c r="H14" s="43"/>
      <c r="I14" s="42"/>
      <c r="J14" s="44"/>
      <c r="K14" s="46"/>
      <c r="L14" s="34" t="str">
        <f t="shared" si="0"/>
        <v/>
      </c>
      <c r="M14" s="33" t="str">
        <f>IF($A14="","",SUMIFS(ASSEGNAZIONI!$F:$F,ASSEGNAZIONI!$B:$B,$A14))</f>
        <v/>
      </c>
      <c r="N14" s="34" t="str">
        <f>IF($A14="","",SUMIFS(ASSEGNAZIONI!$I:$I,ASSEGNAZIONI!$B:$B,$A14))</f>
        <v/>
      </c>
      <c r="O14" s="34" t="str">
        <f>IF($A14="","",SUMIFS(ASSEGNAZIONI!$J:$J,ASSEGNAZIONI!$B:$B,$A14))</f>
        <v/>
      </c>
      <c r="P14" s="34" t="str">
        <f t="shared" si="1"/>
        <v/>
      </c>
      <c r="Q14" s="44"/>
      <c r="R14" s="34" t="str">
        <f t="shared" si="2"/>
        <v/>
      </c>
      <c r="S14" s="35" t="str">
        <f t="shared" si="3"/>
        <v/>
      </c>
      <c r="T14" s="34" t="str">
        <f>IF($A14="","",SUMIFS(ODA!$R:$R,ODA!$B:$B,$A14))</f>
        <v/>
      </c>
      <c r="U14" s="34" t="str">
        <f>IF($A14="","",SUMIFS(ODA!$P:$P,ODA!$B:$B,$A14))</f>
        <v/>
      </c>
      <c r="V14" s="45" t="str">
        <f t="shared" si="4"/>
        <v/>
      </c>
      <c r="W14" s="33" t="str">
        <f>IF($A14="","",SUMIFS(ORE!$F:$F,ORE!$B:$B,$A14))</f>
        <v/>
      </c>
      <c r="X14" s="33" t="str">
        <f>IF($A14="","",SUMIFS(PREVISIONE_ORE!$G:$G,PREVISIONE_ORE!$D:$D,$A14,PREVISIONE_ORE!$K:$K,"Sì"))</f>
        <v/>
      </c>
      <c r="Y14" s="33" t="str">
        <f>IF($A14="","",IF(COUNTIFS(ASSEGNAZIONI!$B:$B,$A14)&gt;0,SUMIFS(ASSEGNAZIONI!$N:$N,ASSEGNAZIONI!$B:$B,$A14),MAX($W14,0)))</f>
        <v/>
      </c>
      <c r="Z14" s="33" t="str">
        <f t="shared" si="5"/>
        <v/>
      </c>
      <c r="AA14" s="34" t="str">
        <f>IF($A14="","",IF(COUNTIFS(ASSEGNAZIONI!$B:$B,$A14)&gt;0,SUMIFS(ASSEGNAZIONI!$P:$P,ASSEGNAZIONI!$B:$B,$A14),0))</f>
        <v/>
      </c>
      <c r="AB14" s="34" t="str">
        <f t="shared" si="6"/>
        <v/>
      </c>
      <c r="AC14" s="34" t="str">
        <f t="shared" si="7"/>
        <v/>
      </c>
      <c r="AD14" s="34" t="str">
        <f t="shared" si="8"/>
        <v/>
      </c>
      <c r="AE14" s="35" t="str">
        <f t="shared" si="9"/>
        <v/>
      </c>
      <c r="AF14" s="34" t="str">
        <f t="shared" si="10"/>
        <v/>
      </c>
      <c r="AG14" s="34" t="str">
        <f t="shared" si="11"/>
        <v/>
      </c>
      <c r="AH14" s="35" t="str">
        <f>IF($A14="","",IFERROR(AVERAGEIFS(FASI!$L:$L,FASI!$B:$B,$A14),0))</f>
        <v/>
      </c>
      <c r="AI14" s="35" t="str">
        <f t="shared" si="12"/>
        <v/>
      </c>
      <c r="AJ14" s="34" t="str">
        <f>IF($A14="","",SUMIFS(SAL!$H:$H,SAL!$B:$B,$A14,SAL!$O:$O,"Emessa")+SUMIFS(SAL!$H:$H,SAL!$B:$B,$A14,SAL!$O:$O,"Incassata")+SUMIFS(SAL!$H:$H,SAL!$B:$B,$A14,SAL!$O:$O,"Scaduta"))</f>
        <v/>
      </c>
      <c r="AK14" s="34" t="str">
        <f>IF($A14="","",SUMIFS(SAL!$H:$H,SAL!$B:$B,$A14,SAL!$O:$O,"Incassata"))</f>
        <v/>
      </c>
      <c r="AL14" s="34" t="str">
        <f t="shared" si="13"/>
        <v/>
      </c>
      <c r="AM14" s="34" t="str">
        <f t="shared" si="14"/>
        <v/>
      </c>
      <c r="AN14" s="36" t="str">
        <f ca="1">IF($A14="","",IF($M14=0,"RISORSE NON ASSEGNATE",IF($AE14&lt;0.1,"MARGINE CRITICO",IF($S14&lt;-SCONTO_MAX,"SCONTO OLTRE SOGLIA",IF($Z14&gt;0,"ORE OLTRE LA STIMA",IF($AI14&gt;ALLERTA_ORE,"CONSUMO ORE ELEVATO",IF(COUNTIFS(SAL!$B:$B,$A14,SAL!$K:$K,"EMETTIBILE")&gt;0,"SAL DA EMETTERE",IF(COUNTIFS(FASI!$B:$B,$A14,FASI!$H:$H,"&lt;"&amp;TODAY(),FASI!$L:$L,"&lt;1")&gt;0,"FASI IN RITARDO","OK"))))))))</f>
        <v/>
      </c>
    </row>
    <row r="15" spans="1:42" x14ac:dyDescent="0.3">
      <c r="A15" s="42"/>
      <c r="B15" s="42"/>
      <c r="C15" s="42"/>
      <c r="D15" s="42"/>
      <c r="E15" s="42"/>
      <c r="F15" s="42"/>
      <c r="G15" s="43"/>
      <c r="H15" s="43"/>
      <c r="I15" s="42"/>
      <c r="J15" s="44"/>
      <c r="K15" s="46"/>
      <c r="L15" s="34" t="str">
        <f t="shared" si="0"/>
        <v/>
      </c>
      <c r="M15" s="33" t="str">
        <f>IF($A15="","",SUMIFS(ASSEGNAZIONI!$F:$F,ASSEGNAZIONI!$B:$B,$A15))</f>
        <v/>
      </c>
      <c r="N15" s="34" t="str">
        <f>IF($A15="","",SUMIFS(ASSEGNAZIONI!$I:$I,ASSEGNAZIONI!$B:$B,$A15))</f>
        <v/>
      </c>
      <c r="O15" s="34" t="str">
        <f>IF($A15="","",SUMIFS(ASSEGNAZIONI!$J:$J,ASSEGNAZIONI!$B:$B,$A15))</f>
        <v/>
      </c>
      <c r="P15" s="34" t="str">
        <f t="shared" si="1"/>
        <v/>
      </c>
      <c r="Q15" s="44"/>
      <c r="R15" s="34" t="str">
        <f t="shared" si="2"/>
        <v/>
      </c>
      <c r="S15" s="35" t="str">
        <f t="shared" si="3"/>
        <v/>
      </c>
      <c r="T15" s="34" t="str">
        <f>IF($A15="","",SUMIFS(ODA!$R:$R,ODA!$B:$B,$A15))</f>
        <v/>
      </c>
      <c r="U15" s="34" t="str">
        <f>IF($A15="","",SUMIFS(ODA!$P:$P,ODA!$B:$B,$A15))</f>
        <v/>
      </c>
      <c r="V15" s="45" t="str">
        <f t="shared" si="4"/>
        <v/>
      </c>
      <c r="W15" s="33" t="str">
        <f>IF($A15="","",SUMIFS(ORE!$F:$F,ORE!$B:$B,$A15))</f>
        <v/>
      </c>
      <c r="X15" s="33" t="str">
        <f>IF($A15="","",SUMIFS(PREVISIONE_ORE!$G:$G,PREVISIONE_ORE!$D:$D,$A15,PREVISIONE_ORE!$K:$K,"Sì"))</f>
        <v/>
      </c>
      <c r="Y15" s="33" t="str">
        <f>IF($A15="","",IF(COUNTIFS(ASSEGNAZIONI!$B:$B,$A15)&gt;0,SUMIFS(ASSEGNAZIONI!$N:$N,ASSEGNAZIONI!$B:$B,$A15),MAX($W15,0)))</f>
        <v/>
      </c>
      <c r="Z15" s="33" t="str">
        <f t="shared" si="5"/>
        <v/>
      </c>
      <c r="AA15" s="34" t="str">
        <f>IF($A15="","",IF(COUNTIFS(ASSEGNAZIONI!$B:$B,$A15)&gt;0,SUMIFS(ASSEGNAZIONI!$P:$P,ASSEGNAZIONI!$B:$B,$A15),0))</f>
        <v/>
      </c>
      <c r="AB15" s="34" t="str">
        <f t="shared" si="6"/>
        <v/>
      </c>
      <c r="AC15" s="34" t="str">
        <f t="shared" si="7"/>
        <v/>
      </c>
      <c r="AD15" s="34" t="str">
        <f t="shared" si="8"/>
        <v/>
      </c>
      <c r="AE15" s="35" t="str">
        <f t="shared" si="9"/>
        <v/>
      </c>
      <c r="AF15" s="34" t="str">
        <f t="shared" si="10"/>
        <v/>
      </c>
      <c r="AG15" s="34" t="str">
        <f t="shared" si="11"/>
        <v/>
      </c>
      <c r="AH15" s="35" t="str">
        <f>IF($A15="","",IFERROR(AVERAGEIFS(FASI!$L:$L,FASI!$B:$B,$A15),0))</f>
        <v/>
      </c>
      <c r="AI15" s="35" t="str">
        <f t="shared" si="12"/>
        <v/>
      </c>
      <c r="AJ15" s="34" t="str">
        <f>IF($A15="","",SUMIFS(SAL!$H:$H,SAL!$B:$B,$A15,SAL!$O:$O,"Emessa")+SUMIFS(SAL!$H:$H,SAL!$B:$B,$A15,SAL!$O:$O,"Incassata")+SUMIFS(SAL!$H:$H,SAL!$B:$B,$A15,SAL!$O:$O,"Scaduta"))</f>
        <v/>
      </c>
      <c r="AK15" s="34" t="str">
        <f>IF($A15="","",SUMIFS(SAL!$H:$H,SAL!$B:$B,$A15,SAL!$O:$O,"Incassata"))</f>
        <v/>
      </c>
      <c r="AL15" s="34" t="str">
        <f t="shared" si="13"/>
        <v/>
      </c>
      <c r="AM15" s="34" t="str">
        <f t="shared" si="14"/>
        <v/>
      </c>
      <c r="AN15" s="36" t="str">
        <f ca="1">IF($A15="","",IF($M15=0,"RISORSE NON ASSEGNATE",IF($AE15&lt;0.1,"MARGINE CRITICO",IF($S15&lt;-SCONTO_MAX,"SCONTO OLTRE SOGLIA",IF($Z15&gt;0,"ORE OLTRE LA STIMA",IF($AI15&gt;ALLERTA_ORE,"CONSUMO ORE ELEVATO",IF(COUNTIFS(SAL!$B:$B,$A15,SAL!$K:$K,"EMETTIBILE")&gt;0,"SAL DA EMETTERE",IF(COUNTIFS(FASI!$B:$B,$A15,FASI!$H:$H,"&lt;"&amp;TODAY(),FASI!$L:$L,"&lt;1")&gt;0,"FASI IN RITARDO","OK"))))))))</f>
        <v/>
      </c>
    </row>
    <row r="16" spans="1:42" x14ac:dyDescent="0.3">
      <c r="A16" s="42"/>
      <c r="B16" s="42"/>
      <c r="C16" s="42"/>
      <c r="D16" s="42"/>
      <c r="E16" s="42"/>
      <c r="F16" s="42"/>
      <c r="G16" s="43"/>
      <c r="H16" s="43"/>
      <c r="I16" s="42"/>
      <c r="J16" s="44"/>
      <c r="K16" s="46"/>
      <c r="L16" s="34" t="str">
        <f t="shared" si="0"/>
        <v/>
      </c>
      <c r="M16" s="33" t="str">
        <f>IF($A16="","",SUMIFS(ASSEGNAZIONI!$F:$F,ASSEGNAZIONI!$B:$B,$A16))</f>
        <v/>
      </c>
      <c r="N16" s="34" t="str">
        <f>IF($A16="","",SUMIFS(ASSEGNAZIONI!$I:$I,ASSEGNAZIONI!$B:$B,$A16))</f>
        <v/>
      </c>
      <c r="O16" s="34" t="str">
        <f>IF($A16="","",SUMIFS(ASSEGNAZIONI!$J:$J,ASSEGNAZIONI!$B:$B,$A16))</f>
        <v/>
      </c>
      <c r="P16" s="34" t="str">
        <f t="shared" si="1"/>
        <v/>
      </c>
      <c r="Q16" s="44"/>
      <c r="R16" s="34" t="str">
        <f t="shared" si="2"/>
        <v/>
      </c>
      <c r="S16" s="35" t="str">
        <f t="shared" si="3"/>
        <v/>
      </c>
      <c r="T16" s="34" t="str">
        <f>IF($A16="","",SUMIFS(ODA!$R:$R,ODA!$B:$B,$A16))</f>
        <v/>
      </c>
      <c r="U16" s="34" t="str">
        <f>IF($A16="","",SUMIFS(ODA!$P:$P,ODA!$B:$B,$A16))</f>
        <v/>
      </c>
      <c r="V16" s="45" t="str">
        <f t="shared" si="4"/>
        <v/>
      </c>
      <c r="W16" s="33" t="str">
        <f>IF($A16="","",SUMIFS(ORE!$F:$F,ORE!$B:$B,$A16))</f>
        <v/>
      </c>
      <c r="X16" s="33" t="str">
        <f>IF($A16="","",SUMIFS(PREVISIONE_ORE!$G:$G,PREVISIONE_ORE!$D:$D,$A16,PREVISIONE_ORE!$K:$K,"Sì"))</f>
        <v/>
      </c>
      <c r="Y16" s="33" t="str">
        <f>IF($A16="","",IF(COUNTIFS(ASSEGNAZIONI!$B:$B,$A16)&gt;0,SUMIFS(ASSEGNAZIONI!$N:$N,ASSEGNAZIONI!$B:$B,$A16),MAX($W16,0)))</f>
        <v/>
      </c>
      <c r="Z16" s="33" t="str">
        <f t="shared" si="5"/>
        <v/>
      </c>
      <c r="AA16" s="34" t="str">
        <f>IF($A16="","",IF(COUNTIFS(ASSEGNAZIONI!$B:$B,$A16)&gt;0,SUMIFS(ASSEGNAZIONI!$P:$P,ASSEGNAZIONI!$B:$B,$A16),0))</f>
        <v/>
      </c>
      <c r="AB16" s="34" t="str">
        <f t="shared" si="6"/>
        <v/>
      </c>
      <c r="AC16" s="34" t="str">
        <f t="shared" si="7"/>
        <v/>
      </c>
      <c r="AD16" s="34" t="str">
        <f t="shared" si="8"/>
        <v/>
      </c>
      <c r="AE16" s="35" t="str">
        <f t="shared" si="9"/>
        <v/>
      </c>
      <c r="AF16" s="34" t="str">
        <f t="shared" si="10"/>
        <v/>
      </c>
      <c r="AG16" s="34" t="str">
        <f t="shared" si="11"/>
        <v/>
      </c>
      <c r="AH16" s="35" t="str">
        <f>IF($A16="","",IFERROR(AVERAGEIFS(FASI!$L:$L,FASI!$B:$B,$A16),0))</f>
        <v/>
      </c>
      <c r="AI16" s="35" t="str">
        <f t="shared" si="12"/>
        <v/>
      </c>
      <c r="AJ16" s="34" t="str">
        <f>IF($A16="","",SUMIFS(SAL!$H:$H,SAL!$B:$B,$A16,SAL!$O:$O,"Emessa")+SUMIFS(SAL!$H:$H,SAL!$B:$B,$A16,SAL!$O:$O,"Incassata")+SUMIFS(SAL!$H:$H,SAL!$B:$B,$A16,SAL!$O:$O,"Scaduta"))</f>
        <v/>
      </c>
      <c r="AK16" s="34" t="str">
        <f>IF($A16="","",SUMIFS(SAL!$H:$H,SAL!$B:$B,$A16,SAL!$O:$O,"Incassata"))</f>
        <v/>
      </c>
      <c r="AL16" s="34" t="str">
        <f t="shared" si="13"/>
        <v/>
      </c>
      <c r="AM16" s="34" t="str">
        <f t="shared" si="14"/>
        <v/>
      </c>
      <c r="AN16" s="36" t="str">
        <f ca="1">IF($A16="","",IF($M16=0,"RISORSE NON ASSEGNATE",IF($AE16&lt;0.1,"MARGINE CRITICO",IF($S16&lt;-SCONTO_MAX,"SCONTO OLTRE SOGLIA",IF($Z16&gt;0,"ORE OLTRE LA STIMA",IF($AI16&gt;ALLERTA_ORE,"CONSUMO ORE ELEVATO",IF(COUNTIFS(SAL!$B:$B,$A16,SAL!$K:$K,"EMETTIBILE")&gt;0,"SAL DA EMETTERE",IF(COUNTIFS(FASI!$B:$B,$A16,FASI!$H:$H,"&lt;"&amp;TODAY(),FASI!$L:$L,"&lt;1")&gt;0,"FASI IN RITARDO","OK"))))))))</f>
        <v/>
      </c>
    </row>
    <row r="17" spans="1:40" x14ac:dyDescent="0.3">
      <c r="A17" s="42"/>
      <c r="B17" s="42"/>
      <c r="C17" s="42"/>
      <c r="D17" s="42"/>
      <c r="E17" s="42"/>
      <c r="F17" s="42"/>
      <c r="G17" s="43"/>
      <c r="H17" s="43"/>
      <c r="I17" s="42"/>
      <c r="J17" s="44"/>
      <c r="K17" s="46"/>
      <c r="L17" s="34" t="str">
        <f t="shared" si="0"/>
        <v/>
      </c>
      <c r="M17" s="33" t="str">
        <f>IF($A17="","",SUMIFS(ASSEGNAZIONI!$F:$F,ASSEGNAZIONI!$B:$B,$A17))</f>
        <v/>
      </c>
      <c r="N17" s="34" t="str">
        <f>IF($A17="","",SUMIFS(ASSEGNAZIONI!$I:$I,ASSEGNAZIONI!$B:$B,$A17))</f>
        <v/>
      </c>
      <c r="O17" s="34" t="str">
        <f>IF($A17="","",SUMIFS(ASSEGNAZIONI!$J:$J,ASSEGNAZIONI!$B:$B,$A17))</f>
        <v/>
      </c>
      <c r="P17" s="34" t="str">
        <f t="shared" si="1"/>
        <v/>
      </c>
      <c r="Q17" s="44"/>
      <c r="R17" s="34" t="str">
        <f t="shared" si="2"/>
        <v/>
      </c>
      <c r="S17" s="35" t="str">
        <f t="shared" si="3"/>
        <v/>
      </c>
      <c r="T17" s="34" t="str">
        <f>IF($A17="","",SUMIFS(ODA!$R:$R,ODA!$B:$B,$A17))</f>
        <v/>
      </c>
      <c r="U17" s="34" t="str">
        <f>IF($A17="","",SUMIFS(ODA!$P:$P,ODA!$B:$B,$A17))</f>
        <v/>
      </c>
      <c r="V17" s="45" t="str">
        <f t="shared" si="4"/>
        <v/>
      </c>
      <c r="W17" s="33" t="str">
        <f>IF($A17="","",SUMIFS(ORE!$F:$F,ORE!$B:$B,$A17))</f>
        <v/>
      </c>
      <c r="X17" s="33" t="str">
        <f>IF($A17="","",SUMIFS(PREVISIONE_ORE!$G:$G,PREVISIONE_ORE!$D:$D,$A17,PREVISIONE_ORE!$K:$K,"Sì"))</f>
        <v/>
      </c>
      <c r="Y17" s="33" t="str">
        <f>IF($A17="","",IF(COUNTIFS(ASSEGNAZIONI!$B:$B,$A17)&gt;0,SUMIFS(ASSEGNAZIONI!$N:$N,ASSEGNAZIONI!$B:$B,$A17),MAX($W17,0)))</f>
        <v/>
      </c>
      <c r="Z17" s="33" t="str">
        <f t="shared" si="5"/>
        <v/>
      </c>
      <c r="AA17" s="34" t="str">
        <f>IF($A17="","",IF(COUNTIFS(ASSEGNAZIONI!$B:$B,$A17)&gt;0,SUMIFS(ASSEGNAZIONI!$P:$P,ASSEGNAZIONI!$B:$B,$A17),0))</f>
        <v/>
      </c>
      <c r="AB17" s="34" t="str">
        <f t="shared" si="6"/>
        <v/>
      </c>
      <c r="AC17" s="34" t="str">
        <f t="shared" si="7"/>
        <v/>
      </c>
      <c r="AD17" s="34" t="str">
        <f t="shared" si="8"/>
        <v/>
      </c>
      <c r="AE17" s="35" t="str">
        <f t="shared" si="9"/>
        <v/>
      </c>
      <c r="AF17" s="34" t="str">
        <f t="shared" si="10"/>
        <v/>
      </c>
      <c r="AG17" s="34" t="str">
        <f t="shared" si="11"/>
        <v/>
      </c>
      <c r="AH17" s="35" t="str">
        <f>IF($A17="","",IFERROR(AVERAGEIFS(FASI!$L:$L,FASI!$B:$B,$A17),0))</f>
        <v/>
      </c>
      <c r="AI17" s="35" t="str">
        <f t="shared" si="12"/>
        <v/>
      </c>
      <c r="AJ17" s="34" t="str">
        <f>IF($A17="","",SUMIFS(SAL!$H:$H,SAL!$B:$B,$A17,SAL!$O:$O,"Emessa")+SUMIFS(SAL!$H:$H,SAL!$B:$B,$A17,SAL!$O:$O,"Incassata")+SUMIFS(SAL!$H:$H,SAL!$B:$B,$A17,SAL!$O:$O,"Scaduta"))</f>
        <v/>
      </c>
      <c r="AK17" s="34" t="str">
        <f>IF($A17="","",SUMIFS(SAL!$H:$H,SAL!$B:$B,$A17,SAL!$O:$O,"Incassata"))</f>
        <v/>
      </c>
      <c r="AL17" s="34" t="str">
        <f t="shared" si="13"/>
        <v/>
      </c>
      <c r="AM17" s="34" t="str">
        <f t="shared" si="14"/>
        <v/>
      </c>
      <c r="AN17" s="36" t="str">
        <f ca="1">IF($A17="","",IF($M17=0,"RISORSE NON ASSEGNATE",IF($AE17&lt;0.1,"MARGINE CRITICO",IF($S17&lt;-SCONTO_MAX,"SCONTO OLTRE SOGLIA",IF($Z17&gt;0,"ORE OLTRE LA STIMA",IF($AI17&gt;ALLERTA_ORE,"CONSUMO ORE ELEVATO",IF(COUNTIFS(SAL!$B:$B,$A17,SAL!$K:$K,"EMETTIBILE")&gt;0,"SAL DA EMETTERE",IF(COUNTIFS(FASI!$B:$B,$A17,FASI!$H:$H,"&lt;"&amp;TODAY(),FASI!$L:$L,"&lt;1")&gt;0,"FASI IN RITARDO","OK"))))))))</f>
        <v/>
      </c>
    </row>
    <row r="18" spans="1:40" x14ac:dyDescent="0.3">
      <c r="A18" s="42"/>
      <c r="B18" s="42"/>
      <c r="C18" s="42"/>
      <c r="D18" s="42"/>
      <c r="E18" s="42"/>
      <c r="F18" s="42"/>
      <c r="G18" s="43"/>
      <c r="H18" s="43"/>
      <c r="I18" s="42"/>
      <c r="J18" s="44"/>
      <c r="K18" s="46"/>
      <c r="L18" s="34" t="str">
        <f t="shared" si="0"/>
        <v/>
      </c>
      <c r="M18" s="33" t="str">
        <f>IF($A18="","",SUMIFS(ASSEGNAZIONI!$F:$F,ASSEGNAZIONI!$B:$B,$A18))</f>
        <v/>
      </c>
      <c r="N18" s="34" t="str">
        <f>IF($A18="","",SUMIFS(ASSEGNAZIONI!$I:$I,ASSEGNAZIONI!$B:$B,$A18))</f>
        <v/>
      </c>
      <c r="O18" s="34" t="str">
        <f>IF($A18="","",SUMIFS(ASSEGNAZIONI!$J:$J,ASSEGNAZIONI!$B:$B,$A18))</f>
        <v/>
      </c>
      <c r="P18" s="34" t="str">
        <f t="shared" si="1"/>
        <v/>
      </c>
      <c r="Q18" s="44"/>
      <c r="R18" s="34" t="str">
        <f t="shared" si="2"/>
        <v/>
      </c>
      <c r="S18" s="35" t="str">
        <f t="shared" si="3"/>
        <v/>
      </c>
      <c r="T18" s="34" t="str">
        <f>IF($A18="","",SUMIFS(ODA!$R:$R,ODA!$B:$B,$A18))</f>
        <v/>
      </c>
      <c r="U18" s="34" t="str">
        <f>IF($A18="","",SUMIFS(ODA!$P:$P,ODA!$B:$B,$A18))</f>
        <v/>
      </c>
      <c r="V18" s="45" t="str">
        <f t="shared" si="4"/>
        <v/>
      </c>
      <c r="W18" s="33" t="str">
        <f>IF($A18="","",SUMIFS(ORE!$F:$F,ORE!$B:$B,$A18))</f>
        <v/>
      </c>
      <c r="X18" s="33" t="str">
        <f>IF($A18="","",SUMIFS(PREVISIONE_ORE!$G:$G,PREVISIONE_ORE!$D:$D,$A18,PREVISIONE_ORE!$K:$K,"Sì"))</f>
        <v/>
      </c>
      <c r="Y18" s="33" t="str">
        <f>IF($A18="","",IF(COUNTIFS(ASSEGNAZIONI!$B:$B,$A18)&gt;0,SUMIFS(ASSEGNAZIONI!$N:$N,ASSEGNAZIONI!$B:$B,$A18),MAX($W18,0)))</f>
        <v/>
      </c>
      <c r="Z18" s="33" t="str">
        <f t="shared" si="5"/>
        <v/>
      </c>
      <c r="AA18" s="34" t="str">
        <f>IF($A18="","",IF(COUNTIFS(ASSEGNAZIONI!$B:$B,$A18)&gt;0,SUMIFS(ASSEGNAZIONI!$P:$P,ASSEGNAZIONI!$B:$B,$A18),0))</f>
        <v/>
      </c>
      <c r="AB18" s="34" t="str">
        <f t="shared" si="6"/>
        <v/>
      </c>
      <c r="AC18" s="34" t="str">
        <f t="shared" si="7"/>
        <v/>
      </c>
      <c r="AD18" s="34" t="str">
        <f t="shared" si="8"/>
        <v/>
      </c>
      <c r="AE18" s="35" t="str">
        <f t="shared" si="9"/>
        <v/>
      </c>
      <c r="AF18" s="34" t="str">
        <f t="shared" si="10"/>
        <v/>
      </c>
      <c r="AG18" s="34" t="str">
        <f t="shared" si="11"/>
        <v/>
      </c>
      <c r="AH18" s="35" t="str">
        <f>IF($A18="","",IFERROR(AVERAGEIFS(FASI!$L:$L,FASI!$B:$B,$A18),0))</f>
        <v/>
      </c>
      <c r="AI18" s="35" t="str">
        <f t="shared" si="12"/>
        <v/>
      </c>
      <c r="AJ18" s="34" t="str">
        <f>IF($A18="","",SUMIFS(SAL!$H:$H,SAL!$B:$B,$A18,SAL!$O:$O,"Emessa")+SUMIFS(SAL!$H:$H,SAL!$B:$B,$A18,SAL!$O:$O,"Incassata")+SUMIFS(SAL!$H:$H,SAL!$B:$B,$A18,SAL!$O:$O,"Scaduta"))</f>
        <v/>
      </c>
      <c r="AK18" s="34" t="str">
        <f>IF($A18="","",SUMIFS(SAL!$H:$H,SAL!$B:$B,$A18,SAL!$O:$O,"Incassata"))</f>
        <v/>
      </c>
      <c r="AL18" s="34" t="str">
        <f t="shared" si="13"/>
        <v/>
      </c>
      <c r="AM18" s="34" t="str">
        <f t="shared" si="14"/>
        <v/>
      </c>
      <c r="AN18" s="36" t="str">
        <f ca="1">IF($A18="","",IF($M18=0,"RISORSE NON ASSEGNATE",IF($AE18&lt;0.1,"MARGINE CRITICO",IF($S18&lt;-SCONTO_MAX,"SCONTO OLTRE SOGLIA",IF($Z18&gt;0,"ORE OLTRE LA STIMA",IF($AI18&gt;ALLERTA_ORE,"CONSUMO ORE ELEVATO",IF(COUNTIFS(SAL!$B:$B,$A18,SAL!$K:$K,"EMETTIBILE")&gt;0,"SAL DA EMETTERE",IF(COUNTIFS(FASI!$B:$B,$A18,FASI!$H:$H,"&lt;"&amp;TODAY(),FASI!$L:$L,"&lt;1")&gt;0,"FASI IN RITARDO","OK"))))))))</f>
        <v/>
      </c>
    </row>
    <row r="19" spans="1:40" x14ac:dyDescent="0.3">
      <c r="A19" s="42"/>
      <c r="B19" s="42"/>
      <c r="C19" s="42"/>
      <c r="D19" s="42"/>
      <c r="E19" s="42"/>
      <c r="F19" s="42"/>
      <c r="G19" s="43"/>
      <c r="H19" s="43"/>
      <c r="I19" s="42"/>
      <c r="J19" s="44"/>
      <c r="K19" s="46"/>
      <c r="L19" s="34" t="str">
        <f t="shared" si="0"/>
        <v/>
      </c>
      <c r="M19" s="33" t="str">
        <f>IF($A19="","",SUMIFS(ASSEGNAZIONI!$F:$F,ASSEGNAZIONI!$B:$B,$A19))</f>
        <v/>
      </c>
      <c r="N19" s="34" t="str">
        <f>IF($A19="","",SUMIFS(ASSEGNAZIONI!$I:$I,ASSEGNAZIONI!$B:$B,$A19))</f>
        <v/>
      </c>
      <c r="O19" s="34" t="str">
        <f>IF($A19="","",SUMIFS(ASSEGNAZIONI!$J:$J,ASSEGNAZIONI!$B:$B,$A19))</f>
        <v/>
      </c>
      <c r="P19" s="34" t="str">
        <f t="shared" si="1"/>
        <v/>
      </c>
      <c r="Q19" s="44"/>
      <c r="R19" s="34" t="str">
        <f t="shared" si="2"/>
        <v/>
      </c>
      <c r="S19" s="35" t="str">
        <f t="shared" si="3"/>
        <v/>
      </c>
      <c r="T19" s="34" t="str">
        <f>IF($A19="","",SUMIFS(ODA!$R:$R,ODA!$B:$B,$A19))</f>
        <v/>
      </c>
      <c r="U19" s="34" t="str">
        <f>IF($A19="","",SUMIFS(ODA!$P:$P,ODA!$B:$B,$A19))</f>
        <v/>
      </c>
      <c r="V19" s="45" t="str">
        <f t="shared" si="4"/>
        <v/>
      </c>
      <c r="W19" s="33" t="str">
        <f>IF($A19="","",SUMIFS(ORE!$F:$F,ORE!$B:$B,$A19))</f>
        <v/>
      </c>
      <c r="X19" s="33" t="str">
        <f>IF($A19="","",SUMIFS(PREVISIONE_ORE!$G:$G,PREVISIONE_ORE!$D:$D,$A19,PREVISIONE_ORE!$K:$K,"Sì"))</f>
        <v/>
      </c>
      <c r="Y19" s="33" t="str">
        <f>IF($A19="","",IF(COUNTIFS(ASSEGNAZIONI!$B:$B,$A19)&gt;0,SUMIFS(ASSEGNAZIONI!$N:$N,ASSEGNAZIONI!$B:$B,$A19),MAX($W19,0)))</f>
        <v/>
      </c>
      <c r="Z19" s="33" t="str">
        <f t="shared" si="5"/>
        <v/>
      </c>
      <c r="AA19" s="34" t="str">
        <f>IF($A19="","",IF(COUNTIFS(ASSEGNAZIONI!$B:$B,$A19)&gt;0,SUMIFS(ASSEGNAZIONI!$P:$P,ASSEGNAZIONI!$B:$B,$A19),0))</f>
        <v/>
      </c>
      <c r="AB19" s="34" t="str">
        <f t="shared" si="6"/>
        <v/>
      </c>
      <c r="AC19" s="34" t="str">
        <f t="shared" si="7"/>
        <v/>
      </c>
      <c r="AD19" s="34" t="str">
        <f t="shared" si="8"/>
        <v/>
      </c>
      <c r="AE19" s="35" t="str">
        <f t="shared" si="9"/>
        <v/>
      </c>
      <c r="AF19" s="34" t="str">
        <f t="shared" si="10"/>
        <v/>
      </c>
      <c r="AG19" s="34" t="str">
        <f t="shared" si="11"/>
        <v/>
      </c>
      <c r="AH19" s="35" t="str">
        <f>IF($A19="","",IFERROR(AVERAGEIFS(FASI!$L:$L,FASI!$B:$B,$A19),0))</f>
        <v/>
      </c>
      <c r="AI19" s="35" t="str">
        <f t="shared" si="12"/>
        <v/>
      </c>
      <c r="AJ19" s="34" t="str">
        <f>IF($A19="","",SUMIFS(SAL!$H:$H,SAL!$B:$B,$A19,SAL!$O:$O,"Emessa")+SUMIFS(SAL!$H:$H,SAL!$B:$B,$A19,SAL!$O:$O,"Incassata")+SUMIFS(SAL!$H:$H,SAL!$B:$B,$A19,SAL!$O:$O,"Scaduta"))</f>
        <v/>
      </c>
      <c r="AK19" s="34" t="str">
        <f>IF($A19="","",SUMIFS(SAL!$H:$H,SAL!$B:$B,$A19,SAL!$O:$O,"Incassata"))</f>
        <v/>
      </c>
      <c r="AL19" s="34" t="str">
        <f t="shared" si="13"/>
        <v/>
      </c>
      <c r="AM19" s="34" t="str">
        <f t="shared" si="14"/>
        <v/>
      </c>
      <c r="AN19" s="36" t="str">
        <f ca="1">IF($A19="","",IF($M19=0,"RISORSE NON ASSEGNATE",IF($AE19&lt;0.1,"MARGINE CRITICO",IF($S19&lt;-SCONTO_MAX,"SCONTO OLTRE SOGLIA",IF($Z19&gt;0,"ORE OLTRE LA STIMA",IF($AI19&gt;ALLERTA_ORE,"CONSUMO ORE ELEVATO",IF(COUNTIFS(SAL!$B:$B,$A19,SAL!$K:$K,"EMETTIBILE")&gt;0,"SAL DA EMETTERE",IF(COUNTIFS(FASI!$B:$B,$A19,FASI!$H:$H,"&lt;"&amp;TODAY(),FASI!$L:$L,"&lt;1")&gt;0,"FASI IN RITARDO","OK"))))))))</f>
        <v/>
      </c>
    </row>
    <row r="20" spans="1:40" x14ac:dyDescent="0.3">
      <c r="A20" s="42"/>
      <c r="B20" s="42"/>
      <c r="C20" s="42"/>
      <c r="D20" s="42"/>
      <c r="E20" s="42"/>
      <c r="F20" s="42"/>
      <c r="G20" s="43"/>
      <c r="H20" s="43"/>
      <c r="I20" s="42"/>
      <c r="J20" s="44"/>
      <c r="K20" s="46"/>
      <c r="L20" s="34" t="str">
        <f t="shared" si="0"/>
        <v/>
      </c>
      <c r="M20" s="33" t="str">
        <f>IF($A20="","",SUMIFS(ASSEGNAZIONI!$F:$F,ASSEGNAZIONI!$B:$B,$A20))</f>
        <v/>
      </c>
      <c r="N20" s="34" t="str">
        <f>IF($A20="","",SUMIFS(ASSEGNAZIONI!$I:$I,ASSEGNAZIONI!$B:$B,$A20))</f>
        <v/>
      </c>
      <c r="O20" s="34" t="str">
        <f>IF($A20="","",SUMIFS(ASSEGNAZIONI!$J:$J,ASSEGNAZIONI!$B:$B,$A20))</f>
        <v/>
      </c>
      <c r="P20" s="34" t="str">
        <f t="shared" si="1"/>
        <v/>
      </c>
      <c r="Q20" s="44"/>
      <c r="R20" s="34" t="str">
        <f t="shared" si="2"/>
        <v/>
      </c>
      <c r="S20" s="35" t="str">
        <f t="shared" si="3"/>
        <v/>
      </c>
      <c r="T20" s="34" t="str">
        <f>IF($A20="","",SUMIFS(ODA!$R:$R,ODA!$B:$B,$A20))</f>
        <v/>
      </c>
      <c r="U20" s="34" t="str">
        <f>IF($A20="","",SUMIFS(ODA!$P:$P,ODA!$B:$B,$A20))</f>
        <v/>
      </c>
      <c r="V20" s="45" t="str">
        <f t="shared" si="4"/>
        <v/>
      </c>
      <c r="W20" s="33" t="str">
        <f>IF($A20="","",SUMIFS(ORE!$F:$F,ORE!$B:$B,$A20))</f>
        <v/>
      </c>
      <c r="X20" s="33" t="str">
        <f>IF($A20="","",SUMIFS(PREVISIONE_ORE!$G:$G,PREVISIONE_ORE!$D:$D,$A20,PREVISIONE_ORE!$K:$K,"Sì"))</f>
        <v/>
      </c>
      <c r="Y20" s="33" t="str">
        <f>IF($A20="","",IF(COUNTIFS(ASSEGNAZIONI!$B:$B,$A20)&gt;0,SUMIFS(ASSEGNAZIONI!$N:$N,ASSEGNAZIONI!$B:$B,$A20),MAX($W20,0)))</f>
        <v/>
      </c>
      <c r="Z20" s="33" t="str">
        <f t="shared" si="5"/>
        <v/>
      </c>
      <c r="AA20" s="34" t="str">
        <f>IF($A20="","",IF(COUNTIFS(ASSEGNAZIONI!$B:$B,$A20)&gt;0,SUMIFS(ASSEGNAZIONI!$P:$P,ASSEGNAZIONI!$B:$B,$A20),0))</f>
        <v/>
      </c>
      <c r="AB20" s="34" t="str">
        <f t="shared" si="6"/>
        <v/>
      </c>
      <c r="AC20" s="34" t="str">
        <f t="shared" si="7"/>
        <v/>
      </c>
      <c r="AD20" s="34" t="str">
        <f t="shared" si="8"/>
        <v/>
      </c>
      <c r="AE20" s="35" t="str">
        <f t="shared" si="9"/>
        <v/>
      </c>
      <c r="AF20" s="34" t="str">
        <f t="shared" si="10"/>
        <v/>
      </c>
      <c r="AG20" s="34" t="str">
        <f t="shared" si="11"/>
        <v/>
      </c>
      <c r="AH20" s="35" t="str">
        <f>IF($A20="","",IFERROR(AVERAGEIFS(FASI!$L:$L,FASI!$B:$B,$A20),0))</f>
        <v/>
      </c>
      <c r="AI20" s="35" t="str">
        <f t="shared" si="12"/>
        <v/>
      </c>
      <c r="AJ20" s="34" t="str">
        <f>IF($A20="","",SUMIFS(SAL!$H:$H,SAL!$B:$B,$A20,SAL!$O:$O,"Emessa")+SUMIFS(SAL!$H:$H,SAL!$B:$B,$A20,SAL!$O:$O,"Incassata")+SUMIFS(SAL!$H:$H,SAL!$B:$B,$A20,SAL!$O:$O,"Scaduta"))</f>
        <v/>
      </c>
      <c r="AK20" s="34" t="str">
        <f>IF($A20="","",SUMIFS(SAL!$H:$H,SAL!$B:$B,$A20,SAL!$O:$O,"Incassata"))</f>
        <v/>
      </c>
      <c r="AL20" s="34" t="str">
        <f t="shared" si="13"/>
        <v/>
      </c>
      <c r="AM20" s="34" t="str">
        <f t="shared" si="14"/>
        <v/>
      </c>
      <c r="AN20" s="36" t="str">
        <f ca="1">IF($A20="","",IF($M20=0,"RISORSE NON ASSEGNATE",IF($AE20&lt;0.1,"MARGINE CRITICO",IF($S20&lt;-SCONTO_MAX,"SCONTO OLTRE SOGLIA",IF($Z20&gt;0,"ORE OLTRE LA STIMA",IF($AI20&gt;ALLERTA_ORE,"CONSUMO ORE ELEVATO",IF(COUNTIFS(SAL!$B:$B,$A20,SAL!$K:$K,"EMETTIBILE")&gt;0,"SAL DA EMETTERE",IF(COUNTIFS(FASI!$B:$B,$A20,FASI!$H:$H,"&lt;"&amp;TODAY(),FASI!$L:$L,"&lt;1")&gt;0,"FASI IN RITARDO","OK"))))))))</f>
        <v/>
      </c>
    </row>
    <row r="21" spans="1:40" x14ac:dyDescent="0.3">
      <c r="A21" s="42"/>
      <c r="B21" s="42"/>
      <c r="C21" s="42"/>
      <c r="D21" s="42"/>
      <c r="E21" s="42"/>
      <c r="F21" s="42"/>
      <c r="G21" s="43"/>
      <c r="H21" s="43"/>
      <c r="I21" s="42"/>
      <c r="J21" s="44"/>
      <c r="K21" s="46"/>
      <c r="L21" s="34" t="str">
        <f t="shared" si="0"/>
        <v/>
      </c>
      <c r="M21" s="33" t="str">
        <f>IF($A21="","",SUMIFS(ASSEGNAZIONI!$F:$F,ASSEGNAZIONI!$B:$B,$A21))</f>
        <v/>
      </c>
      <c r="N21" s="34" t="str">
        <f>IF($A21="","",SUMIFS(ASSEGNAZIONI!$I:$I,ASSEGNAZIONI!$B:$B,$A21))</f>
        <v/>
      </c>
      <c r="O21" s="34" t="str">
        <f>IF($A21="","",SUMIFS(ASSEGNAZIONI!$J:$J,ASSEGNAZIONI!$B:$B,$A21))</f>
        <v/>
      </c>
      <c r="P21" s="34" t="str">
        <f t="shared" si="1"/>
        <v/>
      </c>
      <c r="Q21" s="44"/>
      <c r="R21" s="34" t="str">
        <f t="shared" si="2"/>
        <v/>
      </c>
      <c r="S21" s="35" t="str">
        <f t="shared" si="3"/>
        <v/>
      </c>
      <c r="T21" s="34" t="str">
        <f>IF($A21="","",SUMIFS(ODA!$R:$R,ODA!$B:$B,$A21))</f>
        <v/>
      </c>
      <c r="U21" s="34" t="str">
        <f>IF($A21="","",SUMIFS(ODA!$P:$P,ODA!$B:$B,$A21))</f>
        <v/>
      </c>
      <c r="V21" s="45" t="str">
        <f t="shared" si="4"/>
        <v/>
      </c>
      <c r="W21" s="33" t="str">
        <f>IF($A21="","",SUMIFS(ORE!$F:$F,ORE!$B:$B,$A21))</f>
        <v/>
      </c>
      <c r="X21" s="33" t="str">
        <f>IF($A21="","",SUMIFS(PREVISIONE_ORE!$G:$G,PREVISIONE_ORE!$D:$D,$A21,PREVISIONE_ORE!$K:$K,"Sì"))</f>
        <v/>
      </c>
      <c r="Y21" s="33" t="str">
        <f>IF($A21="","",IF(COUNTIFS(ASSEGNAZIONI!$B:$B,$A21)&gt;0,SUMIFS(ASSEGNAZIONI!$N:$N,ASSEGNAZIONI!$B:$B,$A21),MAX($W21,0)))</f>
        <v/>
      </c>
      <c r="Z21" s="33" t="str">
        <f t="shared" si="5"/>
        <v/>
      </c>
      <c r="AA21" s="34" t="str">
        <f>IF($A21="","",IF(COUNTIFS(ASSEGNAZIONI!$B:$B,$A21)&gt;0,SUMIFS(ASSEGNAZIONI!$P:$P,ASSEGNAZIONI!$B:$B,$A21),0))</f>
        <v/>
      </c>
      <c r="AB21" s="34" t="str">
        <f t="shared" si="6"/>
        <v/>
      </c>
      <c r="AC21" s="34" t="str">
        <f t="shared" si="7"/>
        <v/>
      </c>
      <c r="AD21" s="34" t="str">
        <f t="shared" si="8"/>
        <v/>
      </c>
      <c r="AE21" s="35" t="str">
        <f t="shared" si="9"/>
        <v/>
      </c>
      <c r="AF21" s="34" t="str">
        <f t="shared" si="10"/>
        <v/>
      </c>
      <c r="AG21" s="34" t="str">
        <f t="shared" si="11"/>
        <v/>
      </c>
      <c r="AH21" s="35" t="str">
        <f>IF($A21="","",IFERROR(AVERAGEIFS(FASI!$L:$L,FASI!$B:$B,$A21),0))</f>
        <v/>
      </c>
      <c r="AI21" s="35" t="str">
        <f t="shared" si="12"/>
        <v/>
      </c>
      <c r="AJ21" s="34" t="str">
        <f>IF($A21="","",SUMIFS(SAL!$H:$H,SAL!$B:$B,$A21,SAL!$O:$O,"Emessa")+SUMIFS(SAL!$H:$H,SAL!$B:$B,$A21,SAL!$O:$O,"Incassata")+SUMIFS(SAL!$H:$H,SAL!$B:$B,$A21,SAL!$O:$O,"Scaduta"))</f>
        <v/>
      </c>
      <c r="AK21" s="34" t="str">
        <f>IF($A21="","",SUMIFS(SAL!$H:$H,SAL!$B:$B,$A21,SAL!$O:$O,"Incassata"))</f>
        <v/>
      </c>
      <c r="AL21" s="34" t="str">
        <f t="shared" si="13"/>
        <v/>
      </c>
      <c r="AM21" s="34" t="str">
        <f t="shared" si="14"/>
        <v/>
      </c>
      <c r="AN21" s="36" t="str">
        <f ca="1">IF($A21="","",IF($M21=0,"RISORSE NON ASSEGNATE",IF($AE21&lt;0.1,"MARGINE CRITICO",IF($S21&lt;-SCONTO_MAX,"SCONTO OLTRE SOGLIA",IF($Z21&gt;0,"ORE OLTRE LA STIMA",IF($AI21&gt;ALLERTA_ORE,"CONSUMO ORE ELEVATO",IF(COUNTIFS(SAL!$B:$B,$A21,SAL!$K:$K,"EMETTIBILE")&gt;0,"SAL DA EMETTERE",IF(COUNTIFS(FASI!$B:$B,$A21,FASI!$H:$H,"&lt;"&amp;TODAY(),FASI!$L:$L,"&lt;1")&gt;0,"FASI IN RITARDO","OK"))))))))</f>
        <v/>
      </c>
    </row>
    <row r="22" spans="1:40" x14ac:dyDescent="0.3">
      <c r="A22" s="42"/>
      <c r="B22" s="42"/>
      <c r="C22" s="42"/>
      <c r="D22" s="42"/>
      <c r="E22" s="42"/>
      <c r="F22" s="42"/>
      <c r="G22" s="43"/>
      <c r="H22" s="43"/>
      <c r="I22" s="42"/>
      <c r="J22" s="44"/>
      <c r="K22" s="46"/>
      <c r="L22" s="34" t="str">
        <f t="shared" si="0"/>
        <v/>
      </c>
      <c r="M22" s="33" t="str">
        <f>IF($A22="","",SUMIFS(ASSEGNAZIONI!$F:$F,ASSEGNAZIONI!$B:$B,$A22))</f>
        <v/>
      </c>
      <c r="N22" s="34" t="str">
        <f>IF($A22="","",SUMIFS(ASSEGNAZIONI!$I:$I,ASSEGNAZIONI!$B:$B,$A22))</f>
        <v/>
      </c>
      <c r="O22" s="34" t="str">
        <f>IF($A22="","",SUMIFS(ASSEGNAZIONI!$J:$J,ASSEGNAZIONI!$B:$B,$A22))</f>
        <v/>
      </c>
      <c r="P22" s="34" t="str">
        <f t="shared" si="1"/>
        <v/>
      </c>
      <c r="Q22" s="44"/>
      <c r="R22" s="34" t="str">
        <f t="shared" si="2"/>
        <v/>
      </c>
      <c r="S22" s="35" t="str">
        <f t="shared" si="3"/>
        <v/>
      </c>
      <c r="T22" s="34" t="str">
        <f>IF($A22="","",SUMIFS(ODA!$R:$R,ODA!$B:$B,$A22))</f>
        <v/>
      </c>
      <c r="U22" s="34" t="str">
        <f>IF($A22="","",SUMIFS(ODA!$P:$P,ODA!$B:$B,$A22))</f>
        <v/>
      </c>
      <c r="V22" s="45" t="str">
        <f t="shared" si="4"/>
        <v/>
      </c>
      <c r="W22" s="33" t="str">
        <f>IF($A22="","",SUMIFS(ORE!$F:$F,ORE!$B:$B,$A22))</f>
        <v/>
      </c>
      <c r="X22" s="33" t="str">
        <f>IF($A22="","",SUMIFS(PREVISIONE_ORE!$G:$G,PREVISIONE_ORE!$D:$D,$A22,PREVISIONE_ORE!$K:$K,"Sì"))</f>
        <v/>
      </c>
      <c r="Y22" s="33" t="str">
        <f>IF($A22="","",IF(COUNTIFS(ASSEGNAZIONI!$B:$B,$A22)&gt;0,SUMIFS(ASSEGNAZIONI!$N:$N,ASSEGNAZIONI!$B:$B,$A22),MAX($W22,0)))</f>
        <v/>
      </c>
      <c r="Z22" s="33" t="str">
        <f t="shared" si="5"/>
        <v/>
      </c>
      <c r="AA22" s="34" t="str">
        <f>IF($A22="","",IF(COUNTIFS(ASSEGNAZIONI!$B:$B,$A22)&gt;0,SUMIFS(ASSEGNAZIONI!$P:$P,ASSEGNAZIONI!$B:$B,$A22),0))</f>
        <v/>
      </c>
      <c r="AB22" s="34" t="str">
        <f t="shared" si="6"/>
        <v/>
      </c>
      <c r="AC22" s="34" t="str">
        <f t="shared" si="7"/>
        <v/>
      </c>
      <c r="AD22" s="34" t="str">
        <f t="shared" si="8"/>
        <v/>
      </c>
      <c r="AE22" s="35" t="str">
        <f t="shared" si="9"/>
        <v/>
      </c>
      <c r="AF22" s="34" t="str">
        <f t="shared" si="10"/>
        <v/>
      </c>
      <c r="AG22" s="34" t="str">
        <f t="shared" si="11"/>
        <v/>
      </c>
      <c r="AH22" s="35" t="str">
        <f>IF($A22="","",IFERROR(AVERAGEIFS(FASI!$L:$L,FASI!$B:$B,$A22),0))</f>
        <v/>
      </c>
      <c r="AI22" s="35" t="str">
        <f t="shared" si="12"/>
        <v/>
      </c>
      <c r="AJ22" s="34" t="str">
        <f>IF($A22="","",SUMIFS(SAL!$H:$H,SAL!$B:$B,$A22,SAL!$O:$O,"Emessa")+SUMIFS(SAL!$H:$H,SAL!$B:$B,$A22,SAL!$O:$O,"Incassata")+SUMIFS(SAL!$H:$H,SAL!$B:$B,$A22,SAL!$O:$O,"Scaduta"))</f>
        <v/>
      </c>
      <c r="AK22" s="34" t="str">
        <f>IF($A22="","",SUMIFS(SAL!$H:$H,SAL!$B:$B,$A22,SAL!$O:$O,"Incassata"))</f>
        <v/>
      </c>
      <c r="AL22" s="34" t="str">
        <f t="shared" si="13"/>
        <v/>
      </c>
      <c r="AM22" s="34" t="str">
        <f t="shared" si="14"/>
        <v/>
      </c>
      <c r="AN22" s="36" t="str">
        <f ca="1">IF($A22="","",IF($M22=0,"RISORSE NON ASSEGNATE",IF($AE22&lt;0.1,"MARGINE CRITICO",IF($S22&lt;-SCONTO_MAX,"SCONTO OLTRE SOGLIA",IF($Z22&gt;0,"ORE OLTRE LA STIMA",IF($AI22&gt;ALLERTA_ORE,"CONSUMO ORE ELEVATO",IF(COUNTIFS(SAL!$B:$B,$A22,SAL!$K:$K,"EMETTIBILE")&gt;0,"SAL DA EMETTERE",IF(COUNTIFS(FASI!$B:$B,$A22,FASI!$H:$H,"&lt;"&amp;TODAY(),FASI!$L:$L,"&lt;1")&gt;0,"FASI IN RITARDO","OK"))))))))</f>
        <v/>
      </c>
    </row>
    <row r="23" spans="1:40" x14ac:dyDescent="0.3">
      <c r="A23" s="42"/>
      <c r="B23" s="42"/>
      <c r="C23" s="42"/>
      <c r="D23" s="42"/>
      <c r="E23" s="42"/>
      <c r="F23" s="42"/>
      <c r="G23" s="43"/>
      <c r="H23" s="43"/>
      <c r="I23" s="42"/>
      <c r="J23" s="44"/>
      <c r="K23" s="46"/>
      <c r="L23" s="34" t="str">
        <f t="shared" si="0"/>
        <v/>
      </c>
      <c r="M23" s="33" t="str">
        <f>IF($A23="","",SUMIFS(ASSEGNAZIONI!$F:$F,ASSEGNAZIONI!$B:$B,$A23))</f>
        <v/>
      </c>
      <c r="N23" s="34" t="str">
        <f>IF($A23="","",SUMIFS(ASSEGNAZIONI!$I:$I,ASSEGNAZIONI!$B:$B,$A23))</f>
        <v/>
      </c>
      <c r="O23" s="34" t="str">
        <f>IF($A23="","",SUMIFS(ASSEGNAZIONI!$J:$J,ASSEGNAZIONI!$B:$B,$A23))</f>
        <v/>
      </c>
      <c r="P23" s="34" t="str">
        <f t="shared" si="1"/>
        <v/>
      </c>
      <c r="Q23" s="44"/>
      <c r="R23" s="34" t="str">
        <f t="shared" si="2"/>
        <v/>
      </c>
      <c r="S23" s="35" t="str">
        <f t="shared" si="3"/>
        <v/>
      </c>
      <c r="T23" s="34" t="str">
        <f>IF($A23="","",SUMIFS(ODA!$R:$R,ODA!$B:$B,$A23))</f>
        <v/>
      </c>
      <c r="U23" s="34" t="str">
        <f>IF($A23="","",SUMIFS(ODA!$P:$P,ODA!$B:$B,$A23))</f>
        <v/>
      </c>
      <c r="V23" s="45" t="str">
        <f t="shared" si="4"/>
        <v/>
      </c>
      <c r="W23" s="33" t="str">
        <f>IF($A23="","",SUMIFS(ORE!$F:$F,ORE!$B:$B,$A23))</f>
        <v/>
      </c>
      <c r="X23" s="33" t="str">
        <f>IF($A23="","",SUMIFS(PREVISIONE_ORE!$G:$G,PREVISIONE_ORE!$D:$D,$A23,PREVISIONE_ORE!$K:$K,"Sì"))</f>
        <v/>
      </c>
      <c r="Y23" s="33" t="str">
        <f>IF($A23="","",IF(COUNTIFS(ASSEGNAZIONI!$B:$B,$A23)&gt;0,SUMIFS(ASSEGNAZIONI!$N:$N,ASSEGNAZIONI!$B:$B,$A23),MAX($W23,0)))</f>
        <v/>
      </c>
      <c r="Z23" s="33" t="str">
        <f t="shared" si="5"/>
        <v/>
      </c>
      <c r="AA23" s="34" t="str">
        <f>IF($A23="","",IF(COUNTIFS(ASSEGNAZIONI!$B:$B,$A23)&gt;0,SUMIFS(ASSEGNAZIONI!$P:$P,ASSEGNAZIONI!$B:$B,$A23),0))</f>
        <v/>
      </c>
      <c r="AB23" s="34" t="str">
        <f t="shared" si="6"/>
        <v/>
      </c>
      <c r="AC23" s="34" t="str">
        <f t="shared" si="7"/>
        <v/>
      </c>
      <c r="AD23" s="34" t="str">
        <f t="shared" si="8"/>
        <v/>
      </c>
      <c r="AE23" s="35" t="str">
        <f t="shared" si="9"/>
        <v/>
      </c>
      <c r="AF23" s="34" t="str">
        <f t="shared" si="10"/>
        <v/>
      </c>
      <c r="AG23" s="34" t="str">
        <f t="shared" si="11"/>
        <v/>
      </c>
      <c r="AH23" s="35" t="str">
        <f>IF($A23="","",IFERROR(AVERAGEIFS(FASI!$L:$L,FASI!$B:$B,$A23),0))</f>
        <v/>
      </c>
      <c r="AI23" s="35" t="str">
        <f t="shared" si="12"/>
        <v/>
      </c>
      <c r="AJ23" s="34" t="str">
        <f>IF($A23="","",SUMIFS(SAL!$H:$H,SAL!$B:$B,$A23,SAL!$O:$O,"Emessa")+SUMIFS(SAL!$H:$H,SAL!$B:$B,$A23,SAL!$O:$O,"Incassata")+SUMIFS(SAL!$H:$H,SAL!$B:$B,$A23,SAL!$O:$O,"Scaduta"))</f>
        <v/>
      </c>
      <c r="AK23" s="34" t="str">
        <f>IF($A23="","",SUMIFS(SAL!$H:$H,SAL!$B:$B,$A23,SAL!$O:$O,"Incassata"))</f>
        <v/>
      </c>
      <c r="AL23" s="34" t="str">
        <f t="shared" si="13"/>
        <v/>
      </c>
      <c r="AM23" s="34" t="str">
        <f t="shared" si="14"/>
        <v/>
      </c>
      <c r="AN23" s="36" t="str">
        <f ca="1">IF($A23="","",IF($M23=0,"RISORSE NON ASSEGNATE",IF($AE23&lt;0.1,"MARGINE CRITICO",IF($S23&lt;-SCONTO_MAX,"SCONTO OLTRE SOGLIA",IF($Z23&gt;0,"ORE OLTRE LA STIMA",IF($AI23&gt;ALLERTA_ORE,"CONSUMO ORE ELEVATO",IF(COUNTIFS(SAL!$B:$B,$A23,SAL!$K:$K,"EMETTIBILE")&gt;0,"SAL DA EMETTERE",IF(COUNTIFS(FASI!$B:$B,$A23,FASI!$H:$H,"&lt;"&amp;TODAY(),FASI!$L:$L,"&lt;1")&gt;0,"FASI IN RITARDO","OK"))))))))</f>
        <v/>
      </c>
    </row>
    <row r="24" spans="1:40" x14ac:dyDescent="0.3">
      <c r="A24" s="42"/>
      <c r="B24" s="42"/>
      <c r="C24" s="42"/>
      <c r="D24" s="42"/>
      <c r="E24" s="42"/>
      <c r="F24" s="42"/>
      <c r="G24" s="43"/>
      <c r="H24" s="43"/>
      <c r="I24" s="42"/>
      <c r="J24" s="44"/>
      <c r="K24" s="46"/>
      <c r="L24" s="34" t="str">
        <f t="shared" si="0"/>
        <v/>
      </c>
      <c r="M24" s="33" t="str">
        <f>IF($A24="","",SUMIFS(ASSEGNAZIONI!$F:$F,ASSEGNAZIONI!$B:$B,$A24))</f>
        <v/>
      </c>
      <c r="N24" s="34" t="str">
        <f>IF($A24="","",SUMIFS(ASSEGNAZIONI!$I:$I,ASSEGNAZIONI!$B:$B,$A24))</f>
        <v/>
      </c>
      <c r="O24" s="34" t="str">
        <f>IF($A24="","",SUMIFS(ASSEGNAZIONI!$J:$J,ASSEGNAZIONI!$B:$B,$A24))</f>
        <v/>
      </c>
      <c r="P24" s="34" t="str">
        <f t="shared" si="1"/>
        <v/>
      </c>
      <c r="Q24" s="44"/>
      <c r="R24" s="34" t="str">
        <f t="shared" si="2"/>
        <v/>
      </c>
      <c r="S24" s="35" t="str">
        <f t="shared" si="3"/>
        <v/>
      </c>
      <c r="T24" s="34" t="str">
        <f>IF($A24="","",SUMIFS(ODA!$R:$R,ODA!$B:$B,$A24))</f>
        <v/>
      </c>
      <c r="U24" s="34" t="str">
        <f>IF($A24="","",SUMIFS(ODA!$P:$P,ODA!$B:$B,$A24))</f>
        <v/>
      </c>
      <c r="V24" s="45" t="str">
        <f t="shared" si="4"/>
        <v/>
      </c>
      <c r="W24" s="33" t="str">
        <f>IF($A24="","",SUMIFS(ORE!$F:$F,ORE!$B:$B,$A24))</f>
        <v/>
      </c>
      <c r="X24" s="33" t="str">
        <f>IF($A24="","",SUMIFS(PREVISIONE_ORE!$G:$G,PREVISIONE_ORE!$D:$D,$A24,PREVISIONE_ORE!$K:$K,"Sì"))</f>
        <v/>
      </c>
      <c r="Y24" s="33" t="str">
        <f>IF($A24="","",IF(COUNTIFS(ASSEGNAZIONI!$B:$B,$A24)&gt;0,SUMIFS(ASSEGNAZIONI!$N:$N,ASSEGNAZIONI!$B:$B,$A24),MAX($W24,0)))</f>
        <v/>
      </c>
      <c r="Z24" s="33" t="str">
        <f t="shared" si="5"/>
        <v/>
      </c>
      <c r="AA24" s="34" t="str">
        <f>IF($A24="","",IF(COUNTIFS(ASSEGNAZIONI!$B:$B,$A24)&gt;0,SUMIFS(ASSEGNAZIONI!$P:$P,ASSEGNAZIONI!$B:$B,$A24),0))</f>
        <v/>
      </c>
      <c r="AB24" s="34" t="str">
        <f t="shared" si="6"/>
        <v/>
      </c>
      <c r="AC24" s="34" t="str">
        <f t="shared" si="7"/>
        <v/>
      </c>
      <c r="AD24" s="34" t="str">
        <f t="shared" si="8"/>
        <v/>
      </c>
      <c r="AE24" s="35" t="str">
        <f t="shared" si="9"/>
        <v/>
      </c>
      <c r="AF24" s="34" t="str">
        <f t="shared" si="10"/>
        <v/>
      </c>
      <c r="AG24" s="34" t="str">
        <f t="shared" si="11"/>
        <v/>
      </c>
      <c r="AH24" s="35" t="str">
        <f>IF($A24="","",IFERROR(AVERAGEIFS(FASI!$L:$L,FASI!$B:$B,$A24),0))</f>
        <v/>
      </c>
      <c r="AI24" s="35" t="str">
        <f t="shared" si="12"/>
        <v/>
      </c>
      <c r="AJ24" s="34" t="str">
        <f>IF($A24="","",SUMIFS(SAL!$H:$H,SAL!$B:$B,$A24,SAL!$O:$O,"Emessa")+SUMIFS(SAL!$H:$H,SAL!$B:$B,$A24,SAL!$O:$O,"Incassata")+SUMIFS(SAL!$H:$H,SAL!$B:$B,$A24,SAL!$O:$O,"Scaduta"))</f>
        <v/>
      </c>
      <c r="AK24" s="34" t="str">
        <f>IF($A24="","",SUMIFS(SAL!$H:$H,SAL!$B:$B,$A24,SAL!$O:$O,"Incassata"))</f>
        <v/>
      </c>
      <c r="AL24" s="34" t="str">
        <f t="shared" si="13"/>
        <v/>
      </c>
      <c r="AM24" s="34" t="str">
        <f t="shared" si="14"/>
        <v/>
      </c>
      <c r="AN24" s="36" t="str">
        <f ca="1">IF($A24="","",IF($M24=0,"RISORSE NON ASSEGNATE",IF($AE24&lt;0.1,"MARGINE CRITICO",IF($S24&lt;-SCONTO_MAX,"SCONTO OLTRE SOGLIA",IF($Z24&gt;0,"ORE OLTRE LA STIMA",IF($AI24&gt;ALLERTA_ORE,"CONSUMO ORE ELEVATO",IF(COUNTIFS(SAL!$B:$B,$A24,SAL!$K:$K,"EMETTIBILE")&gt;0,"SAL DA EMETTERE",IF(COUNTIFS(FASI!$B:$B,$A24,FASI!$H:$H,"&lt;"&amp;TODAY(),FASI!$L:$L,"&lt;1")&gt;0,"FASI IN RITARDO","OK"))))))))</f>
        <v/>
      </c>
    </row>
    <row r="25" spans="1:40" x14ac:dyDescent="0.3">
      <c r="A25" s="42"/>
      <c r="B25" s="42"/>
      <c r="C25" s="42"/>
      <c r="D25" s="42"/>
      <c r="E25" s="42"/>
      <c r="F25" s="42"/>
      <c r="G25" s="43"/>
      <c r="H25" s="43"/>
      <c r="I25" s="42"/>
      <c r="J25" s="44"/>
      <c r="K25" s="46"/>
      <c r="L25" s="34" t="str">
        <f t="shared" si="0"/>
        <v/>
      </c>
      <c r="M25" s="33" t="str">
        <f>IF($A25="","",SUMIFS(ASSEGNAZIONI!$F:$F,ASSEGNAZIONI!$B:$B,$A25))</f>
        <v/>
      </c>
      <c r="N25" s="34" t="str">
        <f>IF($A25="","",SUMIFS(ASSEGNAZIONI!$I:$I,ASSEGNAZIONI!$B:$B,$A25))</f>
        <v/>
      </c>
      <c r="O25" s="34" t="str">
        <f>IF($A25="","",SUMIFS(ASSEGNAZIONI!$J:$J,ASSEGNAZIONI!$B:$B,$A25))</f>
        <v/>
      </c>
      <c r="P25" s="34" t="str">
        <f t="shared" si="1"/>
        <v/>
      </c>
      <c r="Q25" s="44"/>
      <c r="R25" s="34" t="str">
        <f t="shared" si="2"/>
        <v/>
      </c>
      <c r="S25" s="35" t="str">
        <f t="shared" si="3"/>
        <v/>
      </c>
      <c r="T25" s="34" t="str">
        <f>IF($A25="","",SUMIFS(ODA!$R:$R,ODA!$B:$B,$A25))</f>
        <v/>
      </c>
      <c r="U25" s="34" t="str">
        <f>IF($A25="","",SUMIFS(ODA!$P:$P,ODA!$B:$B,$A25))</f>
        <v/>
      </c>
      <c r="V25" s="45" t="str">
        <f t="shared" si="4"/>
        <v/>
      </c>
      <c r="W25" s="33" t="str">
        <f>IF($A25="","",SUMIFS(ORE!$F:$F,ORE!$B:$B,$A25))</f>
        <v/>
      </c>
      <c r="X25" s="33" t="str">
        <f>IF($A25="","",SUMIFS(PREVISIONE_ORE!$G:$G,PREVISIONE_ORE!$D:$D,$A25,PREVISIONE_ORE!$K:$K,"Sì"))</f>
        <v/>
      </c>
      <c r="Y25" s="33" t="str">
        <f>IF($A25="","",IF(COUNTIFS(ASSEGNAZIONI!$B:$B,$A25)&gt;0,SUMIFS(ASSEGNAZIONI!$N:$N,ASSEGNAZIONI!$B:$B,$A25),MAX($W25,0)))</f>
        <v/>
      </c>
      <c r="Z25" s="33" t="str">
        <f t="shared" si="5"/>
        <v/>
      </c>
      <c r="AA25" s="34" t="str">
        <f>IF($A25="","",IF(COUNTIFS(ASSEGNAZIONI!$B:$B,$A25)&gt;0,SUMIFS(ASSEGNAZIONI!$P:$P,ASSEGNAZIONI!$B:$B,$A25),0))</f>
        <v/>
      </c>
      <c r="AB25" s="34" t="str">
        <f t="shared" si="6"/>
        <v/>
      </c>
      <c r="AC25" s="34" t="str">
        <f t="shared" si="7"/>
        <v/>
      </c>
      <c r="AD25" s="34" t="str">
        <f t="shared" si="8"/>
        <v/>
      </c>
      <c r="AE25" s="35" t="str">
        <f t="shared" si="9"/>
        <v/>
      </c>
      <c r="AF25" s="34" t="str">
        <f t="shared" si="10"/>
        <v/>
      </c>
      <c r="AG25" s="34" t="str">
        <f t="shared" si="11"/>
        <v/>
      </c>
      <c r="AH25" s="35" t="str">
        <f>IF($A25="","",IFERROR(AVERAGEIFS(FASI!$L:$L,FASI!$B:$B,$A25),0))</f>
        <v/>
      </c>
      <c r="AI25" s="35" t="str">
        <f t="shared" si="12"/>
        <v/>
      </c>
      <c r="AJ25" s="34" t="str">
        <f>IF($A25="","",SUMIFS(SAL!$H:$H,SAL!$B:$B,$A25,SAL!$O:$O,"Emessa")+SUMIFS(SAL!$H:$H,SAL!$B:$B,$A25,SAL!$O:$O,"Incassata")+SUMIFS(SAL!$H:$H,SAL!$B:$B,$A25,SAL!$O:$O,"Scaduta"))</f>
        <v/>
      </c>
      <c r="AK25" s="34" t="str">
        <f>IF($A25="","",SUMIFS(SAL!$H:$H,SAL!$B:$B,$A25,SAL!$O:$O,"Incassata"))</f>
        <v/>
      </c>
      <c r="AL25" s="34" t="str">
        <f t="shared" si="13"/>
        <v/>
      </c>
      <c r="AM25" s="34" t="str">
        <f t="shared" si="14"/>
        <v/>
      </c>
      <c r="AN25" s="36" t="str">
        <f ca="1">IF($A25="","",IF($M25=0,"RISORSE NON ASSEGNATE",IF($AE25&lt;0.1,"MARGINE CRITICO",IF($S25&lt;-SCONTO_MAX,"SCONTO OLTRE SOGLIA",IF($Z25&gt;0,"ORE OLTRE LA STIMA",IF($AI25&gt;ALLERTA_ORE,"CONSUMO ORE ELEVATO",IF(COUNTIFS(SAL!$B:$B,$A25,SAL!$K:$K,"EMETTIBILE")&gt;0,"SAL DA EMETTERE",IF(COUNTIFS(FASI!$B:$B,$A25,FASI!$H:$H,"&lt;"&amp;TODAY(),FASI!$L:$L,"&lt;1")&gt;0,"FASI IN RITARDO","OK"))))))))</f>
        <v/>
      </c>
    </row>
    <row r="26" spans="1:40" x14ac:dyDescent="0.3">
      <c r="A26" s="42"/>
      <c r="B26" s="42"/>
      <c r="C26" s="42"/>
      <c r="D26" s="42"/>
      <c r="E26" s="42"/>
      <c r="F26" s="42"/>
      <c r="G26" s="43"/>
      <c r="H26" s="43"/>
      <c r="I26" s="42"/>
      <c r="J26" s="44"/>
      <c r="K26" s="46"/>
      <c r="L26" s="34" t="str">
        <f t="shared" si="0"/>
        <v/>
      </c>
      <c r="M26" s="33" t="str">
        <f>IF($A26="","",SUMIFS(ASSEGNAZIONI!$F:$F,ASSEGNAZIONI!$B:$B,$A26))</f>
        <v/>
      </c>
      <c r="N26" s="34" t="str">
        <f>IF($A26="","",SUMIFS(ASSEGNAZIONI!$I:$I,ASSEGNAZIONI!$B:$B,$A26))</f>
        <v/>
      </c>
      <c r="O26" s="34" t="str">
        <f>IF($A26="","",SUMIFS(ASSEGNAZIONI!$J:$J,ASSEGNAZIONI!$B:$B,$A26))</f>
        <v/>
      </c>
      <c r="P26" s="34" t="str">
        <f t="shared" si="1"/>
        <v/>
      </c>
      <c r="Q26" s="44"/>
      <c r="R26" s="34" t="str">
        <f t="shared" si="2"/>
        <v/>
      </c>
      <c r="S26" s="35" t="str">
        <f t="shared" si="3"/>
        <v/>
      </c>
      <c r="T26" s="34" t="str">
        <f>IF($A26="","",SUMIFS(ODA!$R:$R,ODA!$B:$B,$A26))</f>
        <v/>
      </c>
      <c r="U26" s="34" t="str">
        <f>IF($A26="","",SUMIFS(ODA!$P:$P,ODA!$B:$B,$A26))</f>
        <v/>
      </c>
      <c r="V26" s="45" t="str">
        <f t="shared" si="4"/>
        <v/>
      </c>
      <c r="W26" s="33" t="str">
        <f>IF($A26="","",SUMIFS(ORE!$F:$F,ORE!$B:$B,$A26))</f>
        <v/>
      </c>
      <c r="X26" s="33" t="str">
        <f>IF($A26="","",SUMIFS(PREVISIONE_ORE!$G:$G,PREVISIONE_ORE!$D:$D,$A26,PREVISIONE_ORE!$K:$K,"Sì"))</f>
        <v/>
      </c>
      <c r="Y26" s="33" t="str">
        <f>IF($A26="","",IF(COUNTIFS(ASSEGNAZIONI!$B:$B,$A26)&gt;0,SUMIFS(ASSEGNAZIONI!$N:$N,ASSEGNAZIONI!$B:$B,$A26),MAX($W26,0)))</f>
        <v/>
      </c>
      <c r="Z26" s="33" t="str">
        <f t="shared" si="5"/>
        <v/>
      </c>
      <c r="AA26" s="34" t="str">
        <f>IF($A26="","",IF(COUNTIFS(ASSEGNAZIONI!$B:$B,$A26)&gt;0,SUMIFS(ASSEGNAZIONI!$P:$P,ASSEGNAZIONI!$B:$B,$A26),0))</f>
        <v/>
      </c>
      <c r="AB26" s="34" t="str">
        <f t="shared" si="6"/>
        <v/>
      </c>
      <c r="AC26" s="34" t="str">
        <f t="shared" si="7"/>
        <v/>
      </c>
      <c r="AD26" s="34" t="str">
        <f t="shared" si="8"/>
        <v/>
      </c>
      <c r="AE26" s="35" t="str">
        <f t="shared" si="9"/>
        <v/>
      </c>
      <c r="AF26" s="34" t="str">
        <f t="shared" si="10"/>
        <v/>
      </c>
      <c r="AG26" s="34" t="str">
        <f t="shared" si="11"/>
        <v/>
      </c>
      <c r="AH26" s="35" t="str">
        <f>IF($A26="","",IFERROR(AVERAGEIFS(FASI!$L:$L,FASI!$B:$B,$A26),0))</f>
        <v/>
      </c>
      <c r="AI26" s="35" t="str">
        <f t="shared" si="12"/>
        <v/>
      </c>
      <c r="AJ26" s="34" t="str">
        <f>IF($A26="","",SUMIFS(SAL!$H:$H,SAL!$B:$B,$A26,SAL!$O:$O,"Emessa")+SUMIFS(SAL!$H:$H,SAL!$B:$B,$A26,SAL!$O:$O,"Incassata")+SUMIFS(SAL!$H:$H,SAL!$B:$B,$A26,SAL!$O:$O,"Scaduta"))</f>
        <v/>
      </c>
      <c r="AK26" s="34" t="str">
        <f>IF($A26="","",SUMIFS(SAL!$H:$H,SAL!$B:$B,$A26,SAL!$O:$O,"Incassata"))</f>
        <v/>
      </c>
      <c r="AL26" s="34" t="str">
        <f t="shared" si="13"/>
        <v/>
      </c>
      <c r="AM26" s="34" t="str">
        <f t="shared" si="14"/>
        <v/>
      </c>
      <c r="AN26" s="36" t="str">
        <f ca="1">IF($A26="","",IF($M26=0,"RISORSE NON ASSEGNATE",IF($AE26&lt;0.1,"MARGINE CRITICO",IF($S26&lt;-SCONTO_MAX,"SCONTO OLTRE SOGLIA",IF($Z26&gt;0,"ORE OLTRE LA STIMA",IF($AI26&gt;ALLERTA_ORE,"CONSUMO ORE ELEVATO",IF(COUNTIFS(SAL!$B:$B,$A26,SAL!$K:$K,"EMETTIBILE")&gt;0,"SAL DA EMETTERE",IF(COUNTIFS(FASI!$B:$B,$A26,FASI!$H:$H,"&lt;"&amp;TODAY(),FASI!$L:$L,"&lt;1")&gt;0,"FASI IN RITARDO","OK"))))))))</f>
        <v/>
      </c>
    </row>
    <row r="27" spans="1:40" x14ac:dyDescent="0.3">
      <c r="A27" s="42"/>
      <c r="B27" s="42"/>
      <c r="C27" s="42"/>
      <c r="D27" s="42"/>
      <c r="E27" s="42"/>
      <c r="F27" s="42"/>
      <c r="G27" s="43"/>
      <c r="H27" s="43"/>
      <c r="I27" s="42"/>
      <c r="J27" s="44"/>
      <c r="K27" s="46"/>
      <c r="L27" s="34" t="str">
        <f t="shared" si="0"/>
        <v/>
      </c>
      <c r="M27" s="33" t="str">
        <f>IF($A27="","",SUMIFS(ASSEGNAZIONI!$F:$F,ASSEGNAZIONI!$B:$B,$A27))</f>
        <v/>
      </c>
      <c r="N27" s="34" t="str">
        <f>IF($A27="","",SUMIFS(ASSEGNAZIONI!$I:$I,ASSEGNAZIONI!$B:$B,$A27))</f>
        <v/>
      </c>
      <c r="O27" s="34" t="str">
        <f>IF($A27="","",SUMIFS(ASSEGNAZIONI!$J:$J,ASSEGNAZIONI!$B:$B,$A27))</f>
        <v/>
      </c>
      <c r="P27" s="34" t="str">
        <f t="shared" si="1"/>
        <v/>
      </c>
      <c r="Q27" s="44"/>
      <c r="R27" s="34" t="str">
        <f t="shared" si="2"/>
        <v/>
      </c>
      <c r="S27" s="35" t="str">
        <f t="shared" si="3"/>
        <v/>
      </c>
      <c r="T27" s="34" t="str">
        <f>IF($A27="","",SUMIFS(ODA!$R:$R,ODA!$B:$B,$A27))</f>
        <v/>
      </c>
      <c r="U27" s="34" t="str">
        <f>IF($A27="","",SUMIFS(ODA!$P:$P,ODA!$B:$B,$A27))</f>
        <v/>
      </c>
      <c r="V27" s="45" t="str">
        <f t="shared" si="4"/>
        <v/>
      </c>
      <c r="W27" s="33" t="str">
        <f>IF($A27="","",SUMIFS(ORE!$F:$F,ORE!$B:$B,$A27))</f>
        <v/>
      </c>
      <c r="X27" s="33" t="str">
        <f>IF($A27="","",SUMIFS(PREVISIONE_ORE!$G:$G,PREVISIONE_ORE!$D:$D,$A27,PREVISIONE_ORE!$K:$K,"Sì"))</f>
        <v/>
      </c>
      <c r="Y27" s="33" t="str">
        <f>IF($A27="","",IF(COUNTIFS(ASSEGNAZIONI!$B:$B,$A27)&gt;0,SUMIFS(ASSEGNAZIONI!$N:$N,ASSEGNAZIONI!$B:$B,$A27),MAX($W27,0)))</f>
        <v/>
      </c>
      <c r="Z27" s="33" t="str">
        <f t="shared" si="5"/>
        <v/>
      </c>
      <c r="AA27" s="34" t="str">
        <f>IF($A27="","",IF(COUNTIFS(ASSEGNAZIONI!$B:$B,$A27)&gt;0,SUMIFS(ASSEGNAZIONI!$P:$P,ASSEGNAZIONI!$B:$B,$A27),0))</f>
        <v/>
      </c>
      <c r="AB27" s="34" t="str">
        <f t="shared" si="6"/>
        <v/>
      </c>
      <c r="AC27" s="34" t="str">
        <f t="shared" si="7"/>
        <v/>
      </c>
      <c r="AD27" s="34" t="str">
        <f t="shared" si="8"/>
        <v/>
      </c>
      <c r="AE27" s="35" t="str">
        <f t="shared" si="9"/>
        <v/>
      </c>
      <c r="AF27" s="34" t="str">
        <f t="shared" si="10"/>
        <v/>
      </c>
      <c r="AG27" s="34" t="str">
        <f t="shared" si="11"/>
        <v/>
      </c>
      <c r="AH27" s="35" t="str">
        <f>IF($A27="","",IFERROR(AVERAGEIFS(FASI!$L:$L,FASI!$B:$B,$A27),0))</f>
        <v/>
      </c>
      <c r="AI27" s="35" t="str">
        <f t="shared" si="12"/>
        <v/>
      </c>
      <c r="AJ27" s="34" t="str">
        <f>IF($A27="","",SUMIFS(SAL!$H:$H,SAL!$B:$B,$A27,SAL!$O:$O,"Emessa")+SUMIFS(SAL!$H:$H,SAL!$B:$B,$A27,SAL!$O:$O,"Incassata")+SUMIFS(SAL!$H:$H,SAL!$B:$B,$A27,SAL!$O:$O,"Scaduta"))</f>
        <v/>
      </c>
      <c r="AK27" s="34" t="str">
        <f>IF($A27="","",SUMIFS(SAL!$H:$H,SAL!$B:$B,$A27,SAL!$O:$O,"Incassata"))</f>
        <v/>
      </c>
      <c r="AL27" s="34" t="str">
        <f t="shared" si="13"/>
        <v/>
      </c>
      <c r="AM27" s="34" t="str">
        <f t="shared" si="14"/>
        <v/>
      </c>
      <c r="AN27" s="36" t="str">
        <f ca="1">IF($A27="","",IF($M27=0,"RISORSE NON ASSEGNATE",IF($AE27&lt;0.1,"MARGINE CRITICO",IF($S27&lt;-SCONTO_MAX,"SCONTO OLTRE SOGLIA",IF($Z27&gt;0,"ORE OLTRE LA STIMA",IF($AI27&gt;ALLERTA_ORE,"CONSUMO ORE ELEVATO",IF(COUNTIFS(SAL!$B:$B,$A27,SAL!$K:$K,"EMETTIBILE")&gt;0,"SAL DA EMETTERE",IF(COUNTIFS(FASI!$B:$B,$A27,FASI!$H:$H,"&lt;"&amp;TODAY(),FASI!$L:$L,"&lt;1")&gt;0,"FASI IN RITARDO","OK"))))))))</f>
        <v/>
      </c>
    </row>
    <row r="28" spans="1:40" x14ac:dyDescent="0.3">
      <c r="A28" s="42"/>
      <c r="B28" s="42"/>
      <c r="C28" s="42"/>
      <c r="D28" s="42"/>
      <c r="E28" s="42"/>
      <c r="F28" s="42"/>
      <c r="G28" s="43"/>
      <c r="H28" s="43"/>
      <c r="I28" s="42"/>
      <c r="J28" s="44"/>
      <c r="K28" s="46"/>
      <c r="L28" s="34" t="str">
        <f t="shared" si="0"/>
        <v/>
      </c>
      <c r="M28" s="33" t="str">
        <f>IF($A28="","",SUMIFS(ASSEGNAZIONI!$F:$F,ASSEGNAZIONI!$B:$B,$A28))</f>
        <v/>
      </c>
      <c r="N28" s="34" t="str">
        <f>IF($A28="","",SUMIFS(ASSEGNAZIONI!$I:$I,ASSEGNAZIONI!$B:$B,$A28))</f>
        <v/>
      </c>
      <c r="O28" s="34" t="str">
        <f>IF($A28="","",SUMIFS(ASSEGNAZIONI!$J:$J,ASSEGNAZIONI!$B:$B,$A28))</f>
        <v/>
      </c>
      <c r="P28" s="34" t="str">
        <f t="shared" si="1"/>
        <v/>
      </c>
      <c r="Q28" s="44"/>
      <c r="R28" s="34" t="str">
        <f t="shared" si="2"/>
        <v/>
      </c>
      <c r="S28" s="35" t="str">
        <f t="shared" si="3"/>
        <v/>
      </c>
      <c r="T28" s="34" t="str">
        <f>IF($A28="","",SUMIFS(ODA!$R:$R,ODA!$B:$B,$A28))</f>
        <v/>
      </c>
      <c r="U28" s="34" t="str">
        <f>IF($A28="","",SUMIFS(ODA!$P:$P,ODA!$B:$B,$A28))</f>
        <v/>
      </c>
      <c r="V28" s="45" t="str">
        <f t="shared" si="4"/>
        <v/>
      </c>
      <c r="W28" s="33" t="str">
        <f>IF($A28="","",SUMIFS(ORE!$F:$F,ORE!$B:$B,$A28))</f>
        <v/>
      </c>
      <c r="X28" s="33" t="str">
        <f>IF($A28="","",SUMIFS(PREVISIONE_ORE!$G:$G,PREVISIONE_ORE!$D:$D,$A28,PREVISIONE_ORE!$K:$K,"Sì"))</f>
        <v/>
      </c>
      <c r="Y28" s="33" t="str">
        <f>IF($A28="","",IF(COUNTIFS(ASSEGNAZIONI!$B:$B,$A28)&gt;0,SUMIFS(ASSEGNAZIONI!$N:$N,ASSEGNAZIONI!$B:$B,$A28),MAX($W28,0)))</f>
        <v/>
      </c>
      <c r="Z28" s="33" t="str">
        <f t="shared" si="5"/>
        <v/>
      </c>
      <c r="AA28" s="34" t="str">
        <f>IF($A28="","",IF(COUNTIFS(ASSEGNAZIONI!$B:$B,$A28)&gt;0,SUMIFS(ASSEGNAZIONI!$P:$P,ASSEGNAZIONI!$B:$B,$A28),0))</f>
        <v/>
      </c>
      <c r="AB28" s="34" t="str">
        <f t="shared" si="6"/>
        <v/>
      </c>
      <c r="AC28" s="34" t="str">
        <f t="shared" si="7"/>
        <v/>
      </c>
      <c r="AD28" s="34" t="str">
        <f t="shared" si="8"/>
        <v/>
      </c>
      <c r="AE28" s="35" t="str">
        <f t="shared" si="9"/>
        <v/>
      </c>
      <c r="AF28" s="34" t="str">
        <f t="shared" si="10"/>
        <v/>
      </c>
      <c r="AG28" s="34" t="str">
        <f t="shared" si="11"/>
        <v/>
      </c>
      <c r="AH28" s="35" t="str">
        <f>IF($A28="","",IFERROR(AVERAGEIFS(FASI!$L:$L,FASI!$B:$B,$A28),0))</f>
        <v/>
      </c>
      <c r="AI28" s="35" t="str">
        <f t="shared" si="12"/>
        <v/>
      </c>
      <c r="AJ28" s="34" t="str">
        <f>IF($A28="","",SUMIFS(SAL!$H:$H,SAL!$B:$B,$A28,SAL!$O:$O,"Emessa")+SUMIFS(SAL!$H:$H,SAL!$B:$B,$A28,SAL!$O:$O,"Incassata")+SUMIFS(SAL!$H:$H,SAL!$B:$B,$A28,SAL!$O:$O,"Scaduta"))</f>
        <v/>
      </c>
      <c r="AK28" s="34" t="str">
        <f>IF($A28="","",SUMIFS(SAL!$H:$H,SAL!$B:$B,$A28,SAL!$O:$O,"Incassata"))</f>
        <v/>
      </c>
      <c r="AL28" s="34" t="str">
        <f t="shared" si="13"/>
        <v/>
      </c>
      <c r="AM28" s="34" t="str">
        <f t="shared" si="14"/>
        <v/>
      </c>
      <c r="AN28" s="36" t="str">
        <f ca="1">IF($A28="","",IF($M28=0,"RISORSE NON ASSEGNATE",IF($AE28&lt;0.1,"MARGINE CRITICO",IF($S28&lt;-SCONTO_MAX,"SCONTO OLTRE SOGLIA",IF($Z28&gt;0,"ORE OLTRE LA STIMA",IF($AI28&gt;ALLERTA_ORE,"CONSUMO ORE ELEVATO",IF(COUNTIFS(SAL!$B:$B,$A28,SAL!$K:$K,"EMETTIBILE")&gt;0,"SAL DA EMETTERE",IF(COUNTIFS(FASI!$B:$B,$A28,FASI!$H:$H,"&lt;"&amp;TODAY(),FASI!$L:$L,"&lt;1")&gt;0,"FASI IN RITARDO","OK"))))))))</f>
        <v/>
      </c>
    </row>
    <row r="29" spans="1:40" x14ac:dyDescent="0.3">
      <c r="A29" s="42"/>
      <c r="B29" s="42"/>
      <c r="C29" s="42"/>
      <c r="D29" s="42"/>
      <c r="E29" s="42"/>
      <c r="F29" s="42"/>
      <c r="G29" s="43"/>
      <c r="H29" s="43"/>
      <c r="I29" s="42"/>
      <c r="J29" s="44"/>
      <c r="K29" s="46"/>
      <c r="L29" s="34" t="str">
        <f t="shared" si="0"/>
        <v/>
      </c>
      <c r="M29" s="33" t="str">
        <f>IF($A29="","",SUMIFS(ASSEGNAZIONI!$F:$F,ASSEGNAZIONI!$B:$B,$A29))</f>
        <v/>
      </c>
      <c r="N29" s="34" t="str">
        <f>IF($A29="","",SUMIFS(ASSEGNAZIONI!$I:$I,ASSEGNAZIONI!$B:$B,$A29))</f>
        <v/>
      </c>
      <c r="O29" s="34" t="str">
        <f>IF($A29="","",SUMIFS(ASSEGNAZIONI!$J:$J,ASSEGNAZIONI!$B:$B,$A29))</f>
        <v/>
      </c>
      <c r="P29" s="34" t="str">
        <f t="shared" si="1"/>
        <v/>
      </c>
      <c r="Q29" s="44"/>
      <c r="R29" s="34" t="str">
        <f t="shared" si="2"/>
        <v/>
      </c>
      <c r="S29" s="35" t="str">
        <f t="shared" si="3"/>
        <v/>
      </c>
      <c r="T29" s="34" t="str">
        <f>IF($A29="","",SUMIFS(ODA!$R:$R,ODA!$B:$B,$A29))</f>
        <v/>
      </c>
      <c r="U29" s="34" t="str">
        <f>IF($A29="","",SUMIFS(ODA!$P:$P,ODA!$B:$B,$A29))</f>
        <v/>
      </c>
      <c r="V29" s="45" t="str">
        <f t="shared" si="4"/>
        <v/>
      </c>
      <c r="W29" s="33" t="str">
        <f>IF($A29="","",SUMIFS(ORE!$F:$F,ORE!$B:$B,$A29))</f>
        <v/>
      </c>
      <c r="X29" s="33" t="str">
        <f>IF($A29="","",SUMIFS(PREVISIONE_ORE!$G:$G,PREVISIONE_ORE!$D:$D,$A29,PREVISIONE_ORE!$K:$K,"Sì"))</f>
        <v/>
      </c>
      <c r="Y29" s="33" t="str">
        <f>IF($A29="","",IF(COUNTIFS(ASSEGNAZIONI!$B:$B,$A29)&gt;0,SUMIFS(ASSEGNAZIONI!$N:$N,ASSEGNAZIONI!$B:$B,$A29),MAX($W29,0)))</f>
        <v/>
      </c>
      <c r="Z29" s="33" t="str">
        <f t="shared" si="5"/>
        <v/>
      </c>
      <c r="AA29" s="34" t="str">
        <f>IF($A29="","",IF(COUNTIFS(ASSEGNAZIONI!$B:$B,$A29)&gt;0,SUMIFS(ASSEGNAZIONI!$P:$P,ASSEGNAZIONI!$B:$B,$A29),0))</f>
        <v/>
      </c>
      <c r="AB29" s="34" t="str">
        <f t="shared" si="6"/>
        <v/>
      </c>
      <c r="AC29" s="34" t="str">
        <f t="shared" si="7"/>
        <v/>
      </c>
      <c r="AD29" s="34" t="str">
        <f t="shared" si="8"/>
        <v/>
      </c>
      <c r="AE29" s="35" t="str">
        <f t="shared" si="9"/>
        <v/>
      </c>
      <c r="AF29" s="34" t="str">
        <f t="shared" si="10"/>
        <v/>
      </c>
      <c r="AG29" s="34" t="str">
        <f t="shared" si="11"/>
        <v/>
      </c>
      <c r="AH29" s="35" t="str">
        <f>IF($A29="","",IFERROR(AVERAGEIFS(FASI!$L:$L,FASI!$B:$B,$A29),0))</f>
        <v/>
      </c>
      <c r="AI29" s="35" t="str">
        <f t="shared" si="12"/>
        <v/>
      </c>
      <c r="AJ29" s="34" t="str">
        <f>IF($A29="","",SUMIFS(SAL!$H:$H,SAL!$B:$B,$A29,SAL!$O:$O,"Emessa")+SUMIFS(SAL!$H:$H,SAL!$B:$B,$A29,SAL!$O:$O,"Incassata")+SUMIFS(SAL!$H:$H,SAL!$B:$B,$A29,SAL!$O:$O,"Scaduta"))</f>
        <v/>
      </c>
      <c r="AK29" s="34" t="str">
        <f>IF($A29="","",SUMIFS(SAL!$H:$H,SAL!$B:$B,$A29,SAL!$O:$O,"Incassata"))</f>
        <v/>
      </c>
      <c r="AL29" s="34" t="str">
        <f t="shared" si="13"/>
        <v/>
      </c>
      <c r="AM29" s="34" t="str">
        <f t="shared" si="14"/>
        <v/>
      </c>
      <c r="AN29" s="36" t="str">
        <f ca="1">IF($A29="","",IF($M29=0,"RISORSE NON ASSEGNATE",IF($AE29&lt;0.1,"MARGINE CRITICO",IF($S29&lt;-SCONTO_MAX,"SCONTO OLTRE SOGLIA",IF($Z29&gt;0,"ORE OLTRE LA STIMA",IF($AI29&gt;ALLERTA_ORE,"CONSUMO ORE ELEVATO",IF(COUNTIFS(SAL!$B:$B,$A29,SAL!$K:$K,"EMETTIBILE")&gt;0,"SAL DA EMETTERE",IF(COUNTIFS(FASI!$B:$B,$A29,FASI!$H:$H,"&lt;"&amp;TODAY(),FASI!$L:$L,"&lt;1")&gt;0,"FASI IN RITARDO","OK"))))))))</f>
        <v/>
      </c>
    </row>
    <row r="30" spans="1:40" x14ac:dyDescent="0.3">
      <c r="A30" s="42"/>
      <c r="B30" s="42"/>
      <c r="C30" s="42"/>
      <c r="D30" s="42"/>
      <c r="E30" s="42"/>
      <c r="F30" s="42"/>
      <c r="G30" s="43"/>
      <c r="H30" s="43"/>
      <c r="I30" s="42"/>
      <c r="J30" s="44"/>
      <c r="K30" s="46"/>
      <c r="L30" s="34" t="str">
        <f t="shared" si="0"/>
        <v/>
      </c>
      <c r="M30" s="33" t="str">
        <f>IF($A30="","",SUMIFS(ASSEGNAZIONI!$F:$F,ASSEGNAZIONI!$B:$B,$A30))</f>
        <v/>
      </c>
      <c r="N30" s="34" t="str">
        <f>IF($A30="","",SUMIFS(ASSEGNAZIONI!$I:$I,ASSEGNAZIONI!$B:$B,$A30))</f>
        <v/>
      </c>
      <c r="O30" s="34" t="str">
        <f>IF($A30="","",SUMIFS(ASSEGNAZIONI!$J:$J,ASSEGNAZIONI!$B:$B,$A30))</f>
        <v/>
      </c>
      <c r="P30" s="34" t="str">
        <f t="shared" si="1"/>
        <v/>
      </c>
      <c r="Q30" s="44"/>
      <c r="R30" s="34" t="str">
        <f t="shared" si="2"/>
        <v/>
      </c>
      <c r="S30" s="35" t="str">
        <f t="shared" si="3"/>
        <v/>
      </c>
      <c r="T30" s="34" t="str">
        <f>IF($A30="","",SUMIFS(ODA!$R:$R,ODA!$B:$B,$A30))</f>
        <v/>
      </c>
      <c r="U30" s="34" t="str">
        <f>IF($A30="","",SUMIFS(ODA!$P:$P,ODA!$B:$B,$A30))</f>
        <v/>
      </c>
      <c r="V30" s="45" t="str">
        <f t="shared" si="4"/>
        <v/>
      </c>
      <c r="W30" s="33" t="str">
        <f>IF($A30="","",SUMIFS(ORE!$F:$F,ORE!$B:$B,$A30))</f>
        <v/>
      </c>
      <c r="X30" s="33" t="str">
        <f>IF($A30="","",SUMIFS(PREVISIONE_ORE!$G:$G,PREVISIONE_ORE!$D:$D,$A30,PREVISIONE_ORE!$K:$K,"Sì"))</f>
        <v/>
      </c>
      <c r="Y30" s="33" t="str">
        <f>IF($A30="","",IF(COUNTIFS(ASSEGNAZIONI!$B:$B,$A30)&gt;0,SUMIFS(ASSEGNAZIONI!$N:$N,ASSEGNAZIONI!$B:$B,$A30),MAX($W30,0)))</f>
        <v/>
      </c>
      <c r="Z30" s="33" t="str">
        <f t="shared" si="5"/>
        <v/>
      </c>
      <c r="AA30" s="34" t="str">
        <f>IF($A30="","",IF(COUNTIFS(ASSEGNAZIONI!$B:$B,$A30)&gt;0,SUMIFS(ASSEGNAZIONI!$P:$P,ASSEGNAZIONI!$B:$B,$A30),0))</f>
        <v/>
      </c>
      <c r="AB30" s="34" t="str">
        <f t="shared" si="6"/>
        <v/>
      </c>
      <c r="AC30" s="34" t="str">
        <f t="shared" si="7"/>
        <v/>
      </c>
      <c r="AD30" s="34" t="str">
        <f t="shared" si="8"/>
        <v/>
      </c>
      <c r="AE30" s="35" t="str">
        <f t="shared" si="9"/>
        <v/>
      </c>
      <c r="AF30" s="34" t="str">
        <f t="shared" si="10"/>
        <v/>
      </c>
      <c r="AG30" s="34" t="str">
        <f t="shared" si="11"/>
        <v/>
      </c>
      <c r="AH30" s="35" t="str">
        <f>IF($A30="","",IFERROR(AVERAGEIFS(FASI!$L:$L,FASI!$B:$B,$A30),0))</f>
        <v/>
      </c>
      <c r="AI30" s="35" t="str">
        <f t="shared" si="12"/>
        <v/>
      </c>
      <c r="AJ30" s="34" t="str">
        <f>IF($A30="","",SUMIFS(SAL!$H:$H,SAL!$B:$B,$A30,SAL!$O:$O,"Emessa")+SUMIFS(SAL!$H:$H,SAL!$B:$B,$A30,SAL!$O:$O,"Incassata")+SUMIFS(SAL!$H:$H,SAL!$B:$B,$A30,SAL!$O:$O,"Scaduta"))</f>
        <v/>
      </c>
      <c r="AK30" s="34" t="str">
        <f>IF($A30="","",SUMIFS(SAL!$H:$H,SAL!$B:$B,$A30,SAL!$O:$O,"Incassata"))</f>
        <v/>
      </c>
      <c r="AL30" s="34" t="str">
        <f t="shared" si="13"/>
        <v/>
      </c>
      <c r="AM30" s="34" t="str">
        <f t="shared" si="14"/>
        <v/>
      </c>
      <c r="AN30" s="36" t="str">
        <f ca="1">IF($A30="","",IF($M30=0,"RISORSE NON ASSEGNATE",IF($AE30&lt;0.1,"MARGINE CRITICO",IF($S30&lt;-SCONTO_MAX,"SCONTO OLTRE SOGLIA",IF($Z30&gt;0,"ORE OLTRE LA STIMA",IF($AI30&gt;ALLERTA_ORE,"CONSUMO ORE ELEVATO",IF(COUNTIFS(SAL!$B:$B,$A30,SAL!$K:$K,"EMETTIBILE")&gt;0,"SAL DA EMETTERE",IF(COUNTIFS(FASI!$B:$B,$A30,FASI!$H:$H,"&lt;"&amp;TODAY(),FASI!$L:$L,"&lt;1")&gt;0,"FASI IN RITARDO","OK"))))))))</f>
        <v/>
      </c>
    </row>
    <row r="31" spans="1:40" x14ac:dyDescent="0.3">
      <c r="A31" s="42"/>
      <c r="B31" s="42"/>
      <c r="C31" s="42"/>
      <c r="D31" s="42"/>
      <c r="E31" s="42"/>
      <c r="F31" s="42"/>
      <c r="G31" s="43"/>
      <c r="H31" s="43"/>
      <c r="I31" s="42"/>
      <c r="J31" s="44"/>
      <c r="K31" s="46"/>
      <c r="L31" s="34" t="str">
        <f t="shared" si="0"/>
        <v/>
      </c>
      <c r="M31" s="33" t="str">
        <f>IF($A31="","",SUMIFS(ASSEGNAZIONI!$F:$F,ASSEGNAZIONI!$B:$B,$A31))</f>
        <v/>
      </c>
      <c r="N31" s="34" t="str">
        <f>IF($A31="","",SUMIFS(ASSEGNAZIONI!$I:$I,ASSEGNAZIONI!$B:$B,$A31))</f>
        <v/>
      </c>
      <c r="O31" s="34" t="str">
        <f>IF($A31="","",SUMIFS(ASSEGNAZIONI!$J:$J,ASSEGNAZIONI!$B:$B,$A31))</f>
        <v/>
      </c>
      <c r="P31" s="34" t="str">
        <f t="shared" si="1"/>
        <v/>
      </c>
      <c r="Q31" s="44"/>
      <c r="R31" s="34" t="str">
        <f t="shared" si="2"/>
        <v/>
      </c>
      <c r="S31" s="35" t="str">
        <f t="shared" si="3"/>
        <v/>
      </c>
      <c r="T31" s="34" t="str">
        <f>IF($A31="","",SUMIFS(ODA!$R:$R,ODA!$B:$B,$A31))</f>
        <v/>
      </c>
      <c r="U31" s="34" t="str">
        <f>IF($A31="","",SUMIFS(ODA!$P:$P,ODA!$B:$B,$A31))</f>
        <v/>
      </c>
      <c r="V31" s="45" t="str">
        <f t="shared" si="4"/>
        <v/>
      </c>
      <c r="W31" s="33" t="str">
        <f>IF($A31="","",SUMIFS(ORE!$F:$F,ORE!$B:$B,$A31))</f>
        <v/>
      </c>
      <c r="X31" s="33" t="str">
        <f>IF($A31="","",SUMIFS(PREVISIONE_ORE!$G:$G,PREVISIONE_ORE!$D:$D,$A31,PREVISIONE_ORE!$K:$K,"Sì"))</f>
        <v/>
      </c>
      <c r="Y31" s="33" t="str">
        <f>IF($A31="","",IF(COUNTIFS(ASSEGNAZIONI!$B:$B,$A31)&gt;0,SUMIFS(ASSEGNAZIONI!$N:$N,ASSEGNAZIONI!$B:$B,$A31),MAX($W31,0)))</f>
        <v/>
      </c>
      <c r="Z31" s="33" t="str">
        <f t="shared" si="5"/>
        <v/>
      </c>
      <c r="AA31" s="34" t="str">
        <f>IF($A31="","",IF(COUNTIFS(ASSEGNAZIONI!$B:$B,$A31)&gt;0,SUMIFS(ASSEGNAZIONI!$P:$P,ASSEGNAZIONI!$B:$B,$A31),0))</f>
        <v/>
      </c>
      <c r="AB31" s="34" t="str">
        <f t="shared" si="6"/>
        <v/>
      </c>
      <c r="AC31" s="34" t="str">
        <f t="shared" si="7"/>
        <v/>
      </c>
      <c r="AD31" s="34" t="str">
        <f t="shared" si="8"/>
        <v/>
      </c>
      <c r="AE31" s="35" t="str">
        <f t="shared" si="9"/>
        <v/>
      </c>
      <c r="AF31" s="34" t="str">
        <f t="shared" si="10"/>
        <v/>
      </c>
      <c r="AG31" s="34" t="str">
        <f t="shared" si="11"/>
        <v/>
      </c>
      <c r="AH31" s="35" t="str">
        <f>IF($A31="","",IFERROR(AVERAGEIFS(FASI!$L:$L,FASI!$B:$B,$A31),0))</f>
        <v/>
      </c>
      <c r="AI31" s="35" t="str">
        <f t="shared" si="12"/>
        <v/>
      </c>
      <c r="AJ31" s="34" t="str">
        <f>IF($A31="","",SUMIFS(SAL!$H:$H,SAL!$B:$B,$A31,SAL!$O:$O,"Emessa")+SUMIFS(SAL!$H:$H,SAL!$B:$B,$A31,SAL!$O:$O,"Incassata")+SUMIFS(SAL!$H:$H,SAL!$B:$B,$A31,SAL!$O:$O,"Scaduta"))</f>
        <v/>
      </c>
      <c r="AK31" s="34" t="str">
        <f>IF($A31="","",SUMIFS(SAL!$H:$H,SAL!$B:$B,$A31,SAL!$O:$O,"Incassata"))</f>
        <v/>
      </c>
      <c r="AL31" s="34" t="str">
        <f t="shared" si="13"/>
        <v/>
      </c>
      <c r="AM31" s="34" t="str">
        <f t="shared" si="14"/>
        <v/>
      </c>
      <c r="AN31" s="36" t="str">
        <f ca="1">IF($A31="","",IF($M31=0,"RISORSE NON ASSEGNATE",IF($AE31&lt;0.1,"MARGINE CRITICO",IF($S31&lt;-SCONTO_MAX,"SCONTO OLTRE SOGLIA",IF($Z31&gt;0,"ORE OLTRE LA STIMA",IF($AI31&gt;ALLERTA_ORE,"CONSUMO ORE ELEVATO",IF(COUNTIFS(SAL!$B:$B,$A31,SAL!$K:$K,"EMETTIBILE")&gt;0,"SAL DA EMETTERE",IF(COUNTIFS(FASI!$B:$B,$A31,FASI!$H:$H,"&lt;"&amp;TODAY(),FASI!$L:$L,"&lt;1")&gt;0,"FASI IN RITARDO","OK"))))))))</f>
        <v/>
      </c>
    </row>
    <row r="32" spans="1:40" x14ac:dyDescent="0.3">
      <c r="A32" s="42"/>
      <c r="B32" s="42"/>
      <c r="C32" s="42"/>
      <c r="D32" s="42"/>
      <c r="E32" s="42"/>
      <c r="F32" s="42"/>
      <c r="G32" s="43"/>
      <c r="H32" s="43"/>
      <c r="I32" s="42"/>
      <c r="J32" s="44"/>
      <c r="K32" s="46"/>
      <c r="L32" s="34" t="str">
        <f t="shared" si="0"/>
        <v/>
      </c>
      <c r="M32" s="33" t="str">
        <f>IF($A32="","",SUMIFS(ASSEGNAZIONI!$F:$F,ASSEGNAZIONI!$B:$B,$A32))</f>
        <v/>
      </c>
      <c r="N32" s="34" t="str">
        <f>IF($A32="","",SUMIFS(ASSEGNAZIONI!$I:$I,ASSEGNAZIONI!$B:$B,$A32))</f>
        <v/>
      </c>
      <c r="O32" s="34" t="str">
        <f>IF($A32="","",SUMIFS(ASSEGNAZIONI!$J:$J,ASSEGNAZIONI!$B:$B,$A32))</f>
        <v/>
      </c>
      <c r="P32" s="34" t="str">
        <f t="shared" si="1"/>
        <v/>
      </c>
      <c r="Q32" s="44"/>
      <c r="R32" s="34" t="str">
        <f t="shared" si="2"/>
        <v/>
      </c>
      <c r="S32" s="35" t="str">
        <f t="shared" si="3"/>
        <v/>
      </c>
      <c r="T32" s="34" t="str">
        <f>IF($A32="","",SUMIFS(ODA!$R:$R,ODA!$B:$B,$A32))</f>
        <v/>
      </c>
      <c r="U32" s="34" t="str">
        <f>IF($A32="","",SUMIFS(ODA!$P:$P,ODA!$B:$B,$A32))</f>
        <v/>
      </c>
      <c r="V32" s="45" t="str">
        <f t="shared" si="4"/>
        <v/>
      </c>
      <c r="W32" s="33" t="str">
        <f>IF($A32="","",SUMIFS(ORE!$F:$F,ORE!$B:$B,$A32))</f>
        <v/>
      </c>
      <c r="X32" s="33" t="str">
        <f>IF($A32="","",SUMIFS(PREVISIONE_ORE!$G:$G,PREVISIONE_ORE!$D:$D,$A32,PREVISIONE_ORE!$K:$K,"Sì"))</f>
        <v/>
      </c>
      <c r="Y32" s="33" t="str">
        <f>IF($A32="","",IF(COUNTIFS(ASSEGNAZIONI!$B:$B,$A32)&gt;0,SUMIFS(ASSEGNAZIONI!$N:$N,ASSEGNAZIONI!$B:$B,$A32),MAX($W32,0)))</f>
        <v/>
      </c>
      <c r="Z32" s="33" t="str">
        <f t="shared" si="5"/>
        <v/>
      </c>
      <c r="AA32" s="34" t="str">
        <f>IF($A32="","",IF(COUNTIFS(ASSEGNAZIONI!$B:$B,$A32)&gt;0,SUMIFS(ASSEGNAZIONI!$P:$P,ASSEGNAZIONI!$B:$B,$A32),0))</f>
        <v/>
      </c>
      <c r="AB32" s="34" t="str">
        <f t="shared" si="6"/>
        <v/>
      </c>
      <c r="AC32" s="34" t="str">
        <f t="shared" si="7"/>
        <v/>
      </c>
      <c r="AD32" s="34" t="str">
        <f t="shared" si="8"/>
        <v/>
      </c>
      <c r="AE32" s="35" t="str">
        <f t="shared" si="9"/>
        <v/>
      </c>
      <c r="AF32" s="34" t="str">
        <f t="shared" si="10"/>
        <v/>
      </c>
      <c r="AG32" s="34" t="str">
        <f t="shared" si="11"/>
        <v/>
      </c>
      <c r="AH32" s="35" t="str">
        <f>IF($A32="","",IFERROR(AVERAGEIFS(FASI!$L:$L,FASI!$B:$B,$A32),0))</f>
        <v/>
      </c>
      <c r="AI32" s="35" t="str">
        <f t="shared" si="12"/>
        <v/>
      </c>
      <c r="AJ32" s="34" t="str">
        <f>IF($A32="","",SUMIFS(SAL!$H:$H,SAL!$B:$B,$A32,SAL!$O:$O,"Emessa")+SUMIFS(SAL!$H:$H,SAL!$B:$B,$A32,SAL!$O:$O,"Incassata")+SUMIFS(SAL!$H:$H,SAL!$B:$B,$A32,SAL!$O:$O,"Scaduta"))</f>
        <v/>
      </c>
      <c r="AK32" s="34" t="str">
        <f>IF($A32="","",SUMIFS(SAL!$H:$H,SAL!$B:$B,$A32,SAL!$O:$O,"Incassata"))</f>
        <v/>
      </c>
      <c r="AL32" s="34" t="str">
        <f t="shared" si="13"/>
        <v/>
      </c>
      <c r="AM32" s="34" t="str">
        <f t="shared" si="14"/>
        <v/>
      </c>
      <c r="AN32" s="36" t="str">
        <f ca="1">IF($A32="","",IF($M32=0,"RISORSE NON ASSEGNATE",IF($AE32&lt;0.1,"MARGINE CRITICO",IF($S32&lt;-SCONTO_MAX,"SCONTO OLTRE SOGLIA",IF($Z32&gt;0,"ORE OLTRE LA STIMA",IF($AI32&gt;ALLERTA_ORE,"CONSUMO ORE ELEVATO",IF(COUNTIFS(SAL!$B:$B,$A32,SAL!$K:$K,"EMETTIBILE")&gt;0,"SAL DA EMETTERE",IF(COUNTIFS(FASI!$B:$B,$A32,FASI!$H:$H,"&lt;"&amp;TODAY(),FASI!$L:$L,"&lt;1")&gt;0,"FASI IN RITARDO","OK"))))))))</f>
        <v/>
      </c>
    </row>
    <row r="33" spans="1:40" x14ac:dyDescent="0.3">
      <c r="A33" s="42"/>
      <c r="B33" s="42"/>
      <c r="C33" s="42"/>
      <c r="D33" s="42"/>
      <c r="E33" s="42"/>
      <c r="F33" s="42"/>
      <c r="G33" s="43"/>
      <c r="H33" s="43"/>
      <c r="I33" s="42"/>
      <c r="J33" s="44"/>
      <c r="K33" s="46"/>
      <c r="L33" s="34" t="str">
        <f t="shared" si="0"/>
        <v/>
      </c>
      <c r="M33" s="33" t="str">
        <f>IF($A33="","",SUMIFS(ASSEGNAZIONI!$F:$F,ASSEGNAZIONI!$B:$B,$A33))</f>
        <v/>
      </c>
      <c r="N33" s="34" t="str">
        <f>IF($A33="","",SUMIFS(ASSEGNAZIONI!$I:$I,ASSEGNAZIONI!$B:$B,$A33))</f>
        <v/>
      </c>
      <c r="O33" s="34" t="str">
        <f>IF($A33="","",SUMIFS(ASSEGNAZIONI!$J:$J,ASSEGNAZIONI!$B:$B,$A33))</f>
        <v/>
      </c>
      <c r="P33" s="34" t="str">
        <f t="shared" si="1"/>
        <v/>
      </c>
      <c r="Q33" s="44"/>
      <c r="R33" s="34" t="str">
        <f t="shared" si="2"/>
        <v/>
      </c>
      <c r="S33" s="35" t="str">
        <f t="shared" si="3"/>
        <v/>
      </c>
      <c r="T33" s="34" t="str">
        <f>IF($A33="","",SUMIFS(ODA!$R:$R,ODA!$B:$B,$A33))</f>
        <v/>
      </c>
      <c r="U33" s="34" t="str">
        <f>IF($A33="","",SUMIFS(ODA!$P:$P,ODA!$B:$B,$A33))</f>
        <v/>
      </c>
      <c r="V33" s="45" t="str">
        <f t="shared" si="4"/>
        <v/>
      </c>
      <c r="W33" s="33" t="str">
        <f>IF($A33="","",SUMIFS(ORE!$F:$F,ORE!$B:$B,$A33))</f>
        <v/>
      </c>
      <c r="X33" s="33" t="str">
        <f>IF($A33="","",SUMIFS(PREVISIONE_ORE!$G:$G,PREVISIONE_ORE!$D:$D,$A33,PREVISIONE_ORE!$K:$K,"Sì"))</f>
        <v/>
      </c>
      <c r="Y33" s="33" t="str">
        <f>IF($A33="","",IF(COUNTIFS(ASSEGNAZIONI!$B:$B,$A33)&gt;0,SUMIFS(ASSEGNAZIONI!$N:$N,ASSEGNAZIONI!$B:$B,$A33),MAX($W33,0)))</f>
        <v/>
      </c>
      <c r="Z33" s="33" t="str">
        <f t="shared" si="5"/>
        <v/>
      </c>
      <c r="AA33" s="34" t="str">
        <f>IF($A33="","",IF(COUNTIFS(ASSEGNAZIONI!$B:$B,$A33)&gt;0,SUMIFS(ASSEGNAZIONI!$P:$P,ASSEGNAZIONI!$B:$B,$A33),0))</f>
        <v/>
      </c>
      <c r="AB33" s="34" t="str">
        <f t="shared" si="6"/>
        <v/>
      </c>
      <c r="AC33" s="34" t="str">
        <f t="shared" si="7"/>
        <v/>
      </c>
      <c r="AD33" s="34" t="str">
        <f t="shared" si="8"/>
        <v/>
      </c>
      <c r="AE33" s="35" t="str">
        <f t="shared" si="9"/>
        <v/>
      </c>
      <c r="AF33" s="34" t="str">
        <f t="shared" si="10"/>
        <v/>
      </c>
      <c r="AG33" s="34" t="str">
        <f t="shared" si="11"/>
        <v/>
      </c>
      <c r="AH33" s="35" t="str">
        <f>IF($A33="","",IFERROR(AVERAGEIFS(FASI!$L:$L,FASI!$B:$B,$A33),0))</f>
        <v/>
      </c>
      <c r="AI33" s="35" t="str">
        <f t="shared" si="12"/>
        <v/>
      </c>
      <c r="AJ33" s="34" t="str">
        <f>IF($A33="","",SUMIFS(SAL!$H:$H,SAL!$B:$B,$A33,SAL!$O:$O,"Emessa")+SUMIFS(SAL!$H:$H,SAL!$B:$B,$A33,SAL!$O:$O,"Incassata")+SUMIFS(SAL!$H:$H,SAL!$B:$B,$A33,SAL!$O:$O,"Scaduta"))</f>
        <v/>
      </c>
      <c r="AK33" s="34" t="str">
        <f>IF($A33="","",SUMIFS(SAL!$H:$H,SAL!$B:$B,$A33,SAL!$O:$O,"Incassata"))</f>
        <v/>
      </c>
      <c r="AL33" s="34" t="str">
        <f t="shared" si="13"/>
        <v/>
      </c>
      <c r="AM33" s="34" t="str">
        <f t="shared" si="14"/>
        <v/>
      </c>
      <c r="AN33" s="36" t="str">
        <f ca="1">IF($A33="","",IF($M33=0,"RISORSE NON ASSEGNATE",IF($AE33&lt;0.1,"MARGINE CRITICO",IF($S33&lt;-SCONTO_MAX,"SCONTO OLTRE SOGLIA",IF($Z33&gt;0,"ORE OLTRE LA STIMA",IF($AI33&gt;ALLERTA_ORE,"CONSUMO ORE ELEVATO",IF(COUNTIFS(SAL!$B:$B,$A33,SAL!$K:$K,"EMETTIBILE")&gt;0,"SAL DA EMETTERE",IF(COUNTIFS(FASI!$B:$B,$A33,FASI!$H:$H,"&lt;"&amp;TODAY(),FASI!$L:$L,"&lt;1")&gt;0,"FASI IN RITARDO","OK"))))))))</f>
        <v/>
      </c>
    </row>
    <row r="34" spans="1:40" x14ac:dyDescent="0.3">
      <c r="A34" s="42"/>
      <c r="B34" s="42"/>
      <c r="C34" s="42"/>
      <c r="D34" s="42"/>
      <c r="E34" s="42"/>
      <c r="F34" s="42"/>
      <c r="G34" s="43"/>
      <c r="H34" s="43"/>
      <c r="I34" s="42"/>
      <c r="J34" s="44"/>
      <c r="K34" s="46"/>
      <c r="L34" s="34" t="str">
        <f t="shared" ref="L34:L65" si="15">IF($A34="","",$J34*IF($K34="",MARKUP_DEF,$K34))</f>
        <v/>
      </c>
      <c r="M34" s="33" t="str">
        <f>IF($A34="","",SUMIFS(ASSEGNAZIONI!$F:$F,ASSEGNAZIONI!$B:$B,$A34))</f>
        <v/>
      </c>
      <c r="N34" s="34" t="str">
        <f>IF($A34="","",SUMIFS(ASSEGNAZIONI!$I:$I,ASSEGNAZIONI!$B:$B,$A34))</f>
        <v/>
      </c>
      <c r="O34" s="34" t="str">
        <f>IF($A34="","",SUMIFS(ASSEGNAZIONI!$J:$J,ASSEGNAZIONI!$B:$B,$A34))</f>
        <v/>
      </c>
      <c r="P34" s="34" t="str">
        <f t="shared" ref="P34:P65" si="16">IF($A34="","",$L34+$N34)</f>
        <v/>
      </c>
      <c r="Q34" s="44"/>
      <c r="R34" s="34" t="str">
        <f t="shared" ref="R34:R65" si="17">IF($A34="","",IF($Q34="",0,$Q34-$P34))</f>
        <v/>
      </c>
      <c r="S34" s="35" t="str">
        <f t="shared" ref="S34:S65" si="18">IF($A34="","",IFERROR($R34/$P34,0))</f>
        <v/>
      </c>
      <c r="T34" s="34" t="str">
        <f>IF($A34="","",SUMIFS(ODA!$R:$R,ODA!$B:$B,$A34))</f>
        <v/>
      </c>
      <c r="U34" s="34" t="str">
        <f>IF($A34="","",SUMIFS(ODA!$P:$P,ODA!$B:$B,$A34))</f>
        <v/>
      </c>
      <c r="V34" s="45" t="str">
        <f t="shared" ref="V34:V65" si="19">IF($A34="","",IFERROR($L34/$T34,0))</f>
        <v/>
      </c>
      <c r="W34" s="33" t="str">
        <f>IF($A34="","",SUMIFS(ORE!$F:$F,ORE!$B:$B,$A34))</f>
        <v/>
      </c>
      <c r="X34" s="33" t="str">
        <f>IF($A34="","",SUMIFS(PREVISIONE_ORE!$G:$G,PREVISIONE_ORE!$D:$D,$A34,PREVISIONE_ORE!$K:$K,"Sì"))</f>
        <v/>
      </c>
      <c r="Y34" s="33" t="str">
        <f>IF($A34="","",IF(COUNTIFS(ASSEGNAZIONI!$B:$B,$A34)&gt;0,SUMIFS(ASSEGNAZIONI!$N:$N,ASSEGNAZIONI!$B:$B,$A34),MAX($W34,0)))</f>
        <v/>
      </c>
      <c r="Z34" s="33" t="str">
        <f t="shared" ref="Z34:Z65" si="20">IF($A34="","",$Y34-$M34)</f>
        <v/>
      </c>
      <c r="AA34" s="34" t="str">
        <f>IF($A34="","",IF(COUNTIFS(ASSEGNAZIONI!$B:$B,$A34)&gt;0,SUMIFS(ASSEGNAZIONI!$P:$P,ASSEGNAZIONI!$B:$B,$A34),0))</f>
        <v/>
      </c>
      <c r="AB34" s="34" t="str">
        <f t="shared" ref="AB34:AB65" si="21">IF($A34="","",MAX($T34,$J34))</f>
        <v/>
      </c>
      <c r="AC34" s="34" t="str">
        <f t="shared" ref="AC34:AC65" si="22">IF($A34="","",$AA34+$AB34)</f>
        <v/>
      </c>
      <c r="AD34" s="34" t="str">
        <f t="shared" ref="AD34:AD65" si="23">IF($A34="","",IF($Q34="",0,$Q34-$AC34))</f>
        <v/>
      </c>
      <c r="AE34" s="35" t="str">
        <f t="shared" ref="AE34:AE65" si="24">IF($A34="","",IFERROR($AD34/$Q34,0))</f>
        <v/>
      </c>
      <c r="AF34" s="34" t="str">
        <f t="shared" ref="AF34:AF65" si="25">IF($A34="","",$N34-$AA34)</f>
        <v/>
      </c>
      <c r="AG34" s="34" t="str">
        <f t="shared" ref="AG34:AG65" si="26">IF($A34="","",$L34-$AB34)</f>
        <v/>
      </c>
      <c r="AH34" s="35" t="str">
        <f>IF($A34="","",IFERROR(AVERAGEIFS(FASI!$L:$L,FASI!$B:$B,$A34),0))</f>
        <v/>
      </c>
      <c r="AI34" s="35" t="str">
        <f t="shared" ref="AI34:AI65" si="27">IF($A34="","",IFERROR($W34/$M34,0))</f>
        <v/>
      </c>
      <c r="AJ34" s="34" t="str">
        <f>IF($A34="","",SUMIFS(SAL!$H:$H,SAL!$B:$B,$A34,SAL!$O:$O,"Emessa")+SUMIFS(SAL!$H:$H,SAL!$B:$B,$A34,SAL!$O:$O,"Incassata")+SUMIFS(SAL!$H:$H,SAL!$B:$B,$A34,SAL!$O:$O,"Scaduta"))</f>
        <v/>
      </c>
      <c r="AK34" s="34" t="str">
        <f>IF($A34="","",SUMIFS(SAL!$H:$H,SAL!$B:$B,$A34,SAL!$O:$O,"Incassata"))</f>
        <v/>
      </c>
      <c r="AL34" s="34" t="str">
        <f t="shared" ref="AL34:AL65" si="28">IF($A34="","",IF($Q34="",0,$Q34-$AJ34))</f>
        <v/>
      </c>
      <c r="AM34" s="34" t="str">
        <f t="shared" ref="AM34:AM65" si="29">IF($A34="","",$U34-$AK34)</f>
        <v/>
      </c>
      <c r="AN34" s="36" t="str">
        <f ca="1">IF($A34="","",IF($M34=0,"RISORSE NON ASSEGNATE",IF($AE34&lt;0.1,"MARGINE CRITICO",IF($S34&lt;-SCONTO_MAX,"SCONTO OLTRE SOGLIA",IF($Z34&gt;0,"ORE OLTRE LA STIMA",IF($AI34&gt;ALLERTA_ORE,"CONSUMO ORE ELEVATO",IF(COUNTIFS(SAL!$B:$B,$A34,SAL!$K:$K,"EMETTIBILE")&gt;0,"SAL DA EMETTERE",IF(COUNTIFS(FASI!$B:$B,$A34,FASI!$H:$H,"&lt;"&amp;TODAY(),FASI!$L:$L,"&lt;1")&gt;0,"FASI IN RITARDO","OK"))))))))</f>
        <v/>
      </c>
    </row>
    <row r="35" spans="1:40" x14ac:dyDescent="0.3">
      <c r="A35" s="42"/>
      <c r="B35" s="42"/>
      <c r="C35" s="42"/>
      <c r="D35" s="42"/>
      <c r="E35" s="42"/>
      <c r="F35" s="42"/>
      <c r="G35" s="43"/>
      <c r="H35" s="43"/>
      <c r="I35" s="42"/>
      <c r="J35" s="44"/>
      <c r="K35" s="46"/>
      <c r="L35" s="34" t="str">
        <f t="shared" si="15"/>
        <v/>
      </c>
      <c r="M35" s="33" t="str">
        <f>IF($A35="","",SUMIFS(ASSEGNAZIONI!$F:$F,ASSEGNAZIONI!$B:$B,$A35))</f>
        <v/>
      </c>
      <c r="N35" s="34" t="str">
        <f>IF($A35="","",SUMIFS(ASSEGNAZIONI!$I:$I,ASSEGNAZIONI!$B:$B,$A35))</f>
        <v/>
      </c>
      <c r="O35" s="34" t="str">
        <f>IF($A35="","",SUMIFS(ASSEGNAZIONI!$J:$J,ASSEGNAZIONI!$B:$B,$A35))</f>
        <v/>
      </c>
      <c r="P35" s="34" t="str">
        <f t="shared" si="16"/>
        <v/>
      </c>
      <c r="Q35" s="44"/>
      <c r="R35" s="34" t="str">
        <f t="shared" si="17"/>
        <v/>
      </c>
      <c r="S35" s="35" t="str">
        <f t="shared" si="18"/>
        <v/>
      </c>
      <c r="T35" s="34" t="str">
        <f>IF($A35="","",SUMIFS(ODA!$R:$R,ODA!$B:$B,$A35))</f>
        <v/>
      </c>
      <c r="U35" s="34" t="str">
        <f>IF($A35="","",SUMIFS(ODA!$P:$P,ODA!$B:$B,$A35))</f>
        <v/>
      </c>
      <c r="V35" s="45" t="str">
        <f t="shared" si="19"/>
        <v/>
      </c>
      <c r="W35" s="33" t="str">
        <f>IF($A35="","",SUMIFS(ORE!$F:$F,ORE!$B:$B,$A35))</f>
        <v/>
      </c>
      <c r="X35" s="33" t="str">
        <f>IF($A35="","",SUMIFS(PREVISIONE_ORE!$G:$G,PREVISIONE_ORE!$D:$D,$A35,PREVISIONE_ORE!$K:$K,"Sì"))</f>
        <v/>
      </c>
      <c r="Y35" s="33" t="str">
        <f>IF($A35="","",IF(COUNTIFS(ASSEGNAZIONI!$B:$B,$A35)&gt;0,SUMIFS(ASSEGNAZIONI!$N:$N,ASSEGNAZIONI!$B:$B,$A35),MAX($W35,0)))</f>
        <v/>
      </c>
      <c r="Z35" s="33" t="str">
        <f t="shared" si="20"/>
        <v/>
      </c>
      <c r="AA35" s="34" t="str">
        <f>IF($A35="","",IF(COUNTIFS(ASSEGNAZIONI!$B:$B,$A35)&gt;0,SUMIFS(ASSEGNAZIONI!$P:$P,ASSEGNAZIONI!$B:$B,$A35),0))</f>
        <v/>
      </c>
      <c r="AB35" s="34" t="str">
        <f t="shared" si="21"/>
        <v/>
      </c>
      <c r="AC35" s="34" t="str">
        <f t="shared" si="22"/>
        <v/>
      </c>
      <c r="AD35" s="34" t="str">
        <f t="shared" si="23"/>
        <v/>
      </c>
      <c r="AE35" s="35" t="str">
        <f t="shared" si="24"/>
        <v/>
      </c>
      <c r="AF35" s="34" t="str">
        <f t="shared" si="25"/>
        <v/>
      </c>
      <c r="AG35" s="34" t="str">
        <f t="shared" si="26"/>
        <v/>
      </c>
      <c r="AH35" s="35" t="str">
        <f>IF($A35="","",IFERROR(AVERAGEIFS(FASI!$L:$L,FASI!$B:$B,$A35),0))</f>
        <v/>
      </c>
      <c r="AI35" s="35" t="str">
        <f t="shared" si="27"/>
        <v/>
      </c>
      <c r="AJ35" s="34" t="str">
        <f>IF($A35="","",SUMIFS(SAL!$H:$H,SAL!$B:$B,$A35,SAL!$O:$O,"Emessa")+SUMIFS(SAL!$H:$H,SAL!$B:$B,$A35,SAL!$O:$O,"Incassata")+SUMIFS(SAL!$H:$H,SAL!$B:$B,$A35,SAL!$O:$O,"Scaduta"))</f>
        <v/>
      </c>
      <c r="AK35" s="34" t="str">
        <f>IF($A35="","",SUMIFS(SAL!$H:$H,SAL!$B:$B,$A35,SAL!$O:$O,"Incassata"))</f>
        <v/>
      </c>
      <c r="AL35" s="34" t="str">
        <f t="shared" si="28"/>
        <v/>
      </c>
      <c r="AM35" s="34" t="str">
        <f t="shared" si="29"/>
        <v/>
      </c>
      <c r="AN35" s="36" t="str">
        <f ca="1">IF($A35="","",IF($M35=0,"RISORSE NON ASSEGNATE",IF($AE35&lt;0.1,"MARGINE CRITICO",IF($S35&lt;-SCONTO_MAX,"SCONTO OLTRE SOGLIA",IF($Z35&gt;0,"ORE OLTRE LA STIMA",IF($AI35&gt;ALLERTA_ORE,"CONSUMO ORE ELEVATO",IF(COUNTIFS(SAL!$B:$B,$A35,SAL!$K:$K,"EMETTIBILE")&gt;0,"SAL DA EMETTERE",IF(COUNTIFS(FASI!$B:$B,$A35,FASI!$H:$H,"&lt;"&amp;TODAY(),FASI!$L:$L,"&lt;1")&gt;0,"FASI IN RITARDO","OK"))))))))</f>
        <v/>
      </c>
    </row>
    <row r="36" spans="1:40" x14ac:dyDescent="0.3">
      <c r="A36" s="42"/>
      <c r="B36" s="42"/>
      <c r="C36" s="42"/>
      <c r="D36" s="42"/>
      <c r="E36" s="42"/>
      <c r="F36" s="42"/>
      <c r="G36" s="43"/>
      <c r="H36" s="43"/>
      <c r="I36" s="42"/>
      <c r="J36" s="44"/>
      <c r="K36" s="46"/>
      <c r="L36" s="34" t="str">
        <f t="shared" si="15"/>
        <v/>
      </c>
      <c r="M36" s="33" t="str">
        <f>IF($A36="","",SUMIFS(ASSEGNAZIONI!$F:$F,ASSEGNAZIONI!$B:$B,$A36))</f>
        <v/>
      </c>
      <c r="N36" s="34" t="str">
        <f>IF($A36="","",SUMIFS(ASSEGNAZIONI!$I:$I,ASSEGNAZIONI!$B:$B,$A36))</f>
        <v/>
      </c>
      <c r="O36" s="34" t="str">
        <f>IF($A36="","",SUMIFS(ASSEGNAZIONI!$J:$J,ASSEGNAZIONI!$B:$B,$A36))</f>
        <v/>
      </c>
      <c r="P36" s="34" t="str">
        <f t="shared" si="16"/>
        <v/>
      </c>
      <c r="Q36" s="44"/>
      <c r="R36" s="34" t="str">
        <f t="shared" si="17"/>
        <v/>
      </c>
      <c r="S36" s="35" t="str">
        <f t="shared" si="18"/>
        <v/>
      </c>
      <c r="T36" s="34" t="str">
        <f>IF($A36="","",SUMIFS(ODA!$R:$R,ODA!$B:$B,$A36))</f>
        <v/>
      </c>
      <c r="U36" s="34" t="str">
        <f>IF($A36="","",SUMIFS(ODA!$P:$P,ODA!$B:$B,$A36))</f>
        <v/>
      </c>
      <c r="V36" s="45" t="str">
        <f t="shared" si="19"/>
        <v/>
      </c>
      <c r="W36" s="33" t="str">
        <f>IF($A36="","",SUMIFS(ORE!$F:$F,ORE!$B:$B,$A36))</f>
        <v/>
      </c>
      <c r="X36" s="33" t="str">
        <f>IF($A36="","",SUMIFS(PREVISIONE_ORE!$G:$G,PREVISIONE_ORE!$D:$D,$A36,PREVISIONE_ORE!$K:$K,"Sì"))</f>
        <v/>
      </c>
      <c r="Y36" s="33" t="str">
        <f>IF($A36="","",IF(COUNTIFS(ASSEGNAZIONI!$B:$B,$A36)&gt;0,SUMIFS(ASSEGNAZIONI!$N:$N,ASSEGNAZIONI!$B:$B,$A36),MAX($W36,0)))</f>
        <v/>
      </c>
      <c r="Z36" s="33" t="str">
        <f t="shared" si="20"/>
        <v/>
      </c>
      <c r="AA36" s="34" t="str">
        <f>IF($A36="","",IF(COUNTIFS(ASSEGNAZIONI!$B:$B,$A36)&gt;0,SUMIFS(ASSEGNAZIONI!$P:$P,ASSEGNAZIONI!$B:$B,$A36),0))</f>
        <v/>
      </c>
      <c r="AB36" s="34" t="str">
        <f t="shared" si="21"/>
        <v/>
      </c>
      <c r="AC36" s="34" t="str">
        <f t="shared" si="22"/>
        <v/>
      </c>
      <c r="AD36" s="34" t="str">
        <f t="shared" si="23"/>
        <v/>
      </c>
      <c r="AE36" s="35" t="str">
        <f t="shared" si="24"/>
        <v/>
      </c>
      <c r="AF36" s="34" t="str">
        <f t="shared" si="25"/>
        <v/>
      </c>
      <c r="AG36" s="34" t="str">
        <f t="shared" si="26"/>
        <v/>
      </c>
      <c r="AH36" s="35" t="str">
        <f>IF($A36="","",IFERROR(AVERAGEIFS(FASI!$L:$L,FASI!$B:$B,$A36),0))</f>
        <v/>
      </c>
      <c r="AI36" s="35" t="str">
        <f t="shared" si="27"/>
        <v/>
      </c>
      <c r="AJ36" s="34" t="str">
        <f>IF($A36="","",SUMIFS(SAL!$H:$H,SAL!$B:$B,$A36,SAL!$O:$O,"Emessa")+SUMIFS(SAL!$H:$H,SAL!$B:$B,$A36,SAL!$O:$O,"Incassata")+SUMIFS(SAL!$H:$H,SAL!$B:$B,$A36,SAL!$O:$O,"Scaduta"))</f>
        <v/>
      </c>
      <c r="AK36" s="34" t="str">
        <f>IF($A36="","",SUMIFS(SAL!$H:$H,SAL!$B:$B,$A36,SAL!$O:$O,"Incassata"))</f>
        <v/>
      </c>
      <c r="AL36" s="34" t="str">
        <f t="shared" si="28"/>
        <v/>
      </c>
      <c r="AM36" s="34" t="str">
        <f t="shared" si="29"/>
        <v/>
      </c>
      <c r="AN36" s="36" t="str">
        <f ca="1">IF($A36="","",IF($M36=0,"RISORSE NON ASSEGNATE",IF($AE36&lt;0.1,"MARGINE CRITICO",IF($S36&lt;-SCONTO_MAX,"SCONTO OLTRE SOGLIA",IF($Z36&gt;0,"ORE OLTRE LA STIMA",IF($AI36&gt;ALLERTA_ORE,"CONSUMO ORE ELEVATO",IF(COUNTIFS(SAL!$B:$B,$A36,SAL!$K:$K,"EMETTIBILE")&gt;0,"SAL DA EMETTERE",IF(COUNTIFS(FASI!$B:$B,$A36,FASI!$H:$H,"&lt;"&amp;TODAY(),FASI!$L:$L,"&lt;1")&gt;0,"FASI IN RITARDO","OK"))))))))</f>
        <v/>
      </c>
    </row>
    <row r="37" spans="1:40" x14ac:dyDescent="0.3">
      <c r="A37" s="42"/>
      <c r="B37" s="42"/>
      <c r="C37" s="42"/>
      <c r="D37" s="42"/>
      <c r="E37" s="42"/>
      <c r="F37" s="42"/>
      <c r="G37" s="43"/>
      <c r="H37" s="43"/>
      <c r="I37" s="42"/>
      <c r="J37" s="44"/>
      <c r="K37" s="46"/>
      <c r="L37" s="34" t="str">
        <f t="shared" si="15"/>
        <v/>
      </c>
      <c r="M37" s="33" t="str">
        <f>IF($A37="","",SUMIFS(ASSEGNAZIONI!$F:$F,ASSEGNAZIONI!$B:$B,$A37))</f>
        <v/>
      </c>
      <c r="N37" s="34" t="str">
        <f>IF($A37="","",SUMIFS(ASSEGNAZIONI!$I:$I,ASSEGNAZIONI!$B:$B,$A37))</f>
        <v/>
      </c>
      <c r="O37" s="34" t="str">
        <f>IF($A37="","",SUMIFS(ASSEGNAZIONI!$J:$J,ASSEGNAZIONI!$B:$B,$A37))</f>
        <v/>
      </c>
      <c r="P37" s="34" t="str">
        <f t="shared" si="16"/>
        <v/>
      </c>
      <c r="Q37" s="44"/>
      <c r="R37" s="34" t="str">
        <f t="shared" si="17"/>
        <v/>
      </c>
      <c r="S37" s="35" t="str">
        <f t="shared" si="18"/>
        <v/>
      </c>
      <c r="T37" s="34" t="str">
        <f>IF($A37="","",SUMIFS(ODA!$R:$R,ODA!$B:$B,$A37))</f>
        <v/>
      </c>
      <c r="U37" s="34" t="str">
        <f>IF($A37="","",SUMIFS(ODA!$P:$P,ODA!$B:$B,$A37))</f>
        <v/>
      </c>
      <c r="V37" s="45" t="str">
        <f t="shared" si="19"/>
        <v/>
      </c>
      <c r="W37" s="33" t="str">
        <f>IF($A37="","",SUMIFS(ORE!$F:$F,ORE!$B:$B,$A37))</f>
        <v/>
      </c>
      <c r="X37" s="33" t="str">
        <f>IF($A37="","",SUMIFS(PREVISIONE_ORE!$G:$G,PREVISIONE_ORE!$D:$D,$A37,PREVISIONE_ORE!$K:$K,"Sì"))</f>
        <v/>
      </c>
      <c r="Y37" s="33" t="str">
        <f>IF($A37="","",IF(COUNTIFS(ASSEGNAZIONI!$B:$B,$A37)&gt;0,SUMIFS(ASSEGNAZIONI!$N:$N,ASSEGNAZIONI!$B:$B,$A37),MAX($W37,0)))</f>
        <v/>
      </c>
      <c r="Z37" s="33" t="str">
        <f t="shared" si="20"/>
        <v/>
      </c>
      <c r="AA37" s="34" t="str">
        <f>IF($A37="","",IF(COUNTIFS(ASSEGNAZIONI!$B:$B,$A37)&gt;0,SUMIFS(ASSEGNAZIONI!$P:$P,ASSEGNAZIONI!$B:$B,$A37),0))</f>
        <v/>
      </c>
      <c r="AB37" s="34" t="str">
        <f t="shared" si="21"/>
        <v/>
      </c>
      <c r="AC37" s="34" t="str">
        <f t="shared" si="22"/>
        <v/>
      </c>
      <c r="AD37" s="34" t="str">
        <f t="shared" si="23"/>
        <v/>
      </c>
      <c r="AE37" s="35" t="str">
        <f t="shared" si="24"/>
        <v/>
      </c>
      <c r="AF37" s="34" t="str">
        <f t="shared" si="25"/>
        <v/>
      </c>
      <c r="AG37" s="34" t="str">
        <f t="shared" si="26"/>
        <v/>
      </c>
      <c r="AH37" s="35" t="str">
        <f>IF($A37="","",IFERROR(AVERAGEIFS(FASI!$L:$L,FASI!$B:$B,$A37),0))</f>
        <v/>
      </c>
      <c r="AI37" s="35" t="str">
        <f t="shared" si="27"/>
        <v/>
      </c>
      <c r="AJ37" s="34" t="str">
        <f>IF($A37="","",SUMIFS(SAL!$H:$H,SAL!$B:$B,$A37,SAL!$O:$O,"Emessa")+SUMIFS(SAL!$H:$H,SAL!$B:$B,$A37,SAL!$O:$O,"Incassata")+SUMIFS(SAL!$H:$H,SAL!$B:$B,$A37,SAL!$O:$O,"Scaduta"))</f>
        <v/>
      </c>
      <c r="AK37" s="34" t="str">
        <f>IF($A37="","",SUMIFS(SAL!$H:$H,SAL!$B:$B,$A37,SAL!$O:$O,"Incassata"))</f>
        <v/>
      </c>
      <c r="AL37" s="34" t="str">
        <f t="shared" si="28"/>
        <v/>
      </c>
      <c r="AM37" s="34" t="str">
        <f t="shared" si="29"/>
        <v/>
      </c>
      <c r="AN37" s="36" t="str">
        <f ca="1">IF($A37="","",IF($M37=0,"RISORSE NON ASSEGNATE",IF($AE37&lt;0.1,"MARGINE CRITICO",IF($S37&lt;-SCONTO_MAX,"SCONTO OLTRE SOGLIA",IF($Z37&gt;0,"ORE OLTRE LA STIMA",IF($AI37&gt;ALLERTA_ORE,"CONSUMO ORE ELEVATO",IF(COUNTIFS(SAL!$B:$B,$A37,SAL!$K:$K,"EMETTIBILE")&gt;0,"SAL DA EMETTERE",IF(COUNTIFS(FASI!$B:$B,$A37,FASI!$H:$H,"&lt;"&amp;TODAY(),FASI!$L:$L,"&lt;1")&gt;0,"FASI IN RITARDO","OK"))))))))</f>
        <v/>
      </c>
    </row>
    <row r="38" spans="1:40" x14ac:dyDescent="0.3">
      <c r="A38" s="42"/>
      <c r="B38" s="42"/>
      <c r="C38" s="42"/>
      <c r="D38" s="42"/>
      <c r="E38" s="42"/>
      <c r="F38" s="42"/>
      <c r="G38" s="43"/>
      <c r="H38" s="43"/>
      <c r="I38" s="42"/>
      <c r="J38" s="44"/>
      <c r="K38" s="46"/>
      <c r="L38" s="34" t="str">
        <f t="shared" si="15"/>
        <v/>
      </c>
      <c r="M38" s="33" t="str">
        <f>IF($A38="","",SUMIFS(ASSEGNAZIONI!$F:$F,ASSEGNAZIONI!$B:$B,$A38))</f>
        <v/>
      </c>
      <c r="N38" s="34" t="str">
        <f>IF($A38="","",SUMIFS(ASSEGNAZIONI!$I:$I,ASSEGNAZIONI!$B:$B,$A38))</f>
        <v/>
      </c>
      <c r="O38" s="34" t="str">
        <f>IF($A38="","",SUMIFS(ASSEGNAZIONI!$J:$J,ASSEGNAZIONI!$B:$B,$A38))</f>
        <v/>
      </c>
      <c r="P38" s="34" t="str">
        <f t="shared" si="16"/>
        <v/>
      </c>
      <c r="Q38" s="44"/>
      <c r="R38" s="34" t="str">
        <f t="shared" si="17"/>
        <v/>
      </c>
      <c r="S38" s="35" t="str">
        <f t="shared" si="18"/>
        <v/>
      </c>
      <c r="T38" s="34" t="str">
        <f>IF($A38="","",SUMIFS(ODA!$R:$R,ODA!$B:$B,$A38))</f>
        <v/>
      </c>
      <c r="U38" s="34" t="str">
        <f>IF($A38="","",SUMIFS(ODA!$P:$P,ODA!$B:$B,$A38))</f>
        <v/>
      </c>
      <c r="V38" s="45" t="str">
        <f t="shared" si="19"/>
        <v/>
      </c>
      <c r="W38" s="33" t="str">
        <f>IF($A38="","",SUMIFS(ORE!$F:$F,ORE!$B:$B,$A38))</f>
        <v/>
      </c>
      <c r="X38" s="33" t="str">
        <f>IF($A38="","",SUMIFS(PREVISIONE_ORE!$G:$G,PREVISIONE_ORE!$D:$D,$A38,PREVISIONE_ORE!$K:$K,"Sì"))</f>
        <v/>
      </c>
      <c r="Y38" s="33" t="str">
        <f>IF($A38="","",IF(COUNTIFS(ASSEGNAZIONI!$B:$B,$A38)&gt;0,SUMIFS(ASSEGNAZIONI!$N:$N,ASSEGNAZIONI!$B:$B,$A38),MAX($W38,0)))</f>
        <v/>
      </c>
      <c r="Z38" s="33" t="str">
        <f t="shared" si="20"/>
        <v/>
      </c>
      <c r="AA38" s="34" t="str">
        <f>IF($A38="","",IF(COUNTIFS(ASSEGNAZIONI!$B:$B,$A38)&gt;0,SUMIFS(ASSEGNAZIONI!$P:$P,ASSEGNAZIONI!$B:$B,$A38),0))</f>
        <v/>
      </c>
      <c r="AB38" s="34" t="str">
        <f t="shared" si="21"/>
        <v/>
      </c>
      <c r="AC38" s="34" t="str">
        <f t="shared" si="22"/>
        <v/>
      </c>
      <c r="AD38" s="34" t="str">
        <f t="shared" si="23"/>
        <v/>
      </c>
      <c r="AE38" s="35" t="str">
        <f t="shared" si="24"/>
        <v/>
      </c>
      <c r="AF38" s="34" t="str">
        <f t="shared" si="25"/>
        <v/>
      </c>
      <c r="AG38" s="34" t="str">
        <f t="shared" si="26"/>
        <v/>
      </c>
      <c r="AH38" s="35" t="str">
        <f>IF($A38="","",IFERROR(AVERAGEIFS(FASI!$L:$L,FASI!$B:$B,$A38),0))</f>
        <v/>
      </c>
      <c r="AI38" s="35" t="str">
        <f t="shared" si="27"/>
        <v/>
      </c>
      <c r="AJ38" s="34" t="str">
        <f>IF($A38="","",SUMIFS(SAL!$H:$H,SAL!$B:$B,$A38,SAL!$O:$O,"Emessa")+SUMIFS(SAL!$H:$H,SAL!$B:$B,$A38,SAL!$O:$O,"Incassata")+SUMIFS(SAL!$H:$H,SAL!$B:$B,$A38,SAL!$O:$O,"Scaduta"))</f>
        <v/>
      </c>
      <c r="AK38" s="34" t="str">
        <f>IF($A38="","",SUMIFS(SAL!$H:$H,SAL!$B:$B,$A38,SAL!$O:$O,"Incassata"))</f>
        <v/>
      </c>
      <c r="AL38" s="34" t="str">
        <f t="shared" si="28"/>
        <v/>
      </c>
      <c r="AM38" s="34" t="str">
        <f t="shared" si="29"/>
        <v/>
      </c>
      <c r="AN38" s="36" t="str">
        <f ca="1">IF($A38="","",IF($M38=0,"RISORSE NON ASSEGNATE",IF($AE38&lt;0.1,"MARGINE CRITICO",IF($S38&lt;-SCONTO_MAX,"SCONTO OLTRE SOGLIA",IF($Z38&gt;0,"ORE OLTRE LA STIMA",IF($AI38&gt;ALLERTA_ORE,"CONSUMO ORE ELEVATO",IF(COUNTIFS(SAL!$B:$B,$A38,SAL!$K:$K,"EMETTIBILE")&gt;0,"SAL DA EMETTERE",IF(COUNTIFS(FASI!$B:$B,$A38,FASI!$H:$H,"&lt;"&amp;TODAY(),FASI!$L:$L,"&lt;1")&gt;0,"FASI IN RITARDO","OK"))))))))</f>
        <v/>
      </c>
    </row>
    <row r="39" spans="1:40" x14ac:dyDescent="0.3">
      <c r="A39" s="42"/>
      <c r="B39" s="42"/>
      <c r="C39" s="42"/>
      <c r="D39" s="42"/>
      <c r="E39" s="42"/>
      <c r="F39" s="42"/>
      <c r="G39" s="43"/>
      <c r="H39" s="43"/>
      <c r="I39" s="42"/>
      <c r="J39" s="44"/>
      <c r="K39" s="46"/>
      <c r="L39" s="34" t="str">
        <f t="shared" si="15"/>
        <v/>
      </c>
      <c r="M39" s="33" t="str">
        <f>IF($A39="","",SUMIFS(ASSEGNAZIONI!$F:$F,ASSEGNAZIONI!$B:$B,$A39))</f>
        <v/>
      </c>
      <c r="N39" s="34" t="str">
        <f>IF($A39="","",SUMIFS(ASSEGNAZIONI!$I:$I,ASSEGNAZIONI!$B:$B,$A39))</f>
        <v/>
      </c>
      <c r="O39" s="34" t="str">
        <f>IF($A39="","",SUMIFS(ASSEGNAZIONI!$J:$J,ASSEGNAZIONI!$B:$B,$A39))</f>
        <v/>
      </c>
      <c r="P39" s="34" t="str">
        <f t="shared" si="16"/>
        <v/>
      </c>
      <c r="Q39" s="44"/>
      <c r="R39" s="34" t="str">
        <f t="shared" si="17"/>
        <v/>
      </c>
      <c r="S39" s="35" t="str">
        <f t="shared" si="18"/>
        <v/>
      </c>
      <c r="T39" s="34" t="str">
        <f>IF($A39="","",SUMIFS(ODA!$R:$R,ODA!$B:$B,$A39))</f>
        <v/>
      </c>
      <c r="U39" s="34" t="str">
        <f>IF($A39="","",SUMIFS(ODA!$P:$P,ODA!$B:$B,$A39))</f>
        <v/>
      </c>
      <c r="V39" s="45" t="str">
        <f t="shared" si="19"/>
        <v/>
      </c>
      <c r="W39" s="33" t="str">
        <f>IF($A39="","",SUMIFS(ORE!$F:$F,ORE!$B:$B,$A39))</f>
        <v/>
      </c>
      <c r="X39" s="33" t="str">
        <f>IF($A39="","",SUMIFS(PREVISIONE_ORE!$G:$G,PREVISIONE_ORE!$D:$D,$A39,PREVISIONE_ORE!$K:$K,"Sì"))</f>
        <v/>
      </c>
      <c r="Y39" s="33" t="str">
        <f>IF($A39="","",IF(COUNTIFS(ASSEGNAZIONI!$B:$B,$A39)&gt;0,SUMIFS(ASSEGNAZIONI!$N:$N,ASSEGNAZIONI!$B:$B,$A39),MAX($W39,0)))</f>
        <v/>
      </c>
      <c r="Z39" s="33" t="str">
        <f t="shared" si="20"/>
        <v/>
      </c>
      <c r="AA39" s="34" t="str">
        <f>IF($A39="","",IF(COUNTIFS(ASSEGNAZIONI!$B:$B,$A39)&gt;0,SUMIFS(ASSEGNAZIONI!$P:$P,ASSEGNAZIONI!$B:$B,$A39),0))</f>
        <v/>
      </c>
      <c r="AB39" s="34" t="str">
        <f t="shared" si="21"/>
        <v/>
      </c>
      <c r="AC39" s="34" t="str">
        <f t="shared" si="22"/>
        <v/>
      </c>
      <c r="AD39" s="34" t="str">
        <f t="shared" si="23"/>
        <v/>
      </c>
      <c r="AE39" s="35" t="str">
        <f t="shared" si="24"/>
        <v/>
      </c>
      <c r="AF39" s="34" t="str">
        <f t="shared" si="25"/>
        <v/>
      </c>
      <c r="AG39" s="34" t="str">
        <f t="shared" si="26"/>
        <v/>
      </c>
      <c r="AH39" s="35" t="str">
        <f>IF($A39="","",IFERROR(AVERAGEIFS(FASI!$L:$L,FASI!$B:$B,$A39),0))</f>
        <v/>
      </c>
      <c r="AI39" s="35" t="str">
        <f t="shared" si="27"/>
        <v/>
      </c>
      <c r="AJ39" s="34" t="str">
        <f>IF($A39="","",SUMIFS(SAL!$H:$H,SAL!$B:$B,$A39,SAL!$O:$O,"Emessa")+SUMIFS(SAL!$H:$H,SAL!$B:$B,$A39,SAL!$O:$O,"Incassata")+SUMIFS(SAL!$H:$H,SAL!$B:$B,$A39,SAL!$O:$O,"Scaduta"))</f>
        <v/>
      </c>
      <c r="AK39" s="34" t="str">
        <f>IF($A39="","",SUMIFS(SAL!$H:$H,SAL!$B:$B,$A39,SAL!$O:$O,"Incassata"))</f>
        <v/>
      </c>
      <c r="AL39" s="34" t="str">
        <f t="shared" si="28"/>
        <v/>
      </c>
      <c r="AM39" s="34" t="str">
        <f t="shared" si="29"/>
        <v/>
      </c>
      <c r="AN39" s="36" t="str">
        <f ca="1">IF($A39="","",IF($M39=0,"RISORSE NON ASSEGNATE",IF($AE39&lt;0.1,"MARGINE CRITICO",IF($S39&lt;-SCONTO_MAX,"SCONTO OLTRE SOGLIA",IF($Z39&gt;0,"ORE OLTRE LA STIMA",IF($AI39&gt;ALLERTA_ORE,"CONSUMO ORE ELEVATO",IF(COUNTIFS(SAL!$B:$B,$A39,SAL!$K:$K,"EMETTIBILE")&gt;0,"SAL DA EMETTERE",IF(COUNTIFS(FASI!$B:$B,$A39,FASI!$H:$H,"&lt;"&amp;TODAY(),FASI!$L:$L,"&lt;1")&gt;0,"FASI IN RITARDO","OK"))))))))</f>
        <v/>
      </c>
    </row>
    <row r="40" spans="1:40" x14ac:dyDescent="0.3">
      <c r="A40" s="42"/>
      <c r="B40" s="42"/>
      <c r="C40" s="42"/>
      <c r="D40" s="42"/>
      <c r="E40" s="42"/>
      <c r="F40" s="42"/>
      <c r="G40" s="43"/>
      <c r="H40" s="43"/>
      <c r="I40" s="42"/>
      <c r="J40" s="44"/>
      <c r="K40" s="46"/>
      <c r="L40" s="34" t="str">
        <f t="shared" si="15"/>
        <v/>
      </c>
      <c r="M40" s="33" t="str">
        <f>IF($A40="","",SUMIFS(ASSEGNAZIONI!$F:$F,ASSEGNAZIONI!$B:$B,$A40))</f>
        <v/>
      </c>
      <c r="N40" s="34" t="str">
        <f>IF($A40="","",SUMIFS(ASSEGNAZIONI!$I:$I,ASSEGNAZIONI!$B:$B,$A40))</f>
        <v/>
      </c>
      <c r="O40" s="34" t="str">
        <f>IF($A40="","",SUMIFS(ASSEGNAZIONI!$J:$J,ASSEGNAZIONI!$B:$B,$A40))</f>
        <v/>
      </c>
      <c r="P40" s="34" t="str">
        <f t="shared" si="16"/>
        <v/>
      </c>
      <c r="Q40" s="44"/>
      <c r="R40" s="34" t="str">
        <f t="shared" si="17"/>
        <v/>
      </c>
      <c r="S40" s="35" t="str">
        <f t="shared" si="18"/>
        <v/>
      </c>
      <c r="T40" s="34" t="str">
        <f>IF($A40="","",SUMIFS(ODA!$R:$R,ODA!$B:$B,$A40))</f>
        <v/>
      </c>
      <c r="U40" s="34" t="str">
        <f>IF($A40="","",SUMIFS(ODA!$P:$P,ODA!$B:$B,$A40))</f>
        <v/>
      </c>
      <c r="V40" s="45" t="str">
        <f t="shared" si="19"/>
        <v/>
      </c>
      <c r="W40" s="33" t="str">
        <f>IF($A40="","",SUMIFS(ORE!$F:$F,ORE!$B:$B,$A40))</f>
        <v/>
      </c>
      <c r="X40" s="33" t="str">
        <f>IF($A40="","",SUMIFS(PREVISIONE_ORE!$G:$G,PREVISIONE_ORE!$D:$D,$A40,PREVISIONE_ORE!$K:$K,"Sì"))</f>
        <v/>
      </c>
      <c r="Y40" s="33" t="str">
        <f>IF($A40="","",IF(COUNTIFS(ASSEGNAZIONI!$B:$B,$A40)&gt;0,SUMIFS(ASSEGNAZIONI!$N:$N,ASSEGNAZIONI!$B:$B,$A40),MAX($W40,0)))</f>
        <v/>
      </c>
      <c r="Z40" s="33" t="str">
        <f t="shared" si="20"/>
        <v/>
      </c>
      <c r="AA40" s="34" t="str">
        <f>IF($A40="","",IF(COUNTIFS(ASSEGNAZIONI!$B:$B,$A40)&gt;0,SUMIFS(ASSEGNAZIONI!$P:$P,ASSEGNAZIONI!$B:$B,$A40),0))</f>
        <v/>
      </c>
      <c r="AB40" s="34" t="str">
        <f t="shared" si="21"/>
        <v/>
      </c>
      <c r="AC40" s="34" t="str">
        <f t="shared" si="22"/>
        <v/>
      </c>
      <c r="AD40" s="34" t="str">
        <f t="shared" si="23"/>
        <v/>
      </c>
      <c r="AE40" s="35" t="str">
        <f t="shared" si="24"/>
        <v/>
      </c>
      <c r="AF40" s="34" t="str">
        <f t="shared" si="25"/>
        <v/>
      </c>
      <c r="AG40" s="34" t="str">
        <f t="shared" si="26"/>
        <v/>
      </c>
      <c r="AH40" s="35" t="str">
        <f>IF($A40="","",IFERROR(AVERAGEIFS(FASI!$L:$L,FASI!$B:$B,$A40),0))</f>
        <v/>
      </c>
      <c r="AI40" s="35" t="str">
        <f t="shared" si="27"/>
        <v/>
      </c>
      <c r="AJ40" s="34" t="str">
        <f>IF($A40="","",SUMIFS(SAL!$H:$H,SAL!$B:$B,$A40,SAL!$O:$O,"Emessa")+SUMIFS(SAL!$H:$H,SAL!$B:$B,$A40,SAL!$O:$O,"Incassata")+SUMIFS(SAL!$H:$H,SAL!$B:$B,$A40,SAL!$O:$O,"Scaduta"))</f>
        <v/>
      </c>
      <c r="AK40" s="34" t="str">
        <f>IF($A40="","",SUMIFS(SAL!$H:$H,SAL!$B:$B,$A40,SAL!$O:$O,"Incassata"))</f>
        <v/>
      </c>
      <c r="AL40" s="34" t="str">
        <f t="shared" si="28"/>
        <v/>
      </c>
      <c r="AM40" s="34" t="str">
        <f t="shared" si="29"/>
        <v/>
      </c>
      <c r="AN40" s="36" t="str">
        <f ca="1">IF($A40="","",IF($M40=0,"RISORSE NON ASSEGNATE",IF($AE40&lt;0.1,"MARGINE CRITICO",IF($S40&lt;-SCONTO_MAX,"SCONTO OLTRE SOGLIA",IF($Z40&gt;0,"ORE OLTRE LA STIMA",IF($AI40&gt;ALLERTA_ORE,"CONSUMO ORE ELEVATO",IF(COUNTIFS(SAL!$B:$B,$A40,SAL!$K:$K,"EMETTIBILE")&gt;0,"SAL DA EMETTERE",IF(COUNTIFS(FASI!$B:$B,$A40,FASI!$H:$H,"&lt;"&amp;TODAY(),FASI!$L:$L,"&lt;1")&gt;0,"FASI IN RITARDO","OK"))))))))</f>
        <v/>
      </c>
    </row>
    <row r="41" spans="1:40" x14ac:dyDescent="0.3">
      <c r="A41" s="42"/>
      <c r="B41" s="42"/>
      <c r="C41" s="42"/>
      <c r="D41" s="42"/>
      <c r="E41" s="42"/>
      <c r="F41" s="42"/>
      <c r="G41" s="43"/>
      <c r="H41" s="43"/>
      <c r="I41" s="42"/>
      <c r="J41" s="44"/>
      <c r="K41" s="46"/>
      <c r="L41" s="34" t="str">
        <f t="shared" si="15"/>
        <v/>
      </c>
      <c r="M41" s="33" t="str">
        <f>IF($A41="","",SUMIFS(ASSEGNAZIONI!$F:$F,ASSEGNAZIONI!$B:$B,$A41))</f>
        <v/>
      </c>
      <c r="N41" s="34" t="str">
        <f>IF($A41="","",SUMIFS(ASSEGNAZIONI!$I:$I,ASSEGNAZIONI!$B:$B,$A41))</f>
        <v/>
      </c>
      <c r="O41" s="34" t="str">
        <f>IF($A41="","",SUMIFS(ASSEGNAZIONI!$J:$J,ASSEGNAZIONI!$B:$B,$A41))</f>
        <v/>
      </c>
      <c r="P41" s="34" t="str">
        <f t="shared" si="16"/>
        <v/>
      </c>
      <c r="Q41" s="44"/>
      <c r="R41" s="34" t="str">
        <f t="shared" si="17"/>
        <v/>
      </c>
      <c r="S41" s="35" t="str">
        <f t="shared" si="18"/>
        <v/>
      </c>
      <c r="T41" s="34" t="str">
        <f>IF($A41="","",SUMIFS(ODA!$R:$R,ODA!$B:$B,$A41))</f>
        <v/>
      </c>
      <c r="U41" s="34" t="str">
        <f>IF($A41="","",SUMIFS(ODA!$P:$P,ODA!$B:$B,$A41))</f>
        <v/>
      </c>
      <c r="V41" s="45" t="str">
        <f t="shared" si="19"/>
        <v/>
      </c>
      <c r="W41" s="33" t="str">
        <f>IF($A41="","",SUMIFS(ORE!$F:$F,ORE!$B:$B,$A41))</f>
        <v/>
      </c>
      <c r="X41" s="33" t="str">
        <f>IF($A41="","",SUMIFS(PREVISIONE_ORE!$G:$G,PREVISIONE_ORE!$D:$D,$A41,PREVISIONE_ORE!$K:$K,"Sì"))</f>
        <v/>
      </c>
      <c r="Y41" s="33" t="str">
        <f>IF($A41="","",IF(COUNTIFS(ASSEGNAZIONI!$B:$B,$A41)&gt;0,SUMIFS(ASSEGNAZIONI!$N:$N,ASSEGNAZIONI!$B:$B,$A41),MAX($W41,0)))</f>
        <v/>
      </c>
      <c r="Z41" s="33" t="str">
        <f t="shared" si="20"/>
        <v/>
      </c>
      <c r="AA41" s="34" t="str">
        <f>IF($A41="","",IF(COUNTIFS(ASSEGNAZIONI!$B:$B,$A41)&gt;0,SUMIFS(ASSEGNAZIONI!$P:$P,ASSEGNAZIONI!$B:$B,$A41),0))</f>
        <v/>
      </c>
      <c r="AB41" s="34" t="str">
        <f t="shared" si="21"/>
        <v/>
      </c>
      <c r="AC41" s="34" t="str">
        <f t="shared" si="22"/>
        <v/>
      </c>
      <c r="AD41" s="34" t="str">
        <f t="shared" si="23"/>
        <v/>
      </c>
      <c r="AE41" s="35" t="str">
        <f t="shared" si="24"/>
        <v/>
      </c>
      <c r="AF41" s="34" t="str">
        <f t="shared" si="25"/>
        <v/>
      </c>
      <c r="AG41" s="34" t="str">
        <f t="shared" si="26"/>
        <v/>
      </c>
      <c r="AH41" s="35" t="str">
        <f>IF($A41="","",IFERROR(AVERAGEIFS(FASI!$L:$L,FASI!$B:$B,$A41),0))</f>
        <v/>
      </c>
      <c r="AI41" s="35" t="str">
        <f t="shared" si="27"/>
        <v/>
      </c>
      <c r="AJ41" s="34" t="str">
        <f>IF($A41="","",SUMIFS(SAL!$H:$H,SAL!$B:$B,$A41,SAL!$O:$O,"Emessa")+SUMIFS(SAL!$H:$H,SAL!$B:$B,$A41,SAL!$O:$O,"Incassata")+SUMIFS(SAL!$H:$H,SAL!$B:$B,$A41,SAL!$O:$O,"Scaduta"))</f>
        <v/>
      </c>
      <c r="AK41" s="34" t="str">
        <f>IF($A41="","",SUMIFS(SAL!$H:$H,SAL!$B:$B,$A41,SAL!$O:$O,"Incassata"))</f>
        <v/>
      </c>
      <c r="AL41" s="34" t="str">
        <f t="shared" si="28"/>
        <v/>
      </c>
      <c r="AM41" s="34" t="str">
        <f t="shared" si="29"/>
        <v/>
      </c>
      <c r="AN41" s="36" t="str">
        <f ca="1">IF($A41="","",IF($M41=0,"RISORSE NON ASSEGNATE",IF($AE41&lt;0.1,"MARGINE CRITICO",IF($S41&lt;-SCONTO_MAX,"SCONTO OLTRE SOGLIA",IF($Z41&gt;0,"ORE OLTRE LA STIMA",IF($AI41&gt;ALLERTA_ORE,"CONSUMO ORE ELEVATO",IF(COUNTIFS(SAL!$B:$B,$A41,SAL!$K:$K,"EMETTIBILE")&gt;0,"SAL DA EMETTERE",IF(COUNTIFS(FASI!$B:$B,$A41,FASI!$H:$H,"&lt;"&amp;TODAY(),FASI!$L:$L,"&lt;1")&gt;0,"FASI IN RITARDO","OK"))))))))</f>
        <v/>
      </c>
    </row>
    <row r="42" spans="1:40" x14ac:dyDescent="0.3">
      <c r="A42" s="42"/>
      <c r="B42" s="42"/>
      <c r="C42" s="42"/>
      <c r="D42" s="42"/>
      <c r="E42" s="42"/>
      <c r="F42" s="42"/>
      <c r="G42" s="43"/>
      <c r="H42" s="43"/>
      <c r="I42" s="42"/>
      <c r="J42" s="44"/>
      <c r="K42" s="46"/>
      <c r="L42" s="34" t="str">
        <f t="shared" si="15"/>
        <v/>
      </c>
      <c r="M42" s="33" t="str">
        <f>IF($A42="","",SUMIFS(ASSEGNAZIONI!$F:$F,ASSEGNAZIONI!$B:$B,$A42))</f>
        <v/>
      </c>
      <c r="N42" s="34" t="str">
        <f>IF($A42="","",SUMIFS(ASSEGNAZIONI!$I:$I,ASSEGNAZIONI!$B:$B,$A42))</f>
        <v/>
      </c>
      <c r="O42" s="34" t="str">
        <f>IF($A42="","",SUMIFS(ASSEGNAZIONI!$J:$J,ASSEGNAZIONI!$B:$B,$A42))</f>
        <v/>
      </c>
      <c r="P42" s="34" t="str">
        <f t="shared" si="16"/>
        <v/>
      </c>
      <c r="Q42" s="44"/>
      <c r="R42" s="34" t="str">
        <f t="shared" si="17"/>
        <v/>
      </c>
      <c r="S42" s="35" t="str">
        <f t="shared" si="18"/>
        <v/>
      </c>
      <c r="T42" s="34" t="str">
        <f>IF($A42="","",SUMIFS(ODA!$R:$R,ODA!$B:$B,$A42))</f>
        <v/>
      </c>
      <c r="U42" s="34" t="str">
        <f>IF($A42="","",SUMIFS(ODA!$P:$P,ODA!$B:$B,$A42))</f>
        <v/>
      </c>
      <c r="V42" s="45" t="str">
        <f t="shared" si="19"/>
        <v/>
      </c>
      <c r="W42" s="33" t="str">
        <f>IF($A42="","",SUMIFS(ORE!$F:$F,ORE!$B:$B,$A42))</f>
        <v/>
      </c>
      <c r="X42" s="33" t="str">
        <f>IF($A42="","",SUMIFS(PREVISIONE_ORE!$G:$G,PREVISIONE_ORE!$D:$D,$A42,PREVISIONE_ORE!$K:$K,"Sì"))</f>
        <v/>
      </c>
      <c r="Y42" s="33" t="str">
        <f>IF($A42="","",IF(COUNTIFS(ASSEGNAZIONI!$B:$B,$A42)&gt;0,SUMIFS(ASSEGNAZIONI!$N:$N,ASSEGNAZIONI!$B:$B,$A42),MAX($W42,0)))</f>
        <v/>
      </c>
      <c r="Z42" s="33" t="str">
        <f t="shared" si="20"/>
        <v/>
      </c>
      <c r="AA42" s="34" t="str">
        <f>IF($A42="","",IF(COUNTIFS(ASSEGNAZIONI!$B:$B,$A42)&gt;0,SUMIFS(ASSEGNAZIONI!$P:$P,ASSEGNAZIONI!$B:$B,$A42),0))</f>
        <v/>
      </c>
      <c r="AB42" s="34" t="str">
        <f t="shared" si="21"/>
        <v/>
      </c>
      <c r="AC42" s="34" t="str">
        <f t="shared" si="22"/>
        <v/>
      </c>
      <c r="AD42" s="34" t="str">
        <f t="shared" si="23"/>
        <v/>
      </c>
      <c r="AE42" s="35" t="str">
        <f t="shared" si="24"/>
        <v/>
      </c>
      <c r="AF42" s="34" t="str">
        <f t="shared" si="25"/>
        <v/>
      </c>
      <c r="AG42" s="34" t="str">
        <f t="shared" si="26"/>
        <v/>
      </c>
      <c r="AH42" s="35" t="str">
        <f>IF($A42="","",IFERROR(AVERAGEIFS(FASI!$L:$L,FASI!$B:$B,$A42),0))</f>
        <v/>
      </c>
      <c r="AI42" s="35" t="str">
        <f t="shared" si="27"/>
        <v/>
      </c>
      <c r="AJ42" s="34" t="str">
        <f>IF($A42="","",SUMIFS(SAL!$H:$H,SAL!$B:$B,$A42,SAL!$O:$O,"Emessa")+SUMIFS(SAL!$H:$H,SAL!$B:$B,$A42,SAL!$O:$O,"Incassata")+SUMIFS(SAL!$H:$H,SAL!$B:$B,$A42,SAL!$O:$O,"Scaduta"))</f>
        <v/>
      </c>
      <c r="AK42" s="34" t="str">
        <f>IF($A42="","",SUMIFS(SAL!$H:$H,SAL!$B:$B,$A42,SAL!$O:$O,"Incassata"))</f>
        <v/>
      </c>
      <c r="AL42" s="34" t="str">
        <f t="shared" si="28"/>
        <v/>
      </c>
      <c r="AM42" s="34" t="str">
        <f t="shared" si="29"/>
        <v/>
      </c>
      <c r="AN42" s="36" t="str">
        <f ca="1">IF($A42="","",IF($M42=0,"RISORSE NON ASSEGNATE",IF($AE42&lt;0.1,"MARGINE CRITICO",IF($S42&lt;-SCONTO_MAX,"SCONTO OLTRE SOGLIA",IF($Z42&gt;0,"ORE OLTRE LA STIMA",IF($AI42&gt;ALLERTA_ORE,"CONSUMO ORE ELEVATO",IF(COUNTIFS(SAL!$B:$B,$A42,SAL!$K:$K,"EMETTIBILE")&gt;0,"SAL DA EMETTERE",IF(COUNTIFS(FASI!$B:$B,$A42,FASI!$H:$H,"&lt;"&amp;TODAY(),FASI!$L:$L,"&lt;1")&gt;0,"FASI IN RITARDO","OK"))))))))</f>
        <v/>
      </c>
    </row>
    <row r="43" spans="1:40" x14ac:dyDescent="0.3">
      <c r="A43" s="42"/>
      <c r="B43" s="42"/>
      <c r="C43" s="42"/>
      <c r="D43" s="42"/>
      <c r="E43" s="42"/>
      <c r="F43" s="42"/>
      <c r="G43" s="43"/>
      <c r="H43" s="43"/>
      <c r="I43" s="42"/>
      <c r="J43" s="44"/>
      <c r="K43" s="46"/>
      <c r="L43" s="34" t="str">
        <f t="shared" si="15"/>
        <v/>
      </c>
      <c r="M43" s="33" t="str">
        <f>IF($A43="","",SUMIFS(ASSEGNAZIONI!$F:$F,ASSEGNAZIONI!$B:$B,$A43))</f>
        <v/>
      </c>
      <c r="N43" s="34" t="str">
        <f>IF($A43="","",SUMIFS(ASSEGNAZIONI!$I:$I,ASSEGNAZIONI!$B:$B,$A43))</f>
        <v/>
      </c>
      <c r="O43" s="34" t="str">
        <f>IF($A43="","",SUMIFS(ASSEGNAZIONI!$J:$J,ASSEGNAZIONI!$B:$B,$A43))</f>
        <v/>
      </c>
      <c r="P43" s="34" t="str">
        <f t="shared" si="16"/>
        <v/>
      </c>
      <c r="Q43" s="44"/>
      <c r="R43" s="34" t="str">
        <f t="shared" si="17"/>
        <v/>
      </c>
      <c r="S43" s="35" t="str">
        <f t="shared" si="18"/>
        <v/>
      </c>
      <c r="T43" s="34" t="str">
        <f>IF($A43="","",SUMIFS(ODA!$R:$R,ODA!$B:$B,$A43))</f>
        <v/>
      </c>
      <c r="U43" s="34" t="str">
        <f>IF($A43="","",SUMIFS(ODA!$P:$P,ODA!$B:$B,$A43))</f>
        <v/>
      </c>
      <c r="V43" s="45" t="str">
        <f t="shared" si="19"/>
        <v/>
      </c>
      <c r="W43" s="33" t="str">
        <f>IF($A43="","",SUMIFS(ORE!$F:$F,ORE!$B:$B,$A43))</f>
        <v/>
      </c>
      <c r="X43" s="33" t="str">
        <f>IF($A43="","",SUMIFS(PREVISIONE_ORE!$G:$G,PREVISIONE_ORE!$D:$D,$A43,PREVISIONE_ORE!$K:$K,"Sì"))</f>
        <v/>
      </c>
      <c r="Y43" s="33" t="str">
        <f>IF($A43="","",IF(COUNTIFS(ASSEGNAZIONI!$B:$B,$A43)&gt;0,SUMIFS(ASSEGNAZIONI!$N:$N,ASSEGNAZIONI!$B:$B,$A43),MAX($W43,0)))</f>
        <v/>
      </c>
      <c r="Z43" s="33" t="str">
        <f t="shared" si="20"/>
        <v/>
      </c>
      <c r="AA43" s="34" t="str">
        <f>IF($A43="","",IF(COUNTIFS(ASSEGNAZIONI!$B:$B,$A43)&gt;0,SUMIFS(ASSEGNAZIONI!$P:$P,ASSEGNAZIONI!$B:$B,$A43),0))</f>
        <v/>
      </c>
      <c r="AB43" s="34" t="str">
        <f t="shared" si="21"/>
        <v/>
      </c>
      <c r="AC43" s="34" t="str">
        <f t="shared" si="22"/>
        <v/>
      </c>
      <c r="AD43" s="34" t="str">
        <f t="shared" si="23"/>
        <v/>
      </c>
      <c r="AE43" s="35" t="str">
        <f t="shared" si="24"/>
        <v/>
      </c>
      <c r="AF43" s="34" t="str">
        <f t="shared" si="25"/>
        <v/>
      </c>
      <c r="AG43" s="34" t="str">
        <f t="shared" si="26"/>
        <v/>
      </c>
      <c r="AH43" s="35" t="str">
        <f>IF($A43="","",IFERROR(AVERAGEIFS(FASI!$L:$L,FASI!$B:$B,$A43),0))</f>
        <v/>
      </c>
      <c r="AI43" s="35" t="str">
        <f t="shared" si="27"/>
        <v/>
      </c>
      <c r="AJ43" s="34" t="str">
        <f>IF($A43="","",SUMIFS(SAL!$H:$H,SAL!$B:$B,$A43,SAL!$O:$O,"Emessa")+SUMIFS(SAL!$H:$H,SAL!$B:$B,$A43,SAL!$O:$O,"Incassata")+SUMIFS(SAL!$H:$H,SAL!$B:$B,$A43,SAL!$O:$O,"Scaduta"))</f>
        <v/>
      </c>
      <c r="AK43" s="34" t="str">
        <f>IF($A43="","",SUMIFS(SAL!$H:$H,SAL!$B:$B,$A43,SAL!$O:$O,"Incassata"))</f>
        <v/>
      </c>
      <c r="AL43" s="34" t="str">
        <f t="shared" si="28"/>
        <v/>
      </c>
      <c r="AM43" s="34" t="str">
        <f t="shared" si="29"/>
        <v/>
      </c>
      <c r="AN43" s="36" t="str">
        <f ca="1">IF($A43="","",IF($M43=0,"RISORSE NON ASSEGNATE",IF($AE43&lt;0.1,"MARGINE CRITICO",IF($S43&lt;-SCONTO_MAX,"SCONTO OLTRE SOGLIA",IF($Z43&gt;0,"ORE OLTRE LA STIMA",IF($AI43&gt;ALLERTA_ORE,"CONSUMO ORE ELEVATO",IF(COUNTIFS(SAL!$B:$B,$A43,SAL!$K:$K,"EMETTIBILE")&gt;0,"SAL DA EMETTERE",IF(COUNTIFS(FASI!$B:$B,$A43,FASI!$H:$H,"&lt;"&amp;TODAY(),FASI!$L:$L,"&lt;1")&gt;0,"FASI IN RITARDO","OK"))))))))</f>
        <v/>
      </c>
    </row>
    <row r="44" spans="1:40" x14ac:dyDescent="0.3">
      <c r="A44" s="42"/>
      <c r="B44" s="42"/>
      <c r="C44" s="42"/>
      <c r="D44" s="42"/>
      <c r="E44" s="42"/>
      <c r="F44" s="42"/>
      <c r="G44" s="43"/>
      <c r="H44" s="43"/>
      <c r="I44" s="42"/>
      <c r="J44" s="44"/>
      <c r="K44" s="46"/>
      <c r="L44" s="34" t="str">
        <f t="shared" si="15"/>
        <v/>
      </c>
      <c r="M44" s="33" t="str">
        <f>IF($A44="","",SUMIFS(ASSEGNAZIONI!$F:$F,ASSEGNAZIONI!$B:$B,$A44))</f>
        <v/>
      </c>
      <c r="N44" s="34" t="str">
        <f>IF($A44="","",SUMIFS(ASSEGNAZIONI!$I:$I,ASSEGNAZIONI!$B:$B,$A44))</f>
        <v/>
      </c>
      <c r="O44" s="34" t="str">
        <f>IF($A44="","",SUMIFS(ASSEGNAZIONI!$J:$J,ASSEGNAZIONI!$B:$B,$A44))</f>
        <v/>
      </c>
      <c r="P44" s="34" t="str">
        <f t="shared" si="16"/>
        <v/>
      </c>
      <c r="Q44" s="44"/>
      <c r="R44" s="34" t="str">
        <f t="shared" si="17"/>
        <v/>
      </c>
      <c r="S44" s="35" t="str">
        <f t="shared" si="18"/>
        <v/>
      </c>
      <c r="T44" s="34" t="str">
        <f>IF($A44="","",SUMIFS(ODA!$R:$R,ODA!$B:$B,$A44))</f>
        <v/>
      </c>
      <c r="U44" s="34" t="str">
        <f>IF($A44="","",SUMIFS(ODA!$P:$P,ODA!$B:$B,$A44))</f>
        <v/>
      </c>
      <c r="V44" s="45" t="str">
        <f t="shared" si="19"/>
        <v/>
      </c>
      <c r="W44" s="33" t="str">
        <f>IF($A44="","",SUMIFS(ORE!$F:$F,ORE!$B:$B,$A44))</f>
        <v/>
      </c>
      <c r="X44" s="33" t="str">
        <f>IF($A44="","",SUMIFS(PREVISIONE_ORE!$G:$G,PREVISIONE_ORE!$D:$D,$A44,PREVISIONE_ORE!$K:$K,"Sì"))</f>
        <v/>
      </c>
      <c r="Y44" s="33" t="str">
        <f>IF($A44="","",IF(COUNTIFS(ASSEGNAZIONI!$B:$B,$A44)&gt;0,SUMIFS(ASSEGNAZIONI!$N:$N,ASSEGNAZIONI!$B:$B,$A44),MAX($W44,0)))</f>
        <v/>
      </c>
      <c r="Z44" s="33" t="str">
        <f t="shared" si="20"/>
        <v/>
      </c>
      <c r="AA44" s="34" t="str">
        <f>IF($A44="","",IF(COUNTIFS(ASSEGNAZIONI!$B:$B,$A44)&gt;0,SUMIFS(ASSEGNAZIONI!$P:$P,ASSEGNAZIONI!$B:$B,$A44),0))</f>
        <v/>
      </c>
      <c r="AB44" s="34" t="str">
        <f t="shared" si="21"/>
        <v/>
      </c>
      <c r="AC44" s="34" t="str">
        <f t="shared" si="22"/>
        <v/>
      </c>
      <c r="AD44" s="34" t="str">
        <f t="shared" si="23"/>
        <v/>
      </c>
      <c r="AE44" s="35" t="str">
        <f t="shared" si="24"/>
        <v/>
      </c>
      <c r="AF44" s="34" t="str">
        <f t="shared" si="25"/>
        <v/>
      </c>
      <c r="AG44" s="34" t="str">
        <f t="shared" si="26"/>
        <v/>
      </c>
      <c r="AH44" s="35" t="str">
        <f>IF($A44="","",IFERROR(AVERAGEIFS(FASI!$L:$L,FASI!$B:$B,$A44),0))</f>
        <v/>
      </c>
      <c r="AI44" s="35" t="str">
        <f t="shared" si="27"/>
        <v/>
      </c>
      <c r="AJ44" s="34" t="str">
        <f>IF($A44="","",SUMIFS(SAL!$H:$H,SAL!$B:$B,$A44,SAL!$O:$O,"Emessa")+SUMIFS(SAL!$H:$H,SAL!$B:$B,$A44,SAL!$O:$O,"Incassata")+SUMIFS(SAL!$H:$H,SAL!$B:$B,$A44,SAL!$O:$O,"Scaduta"))</f>
        <v/>
      </c>
      <c r="AK44" s="34" t="str">
        <f>IF($A44="","",SUMIFS(SAL!$H:$H,SAL!$B:$B,$A44,SAL!$O:$O,"Incassata"))</f>
        <v/>
      </c>
      <c r="AL44" s="34" t="str">
        <f t="shared" si="28"/>
        <v/>
      </c>
      <c r="AM44" s="34" t="str">
        <f t="shared" si="29"/>
        <v/>
      </c>
      <c r="AN44" s="36" t="str">
        <f ca="1">IF($A44="","",IF($M44=0,"RISORSE NON ASSEGNATE",IF($AE44&lt;0.1,"MARGINE CRITICO",IF($S44&lt;-SCONTO_MAX,"SCONTO OLTRE SOGLIA",IF($Z44&gt;0,"ORE OLTRE LA STIMA",IF($AI44&gt;ALLERTA_ORE,"CONSUMO ORE ELEVATO",IF(COUNTIFS(SAL!$B:$B,$A44,SAL!$K:$K,"EMETTIBILE")&gt;0,"SAL DA EMETTERE",IF(COUNTIFS(FASI!$B:$B,$A44,FASI!$H:$H,"&lt;"&amp;TODAY(),FASI!$L:$L,"&lt;1")&gt;0,"FASI IN RITARDO","OK"))))))))</f>
        <v/>
      </c>
    </row>
    <row r="45" spans="1:40" x14ac:dyDescent="0.3">
      <c r="A45" s="42"/>
      <c r="B45" s="42"/>
      <c r="C45" s="42"/>
      <c r="D45" s="42"/>
      <c r="E45" s="42"/>
      <c r="F45" s="42"/>
      <c r="G45" s="43"/>
      <c r="H45" s="43"/>
      <c r="I45" s="42"/>
      <c r="J45" s="44"/>
      <c r="K45" s="46"/>
      <c r="L45" s="34" t="str">
        <f t="shared" si="15"/>
        <v/>
      </c>
      <c r="M45" s="33" t="str">
        <f>IF($A45="","",SUMIFS(ASSEGNAZIONI!$F:$F,ASSEGNAZIONI!$B:$B,$A45))</f>
        <v/>
      </c>
      <c r="N45" s="34" t="str">
        <f>IF($A45="","",SUMIFS(ASSEGNAZIONI!$I:$I,ASSEGNAZIONI!$B:$B,$A45))</f>
        <v/>
      </c>
      <c r="O45" s="34" t="str">
        <f>IF($A45="","",SUMIFS(ASSEGNAZIONI!$J:$J,ASSEGNAZIONI!$B:$B,$A45))</f>
        <v/>
      </c>
      <c r="P45" s="34" t="str">
        <f t="shared" si="16"/>
        <v/>
      </c>
      <c r="Q45" s="44"/>
      <c r="R45" s="34" t="str">
        <f t="shared" si="17"/>
        <v/>
      </c>
      <c r="S45" s="35" t="str">
        <f t="shared" si="18"/>
        <v/>
      </c>
      <c r="T45" s="34" t="str">
        <f>IF($A45="","",SUMIFS(ODA!$R:$R,ODA!$B:$B,$A45))</f>
        <v/>
      </c>
      <c r="U45" s="34" t="str">
        <f>IF($A45="","",SUMIFS(ODA!$P:$P,ODA!$B:$B,$A45))</f>
        <v/>
      </c>
      <c r="V45" s="45" t="str">
        <f t="shared" si="19"/>
        <v/>
      </c>
      <c r="W45" s="33" t="str">
        <f>IF($A45="","",SUMIFS(ORE!$F:$F,ORE!$B:$B,$A45))</f>
        <v/>
      </c>
      <c r="X45" s="33" t="str">
        <f>IF($A45="","",SUMIFS(PREVISIONE_ORE!$G:$G,PREVISIONE_ORE!$D:$D,$A45,PREVISIONE_ORE!$K:$K,"Sì"))</f>
        <v/>
      </c>
      <c r="Y45" s="33" t="str">
        <f>IF($A45="","",IF(COUNTIFS(ASSEGNAZIONI!$B:$B,$A45)&gt;0,SUMIFS(ASSEGNAZIONI!$N:$N,ASSEGNAZIONI!$B:$B,$A45),MAX($W45,0)))</f>
        <v/>
      </c>
      <c r="Z45" s="33" t="str">
        <f t="shared" si="20"/>
        <v/>
      </c>
      <c r="AA45" s="34" t="str">
        <f>IF($A45="","",IF(COUNTIFS(ASSEGNAZIONI!$B:$B,$A45)&gt;0,SUMIFS(ASSEGNAZIONI!$P:$P,ASSEGNAZIONI!$B:$B,$A45),0))</f>
        <v/>
      </c>
      <c r="AB45" s="34" t="str">
        <f t="shared" si="21"/>
        <v/>
      </c>
      <c r="AC45" s="34" t="str">
        <f t="shared" si="22"/>
        <v/>
      </c>
      <c r="AD45" s="34" t="str">
        <f t="shared" si="23"/>
        <v/>
      </c>
      <c r="AE45" s="35" t="str">
        <f t="shared" si="24"/>
        <v/>
      </c>
      <c r="AF45" s="34" t="str">
        <f t="shared" si="25"/>
        <v/>
      </c>
      <c r="AG45" s="34" t="str">
        <f t="shared" si="26"/>
        <v/>
      </c>
      <c r="AH45" s="35" t="str">
        <f>IF($A45="","",IFERROR(AVERAGEIFS(FASI!$L:$L,FASI!$B:$B,$A45),0))</f>
        <v/>
      </c>
      <c r="AI45" s="35" t="str">
        <f t="shared" si="27"/>
        <v/>
      </c>
      <c r="AJ45" s="34" t="str">
        <f>IF($A45="","",SUMIFS(SAL!$H:$H,SAL!$B:$B,$A45,SAL!$O:$O,"Emessa")+SUMIFS(SAL!$H:$H,SAL!$B:$B,$A45,SAL!$O:$O,"Incassata")+SUMIFS(SAL!$H:$H,SAL!$B:$B,$A45,SAL!$O:$O,"Scaduta"))</f>
        <v/>
      </c>
      <c r="AK45" s="34" t="str">
        <f>IF($A45="","",SUMIFS(SAL!$H:$H,SAL!$B:$B,$A45,SAL!$O:$O,"Incassata"))</f>
        <v/>
      </c>
      <c r="AL45" s="34" t="str">
        <f t="shared" si="28"/>
        <v/>
      </c>
      <c r="AM45" s="34" t="str">
        <f t="shared" si="29"/>
        <v/>
      </c>
      <c r="AN45" s="36" t="str">
        <f ca="1">IF($A45="","",IF($M45=0,"RISORSE NON ASSEGNATE",IF($AE45&lt;0.1,"MARGINE CRITICO",IF($S45&lt;-SCONTO_MAX,"SCONTO OLTRE SOGLIA",IF($Z45&gt;0,"ORE OLTRE LA STIMA",IF($AI45&gt;ALLERTA_ORE,"CONSUMO ORE ELEVATO",IF(COUNTIFS(SAL!$B:$B,$A45,SAL!$K:$K,"EMETTIBILE")&gt;0,"SAL DA EMETTERE",IF(COUNTIFS(FASI!$B:$B,$A45,FASI!$H:$H,"&lt;"&amp;TODAY(),FASI!$L:$L,"&lt;1")&gt;0,"FASI IN RITARDO","OK"))))))))</f>
        <v/>
      </c>
    </row>
    <row r="46" spans="1:40" x14ac:dyDescent="0.3">
      <c r="A46" s="42"/>
      <c r="B46" s="42"/>
      <c r="C46" s="42"/>
      <c r="D46" s="42"/>
      <c r="E46" s="42"/>
      <c r="F46" s="42"/>
      <c r="G46" s="43"/>
      <c r="H46" s="43"/>
      <c r="I46" s="42"/>
      <c r="J46" s="44"/>
      <c r="K46" s="46"/>
      <c r="L46" s="34" t="str">
        <f t="shared" si="15"/>
        <v/>
      </c>
      <c r="M46" s="33" t="str">
        <f>IF($A46="","",SUMIFS(ASSEGNAZIONI!$F:$F,ASSEGNAZIONI!$B:$B,$A46))</f>
        <v/>
      </c>
      <c r="N46" s="34" t="str">
        <f>IF($A46="","",SUMIFS(ASSEGNAZIONI!$I:$I,ASSEGNAZIONI!$B:$B,$A46))</f>
        <v/>
      </c>
      <c r="O46" s="34" t="str">
        <f>IF($A46="","",SUMIFS(ASSEGNAZIONI!$J:$J,ASSEGNAZIONI!$B:$B,$A46))</f>
        <v/>
      </c>
      <c r="P46" s="34" t="str">
        <f t="shared" si="16"/>
        <v/>
      </c>
      <c r="Q46" s="44"/>
      <c r="R46" s="34" t="str">
        <f t="shared" si="17"/>
        <v/>
      </c>
      <c r="S46" s="35" t="str">
        <f t="shared" si="18"/>
        <v/>
      </c>
      <c r="T46" s="34" t="str">
        <f>IF($A46="","",SUMIFS(ODA!$R:$R,ODA!$B:$B,$A46))</f>
        <v/>
      </c>
      <c r="U46" s="34" t="str">
        <f>IF($A46="","",SUMIFS(ODA!$P:$P,ODA!$B:$B,$A46))</f>
        <v/>
      </c>
      <c r="V46" s="45" t="str">
        <f t="shared" si="19"/>
        <v/>
      </c>
      <c r="W46" s="33" t="str">
        <f>IF($A46="","",SUMIFS(ORE!$F:$F,ORE!$B:$B,$A46))</f>
        <v/>
      </c>
      <c r="X46" s="33" t="str">
        <f>IF($A46="","",SUMIFS(PREVISIONE_ORE!$G:$G,PREVISIONE_ORE!$D:$D,$A46,PREVISIONE_ORE!$K:$K,"Sì"))</f>
        <v/>
      </c>
      <c r="Y46" s="33" t="str">
        <f>IF($A46="","",IF(COUNTIFS(ASSEGNAZIONI!$B:$B,$A46)&gt;0,SUMIFS(ASSEGNAZIONI!$N:$N,ASSEGNAZIONI!$B:$B,$A46),MAX($W46,0)))</f>
        <v/>
      </c>
      <c r="Z46" s="33" t="str">
        <f t="shared" si="20"/>
        <v/>
      </c>
      <c r="AA46" s="34" t="str">
        <f>IF($A46="","",IF(COUNTIFS(ASSEGNAZIONI!$B:$B,$A46)&gt;0,SUMIFS(ASSEGNAZIONI!$P:$P,ASSEGNAZIONI!$B:$B,$A46),0))</f>
        <v/>
      </c>
      <c r="AB46" s="34" t="str">
        <f t="shared" si="21"/>
        <v/>
      </c>
      <c r="AC46" s="34" t="str">
        <f t="shared" si="22"/>
        <v/>
      </c>
      <c r="AD46" s="34" t="str">
        <f t="shared" si="23"/>
        <v/>
      </c>
      <c r="AE46" s="35" t="str">
        <f t="shared" si="24"/>
        <v/>
      </c>
      <c r="AF46" s="34" t="str">
        <f t="shared" si="25"/>
        <v/>
      </c>
      <c r="AG46" s="34" t="str">
        <f t="shared" si="26"/>
        <v/>
      </c>
      <c r="AH46" s="35" t="str">
        <f>IF($A46="","",IFERROR(AVERAGEIFS(FASI!$L:$L,FASI!$B:$B,$A46),0))</f>
        <v/>
      </c>
      <c r="AI46" s="35" t="str">
        <f t="shared" si="27"/>
        <v/>
      </c>
      <c r="AJ46" s="34" t="str">
        <f>IF($A46="","",SUMIFS(SAL!$H:$H,SAL!$B:$B,$A46,SAL!$O:$O,"Emessa")+SUMIFS(SAL!$H:$H,SAL!$B:$B,$A46,SAL!$O:$O,"Incassata")+SUMIFS(SAL!$H:$H,SAL!$B:$B,$A46,SAL!$O:$O,"Scaduta"))</f>
        <v/>
      </c>
      <c r="AK46" s="34" t="str">
        <f>IF($A46="","",SUMIFS(SAL!$H:$H,SAL!$B:$B,$A46,SAL!$O:$O,"Incassata"))</f>
        <v/>
      </c>
      <c r="AL46" s="34" t="str">
        <f t="shared" si="28"/>
        <v/>
      </c>
      <c r="AM46" s="34" t="str">
        <f t="shared" si="29"/>
        <v/>
      </c>
      <c r="AN46" s="36" t="str">
        <f ca="1">IF($A46="","",IF($M46=0,"RISORSE NON ASSEGNATE",IF($AE46&lt;0.1,"MARGINE CRITICO",IF($S46&lt;-SCONTO_MAX,"SCONTO OLTRE SOGLIA",IF($Z46&gt;0,"ORE OLTRE LA STIMA",IF($AI46&gt;ALLERTA_ORE,"CONSUMO ORE ELEVATO",IF(COUNTIFS(SAL!$B:$B,$A46,SAL!$K:$K,"EMETTIBILE")&gt;0,"SAL DA EMETTERE",IF(COUNTIFS(FASI!$B:$B,$A46,FASI!$H:$H,"&lt;"&amp;TODAY(),FASI!$L:$L,"&lt;1")&gt;0,"FASI IN RITARDO","OK"))))))))</f>
        <v/>
      </c>
    </row>
    <row r="47" spans="1:40" x14ac:dyDescent="0.3">
      <c r="A47" s="42"/>
      <c r="B47" s="42"/>
      <c r="C47" s="42"/>
      <c r="D47" s="42"/>
      <c r="E47" s="42"/>
      <c r="F47" s="42"/>
      <c r="G47" s="43"/>
      <c r="H47" s="43"/>
      <c r="I47" s="42"/>
      <c r="J47" s="44"/>
      <c r="K47" s="46"/>
      <c r="L47" s="34" t="str">
        <f t="shared" si="15"/>
        <v/>
      </c>
      <c r="M47" s="33" t="str">
        <f>IF($A47="","",SUMIFS(ASSEGNAZIONI!$F:$F,ASSEGNAZIONI!$B:$B,$A47))</f>
        <v/>
      </c>
      <c r="N47" s="34" t="str">
        <f>IF($A47="","",SUMIFS(ASSEGNAZIONI!$I:$I,ASSEGNAZIONI!$B:$B,$A47))</f>
        <v/>
      </c>
      <c r="O47" s="34" t="str">
        <f>IF($A47="","",SUMIFS(ASSEGNAZIONI!$J:$J,ASSEGNAZIONI!$B:$B,$A47))</f>
        <v/>
      </c>
      <c r="P47" s="34" t="str">
        <f t="shared" si="16"/>
        <v/>
      </c>
      <c r="Q47" s="44"/>
      <c r="R47" s="34" t="str">
        <f t="shared" si="17"/>
        <v/>
      </c>
      <c r="S47" s="35" t="str">
        <f t="shared" si="18"/>
        <v/>
      </c>
      <c r="T47" s="34" t="str">
        <f>IF($A47="","",SUMIFS(ODA!$R:$R,ODA!$B:$B,$A47))</f>
        <v/>
      </c>
      <c r="U47" s="34" t="str">
        <f>IF($A47="","",SUMIFS(ODA!$P:$P,ODA!$B:$B,$A47))</f>
        <v/>
      </c>
      <c r="V47" s="45" t="str">
        <f t="shared" si="19"/>
        <v/>
      </c>
      <c r="W47" s="33" t="str">
        <f>IF($A47="","",SUMIFS(ORE!$F:$F,ORE!$B:$B,$A47))</f>
        <v/>
      </c>
      <c r="X47" s="33" t="str">
        <f>IF($A47="","",SUMIFS(PREVISIONE_ORE!$G:$G,PREVISIONE_ORE!$D:$D,$A47,PREVISIONE_ORE!$K:$K,"Sì"))</f>
        <v/>
      </c>
      <c r="Y47" s="33" t="str">
        <f>IF($A47="","",IF(COUNTIFS(ASSEGNAZIONI!$B:$B,$A47)&gt;0,SUMIFS(ASSEGNAZIONI!$N:$N,ASSEGNAZIONI!$B:$B,$A47),MAX($W47,0)))</f>
        <v/>
      </c>
      <c r="Z47" s="33" t="str">
        <f t="shared" si="20"/>
        <v/>
      </c>
      <c r="AA47" s="34" t="str">
        <f>IF($A47="","",IF(COUNTIFS(ASSEGNAZIONI!$B:$B,$A47)&gt;0,SUMIFS(ASSEGNAZIONI!$P:$P,ASSEGNAZIONI!$B:$B,$A47),0))</f>
        <v/>
      </c>
      <c r="AB47" s="34" t="str">
        <f t="shared" si="21"/>
        <v/>
      </c>
      <c r="AC47" s="34" t="str">
        <f t="shared" si="22"/>
        <v/>
      </c>
      <c r="AD47" s="34" t="str">
        <f t="shared" si="23"/>
        <v/>
      </c>
      <c r="AE47" s="35" t="str">
        <f t="shared" si="24"/>
        <v/>
      </c>
      <c r="AF47" s="34" t="str">
        <f t="shared" si="25"/>
        <v/>
      </c>
      <c r="AG47" s="34" t="str">
        <f t="shared" si="26"/>
        <v/>
      </c>
      <c r="AH47" s="35" t="str">
        <f>IF($A47="","",IFERROR(AVERAGEIFS(FASI!$L:$L,FASI!$B:$B,$A47),0))</f>
        <v/>
      </c>
      <c r="AI47" s="35" t="str">
        <f t="shared" si="27"/>
        <v/>
      </c>
      <c r="AJ47" s="34" t="str">
        <f>IF($A47="","",SUMIFS(SAL!$H:$H,SAL!$B:$B,$A47,SAL!$O:$O,"Emessa")+SUMIFS(SAL!$H:$H,SAL!$B:$B,$A47,SAL!$O:$O,"Incassata")+SUMIFS(SAL!$H:$H,SAL!$B:$B,$A47,SAL!$O:$O,"Scaduta"))</f>
        <v/>
      </c>
      <c r="AK47" s="34" t="str">
        <f>IF($A47="","",SUMIFS(SAL!$H:$H,SAL!$B:$B,$A47,SAL!$O:$O,"Incassata"))</f>
        <v/>
      </c>
      <c r="AL47" s="34" t="str">
        <f t="shared" si="28"/>
        <v/>
      </c>
      <c r="AM47" s="34" t="str">
        <f t="shared" si="29"/>
        <v/>
      </c>
      <c r="AN47" s="36" t="str">
        <f ca="1">IF($A47="","",IF($M47=0,"RISORSE NON ASSEGNATE",IF($AE47&lt;0.1,"MARGINE CRITICO",IF($S47&lt;-SCONTO_MAX,"SCONTO OLTRE SOGLIA",IF($Z47&gt;0,"ORE OLTRE LA STIMA",IF($AI47&gt;ALLERTA_ORE,"CONSUMO ORE ELEVATO",IF(COUNTIFS(SAL!$B:$B,$A47,SAL!$K:$K,"EMETTIBILE")&gt;0,"SAL DA EMETTERE",IF(COUNTIFS(FASI!$B:$B,$A47,FASI!$H:$H,"&lt;"&amp;TODAY(),FASI!$L:$L,"&lt;1")&gt;0,"FASI IN RITARDO","OK"))))))))</f>
        <v/>
      </c>
    </row>
    <row r="48" spans="1:40" x14ac:dyDescent="0.3">
      <c r="A48" s="42"/>
      <c r="B48" s="42"/>
      <c r="C48" s="42"/>
      <c r="D48" s="42"/>
      <c r="E48" s="42"/>
      <c r="F48" s="42"/>
      <c r="G48" s="43"/>
      <c r="H48" s="43"/>
      <c r="I48" s="42"/>
      <c r="J48" s="44"/>
      <c r="K48" s="46"/>
      <c r="L48" s="34" t="str">
        <f t="shared" si="15"/>
        <v/>
      </c>
      <c r="M48" s="33" t="str">
        <f>IF($A48="","",SUMIFS(ASSEGNAZIONI!$F:$F,ASSEGNAZIONI!$B:$B,$A48))</f>
        <v/>
      </c>
      <c r="N48" s="34" t="str">
        <f>IF($A48="","",SUMIFS(ASSEGNAZIONI!$I:$I,ASSEGNAZIONI!$B:$B,$A48))</f>
        <v/>
      </c>
      <c r="O48" s="34" t="str">
        <f>IF($A48="","",SUMIFS(ASSEGNAZIONI!$J:$J,ASSEGNAZIONI!$B:$B,$A48))</f>
        <v/>
      </c>
      <c r="P48" s="34" t="str">
        <f t="shared" si="16"/>
        <v/>
      </c>
      <c r="Q48" s="44"/>
      <c r="R48" s="34" t="str">
        <f t="shared" si="17"/>
        <v/>
      </c>
      <c r="S48" s="35" t="str">
        <f t="shared" si="18"/>
        <v/>
      </c>
      <c r="T48" s="34" t="str">
        <f>IF($A48="","",SUMIFS(ODA!$R:$R,ODA!$B:$B,$A48))</f>
        <v/>
      </c>
      <c r="U48" s="34" t="str">
        <f>IF($A48="","",SUMIFS(ODA!$P:$P,ODA!$B:$B,$A48))</f>
        <v/>
      </c>
      <c r="V48" s="45" t="str">
        <f t="shared" si="19"/>
        <v/>
      </c>
      <c r="W48" s="33" t="str">
        <f>IF($A48="","",SUMIFS(ORE!$F:$F,ORE!$B:$B,$A48))</f>
        <v/>
      </c>
      <c r="X48" s="33" t="str">
        <f>IF($A48="","",SUMIFS(PREVISIONE_ORE!$G:$G,PREVISIONE_ORE!$D:$D,$A48,PREVISIONE_ORE!$K:$K,"Sì"))</f>
        <v/>
      </c>
      <c r="Y48" s="33" t="str">
        <f>IF($A48="","",IF(COUNTIFS(ASSEGNAZIONI!$B:$B,$A48)&gt;0,SUMIFS(ASSEGNAZIONI!$N:$N,ASSEGNAZIONI!$B:$B,$A48),MAX($W48,0)))</f>
        <v/>
      </c>
      <c r="Z48" s="33" t="str">
        <f t="shared" si="20"/>
        <v/>
      </c>
      <c r="AA48" s="34" t="str">
        <f>IF($A48="","",IF(COUNTIFS(ASSEGNAZIONI!$B:$B,$A48)&gt;0,SUMIFS(ASSEGNAZIONI!$P:$P,ASSEGNAZIONI!$B:$B,$A48),0))</f>
        <v/>
      </c>
      <c r="AB48" s="34" t="str">
        <f t="shared" si="21"/>
        <v/>
      </c>
      <c r="AC48" s="34" t="str">
        <f t="shared" si="22"/>
        <v/>
      </c>
      <c r="AD48" s="34" t="str">
        <f t="shared" si="23"/>
        <v/>
      </c>
      <c r="AE48" s="35" t="str">
        <f t="shared" si="24"/>
        <v/>
      </c>
      <c r="AF48" s="34" t="str">
        <f t="shared" si="25"/>
        <v/>
      </c>
      <c r="AG48" s="34" t="str">
        <f t="shared" si="26"/>
        <v/>
      </c>
      <c r="AH48" s="35" t="str">
        <f>IF($A48="","",IFERROR(AVERAGEIFS(FASI!$L:$L,FASI!$B:$B,$A48),0))</f>
        <v/>
      </c>
      <c r="AI48" s="35" t="str">
        <f t="shared" si="27"/>
        <v/>
      </c>
      <c r="AJ48" s="34" t="str">
        <f>IF($A48="","",SUMIFS(SAL!$H:$H,SAL!$B:$B,$A48,SAL!$O:$O,"Emessa")+SUMIFS(SAL!$H:$H,SAL!$B:$B,$A48,SAL!$O:$O,"Incassata")+SUMIFS(SAL!$H:$H,SAL!$B:$B,$A48,SAL!$O:$O,"Scaduta"))</f>
        <v/>
      </c>
      <c r="AK48" s="34" t="str">
        <f>IF($A48="","",SUMIFS(SAL!$H:$H,SAL!$B:$B,$A48,SAL!$O:$O,"Incassata"))</f>
        <v/>
      </c>
      <c r="AL48" s="34" t="str">
        <f t="shared" si="28"/>
        <v/>
      </c>
      <c r="AM48" s="34" t="str">
        <f t="shared" si="29"/>
        <v/>
      </c>
      <c r="AN48" s="36" t="str">
        <f ca="1">IF($A48="","",IF($M48=0,"RISORSE NON ASSEGNATE",IF($AE48&lt;0.1,"MARGINE CRITICO",IF($S48&lt;-SCONTO_MAX,"SCONTO OLTRE SOGLIA",IF($Z48&gt;0,"ORE OLTRE LA STIMA",IF($AI48&gt;ALLERTA_ORE,"CONSUMO ORE ELEVATO",IF(COUNTIFS(SAL!$B:$B,$A48,SAL!$K:$K,"EMETTIBILE")&gt;0,"SAL DA EMETTERE",IF(COUNTIFS(FASI!$B:$B,$A48,FASI!$H:$H,"&lt;"&amp;TODAY(),FASI!$L:$L,"&lt;1")&gt;0,"FASI IN RITARDO","OK"))))))))</f>
        <v/>
      </c>
    </row>
    <row r="49" spans="1:40" x14ac:dyDescent="0.3">
      <c r="A49" s="42"/>
      <c r="B49" s="42"/>
      <c r="C49" s="42"/>
      <c r="D49" s="42"/>
      <c r="E49" s="42"/>
      <c r="F49" s="42"/>
      <c r="G49" s="43"/>
      <c r="H49" s="43"/>
      <c r="I49" s="42"/>
      <c r="J49" s="44"/>
      <c r="K49" s="46"/>
      <c r="L49" s="34" t="str">
        <f t="shared" si="15"/>
        <v/>
      </c>
      <c r="M49" s="33" t="str">
        <f>IF($A49="","",SUMIFS(ASSEGNAZIONI!$F:$F,ASSEGNAZIONI!$B:$B,$A49))</f>
        <v/>
      </c>
      <c r="N49" s="34" t="str">
        <f>IF($A49="","",SUMIFS(ASSEGNAZIONI!$I:$I,ASSEGNAZIONI!$B:$B,$A49))</f>
        <v/>
      </c>
      <c r="O49" s="34" t="str">
        <f>IF($A49="","",SUMIFS(ASSEGNAZIONI!$J:$J,ASSEGNAZIONI!$B:$B,$A49))</f>
        <v/>
      </c>
      <c r="P49" s="34" t="str">
        <f t="shared" si="16"/>
        <v/>
      </c>
      <c r="Q49" s="44"/>
      <c r="R49" s="34" t="str">
        <f t="shared" si="17"/>
        <v/>
      </c>
      <c r="S49" s="35" t="str">
        <f t="shared" si="18"/>
        <v/>
      </c>
      <c r="T49" s="34" t="str">
        <f>IF($A49="","",SUMIFS(ODA!$R:$R,ODA!$B:$B,$A49))</f>
        <v/>
      </c>
      <c r="U49" s="34" t="str">
        <f>IF($A49="","",SUMIFS(ODA!$P:$P,ODA!$B:$B,$A49))</f>
        <v/>
      </c>
      <c r="V49" s="45" t="str">
        <f t="shared" si="19"/>
        <v/>
      </c>
      <c r="W49" s="33" t="str">
        <f>IF($A49="","",SUMIFS(ORE!$F:$F,ORE!$B:$B,$A49))</f>
        <v/>
      </c>
      <c r="X49" s="33" t="str">
        <f>IF($A49="","",SUMIFS(PREVISIONE_ORE!$G:$G,PREVISIONE_ORE!$D:$D,$A49,PREVISIONE_ORE!$K:$K,"Sì"))</f>
        <v/>
      </c>
      <c r="Y49" s="33" t="str">
        <f>IF($A49="","",IF(COUNTIFS(ASSEGNAZIONI!$B:$B,$A49)&gt;0,SUMIFS(ASSEGNAZIONI!$N:$N,ASSEGNAZIONI!$B:$B,$A49),MAX($W49,0)))</f>
        <v/>
      </c>
      <c r="Z49" s="33" t="str">
        <f t="shared" si="20"/>
        <v/>
      </c>
      <c r="AA49" s="34" t="str">
        <f>IF($A49="","",IF(COUNTIFS(ASSEGNAZIONI!$B:$B,$A49)&gt;0,SUMIFS(ASSEGNAZIONI!$P:$P,ASSEGNAZIONI!$B:$B,$A49),0))</f>
        <v/>
      </c>
      <c r="AB49" s="34" t="str">
        <f t="shared" si="21"/>
        <v/>
      </c>
      <c r="AC49" s="34" t="str">
        <f t="shared" si="22"/>
        <v/>
      </c>
      <c r="AD49" s="34" t="str">
        <f t="shared" si="23"/>
        <v/>
      </c>
      <c r="AE49" s="35" t="str">
        <f t="shared" si="24"/>
        <v/>
      </c>
      <c r="AF49" s="34" t="str">
        <f t="shared" si="25"/>
        <v/>
      </c>
      <c r="AG49" s="34" t="str">
        <f t="shared" si="26"/>
        <v/>
      </c>
      <c r="AH49" s="35" t="str">
        <f>IF($A49="","",IFERROR(AVERAGEIFS(FASI!$L:$L,FASI!$B:$B,$A49),0))</f>
        <v/>
      </c>
      <c r="AI49" s="35" t="str">
        <f t="shared" si="27"/>
        <v/>
      </c>
      <c r="AJ49" s="34" t="str">
        <f>IF($A49="","",SUMIFS(SAL!$H:$H,SAL!$B:$B,$A49,SAL!$O:$O,"Emessa")+SUMIFS(SAL!$H:$H,SAL!$B:$B,$A49,SAL!$O:$O,"Incassata")+SUMIFS(SAL!$H:$H,SAL!$B:$B,$A49,SAL!$O:$O,"Scaduta"))</f>
        <v/>
      </c>
      <c r="AK49" s="34" t="str">
        <f>IF($A49="","",SUMIFS(SAL!$H:$H,SAL!$B:$B,$A49,SAL!$O:$O,"Incassata"))</f>
        <v/>
      </c>
      <c r="AL49" s="34" t="str">
        <f t="shared" si="28"/>
        <v/>
      </c>
      <c r="AM49" s="34" t="str">
        <f t="shared" si="29"/>
        <v/>
      </c>
      <c r="AN49" s="36" t="str">
        <f ca="1">IF($A49="","",IF($M49=0,"RISORSE NON ASSEGNATE",IF($AE49&lt;0.1,"MARGINE CRITICO",IF($S49&lt;-SCONTO_MAX,"SCONTO OLTRE SOGLIA",IF($Z49&gt;0,"ORE OLTRE LA STIMA",IF($AI49&gt;ALLERTA_ORE,"CONSUMO ORE ELEVATO",IF(COUNTIFS(SAL!$B:$B,$A49,SAL!$K:$K,"EMETTIBILE")&gt;0,"SAL DA EMETTERE",IF(COUNTIFS(FASI!$B:$B,$A49,FASI!$H:$H,"&lt;"&amp;TODAY(),FASI!$L:$L,"&lt;1")&gt;0,"FASI IN RITARDO","OK"))))))))</f>
        <v/>
      </c>
    </row>
    <row r="50" spans="1:40" x14ac:dyDescent="0.3">
      <c r="A50" s="42"/>
      <c r="B50" s="42"/>
      <c r="C50" s="42"/>
      <c r="D50" s="42"/>
      <c r="E50" s="42"/>
      <c r="F50" s="42"/>
      <c r="G50" s="43"/>
      <c r="H50" s="43"/>
      <c r="I50" s="42"/>
      <c r="J50" s="44"/>
      <c r="K50" s="46"/>
      <c r="L50" s="34" t="str">
        <f t="shared" si="15"/>
        <v/>
      </c>
      <c r="M50" s="33" t="str">
        <f>IF($A50="","",SUMIFS(ASSEGNAZIONI!$F:$F,ASSEGNAZIONI!$B:$B,$A50))</f>
        <v/>
      </c>
      <c r="N50" s="34" t="str">
        <f>IF($A50="","",SUMIFS(ASSEGNAZIONI!$I:$I,ASSEGNAZIONI!$B:$B,$A50))</f>
        <v/>
      </c>
      <c r="O50" s="34" t="str">
        <f>IF($A50="","",SUMIFS(ASSEGNAZIONI!$J:$J,ASSEGNAZIONI!$B:$B,$A50))</f>
        <v/>
      </c>
      <c r="P50" s="34" t="str">
        <f t="shared" si="16"/>
        <v/>
      </c>
      <c r="Q50" s="44"/>
      <c r="R50" s="34" t="str">
        <f t="shared" si="17"/>
        <v/>
      </c>
      <c r="S50" s="35" t="str">
        <f t="shared" si="18"/>
        <v/>
      </c>
      <c r="T50" s="34" t="str">
        <f>IF($A50="","",SUMIFS(ODA!$R:$R,ODA!$B:$B,$A50))</f>
        <v/>
      </c>
      <c r="U50" s="34" t="str">
        <f>IF($A50="","",SUMIFS(ODA!$P:$P,ODA!$B:$B,$A50))</f>
        <v/>
      </c>
      <c r="V50" s="45" t="str">
        <f t="shared" si="19"/>
        <v/>
      </c>
      <c r="W50" s="33" t="str">
        <f>IF($A50="","",SUMIFS(ORE!$F:$F,ORE!$B:$B,$A50))</f>
        <v/>
      </c>
      <c r="X50" s="33" t="str">
        <f>IF($A50="","",SUMIFS(PREVISIONE_ORE!$G:$G,PREVISIONE_ORE!$D:$D,$A50,PREVISIONE_ORE!$K:$K,"Sì"))</f>
        <v/>
      </c>
      <c r="Y50" s="33" t="str">
        <f>IF($A50="","",IF(COUNTIFS(ASSEGNAZIONI!$B:$B,$A50)&gt;0,SUMIFS(ASSEGNAZIONI!$N:$N,ASSEGNAZIONI!$B:$B,$A50),MAX($W50,0)))</f>
        <v/>
      </c>
      <c r="Z50" s="33" t="str">
        <f t="shared" si="20"/>
        <v/>
      </c>
      <c r="AA50" s="34" t="str">
        <f>IF($A50="","",IF(COUNTIFS(ASSEGNAZIONI!$B:$B,$A50)&gt;0,SUMIFS(ASSEGNAZIONI!$P:$P,ASSEGNAZIONI!$B:$B,$A50),0))</f>
        <v/>
      </c>
      <c r="AB50" s="34" t="str">
        <f t="shared" si="21"/>
        <v/>
      </c>
      <c r="AC50" s="34" t="str">
        <f t="shared" si="22"/>
        <v/>
      </c>
      <c r="AD50" s="34" t="str">
        <f t="shared" si="23"/>
        <v/>
      </c>
      <c r="AE50" s="35" t="str">
        <f t="shared" si="24"/>
        <v/>
      </c>
      <c r="AF50" s="34" t="str">
        <f t="shared" si="25"/>
        <v/>
      </c>
      <c r="AG50" s="34" t="str">
        <f t="shared" si="26"/>
        <v/>
      </c>
      <c r="AH50" s="35" t="str">
        <f>IF($A50="","",IFERROR(AVERAGEIFS(FASI!$L:$L,FASI!$B:$B,$A50),0))</f>
        <v/>
      </c>
      <c r="AI50" s="35" t="str">
        <f t="shared" si="27"/>
        <v/>
      </c>
      <c r="AJ50" s="34" t="str">
        <f>IF($A50="","",SUMIFS(SAL!$H:$H,SAL!$B:$B,$A50,SAL!$O:$O,"Emessa")+SUMIFS(SAL!$H:$H,SAL!$B:$B,$A50,SAL!$O:$O,"Incassata")+SUMIFS(SAL!$H:$H,SAL!$B:$B,$A50,SAL!$O:$O,"Scaduta"))</f>
        <v/>
      </c>
      <c r="AK50" s="34" t="str">
        <f>IF($A50="","",SUMIFS(SAL!$H:$H,SAL!$B:$B,$A50,SAL!$O:$O,"Incassata"))</f>
        <v/>
      </c>
      <c r="AL50" s="34" t="str">
        <f t="shared" si="28"/>
        <v/>
      </c>
      <c r="AM50" s="34" t="str">
        <f t="shared" si="29"/>
        <v/>
      </c>
      <c r="AN50" s="36" t="str">
        <f ca="1">IF($A50="","",IF($M50=0,"RISORSE NON ASSEGNATE",IF($AE50&lt;0.1,"MARGINE CRITICO",IF($S50&lt;-SCONTO_MAX,"SCONTO OLTRE SOGLIA",IF($Z50&gt;0,"ORE OLTRE LA STIMA",IF($AI50&gt;ALLERTA_ORE,"CONSUMO ORE ELEVATO",IF(COUNTIFS(SAL!$B:$B,$A50,SAL!$K:$K,"EMETTIBILE")&gt;0,"SAL DA EMETTERE",IF(COUNTIFS(FASI!$B:$B,$A50,FASI!$H:$H,"&lt;"&amp;TODAY(),FASI!$L:$L,"&lt;1")&gt;0,"FASI IN RITARDO","OK"))))))))</f>
        <v/>
      </c>
    </row>
    <row r="51" spans="1:40" x14ac:dyDescent="0.3">
      <c r="A51" s="42"/>
      <c r="B51" s="42"/>
      <c r="C51" s="42"/>
      <c r="D51" s="42"/>
      <c r="E51" s="42"/>
      <c r="F51" s="42"/>
      <c r="G51" s="43"/>
      <c r="H51" s="43"/>
      <c r="I51" s="42"/>
      <c r="J51" s="44"/>
      <c r="K51" s="46"/>
      <c r="L51" s="34" t="str">
        <f t="shared" si="15"/>
        <v/>
      </c>
      <c r="M51" s="33" t="str">
        <f>IF($A51="","",SUMIFS(ASSEGNAZIONI!$F:$F,ASSEGNAZIONI!$B:$B,$A51))</f>
        <v/>
      </c>
      <c r="N51" s="34" t="str">
        <f>IF($A51="","",SUMIFS(ASSEGNAZIONI!$I:$I,ASSEGNAZIONI!$B:$B,$A51))</f>
        <v/>
      </c>
      <c r="O51" s="34" t="str">
        <f>IF($A51="","",SUMIFS(ASSEGNAZIONI!$J:$J,ASSEGNAZIONI!$B:$B,$A51))</f>
        <v/>
      </c>
      <c r="P51" s="34" t="str">
        <f t="shared" si="16"/>
        <v/>
      </c>
      <c r="Q51" s="44"/>
      <c r="R51" s="34" t="str">
        <f t="shared" si="17"/>
        <v/>
      </c>
      <c r="S51" s="35" t="str">
        <f t="shared" si="18"/>
        <v/>
      </c>
      <c r="T51" s="34" t="str">
        <f>IF($A51="","",SUMIFS(ODA!$R:$R,ODA!$B:$B,$A51))</f>
        <v/>
      </c>
      <c r="U51" s="34" t="str">
        <f>IF($A51="","",SUMIFS(ODA!$P:$P,ODA!$B:$B,$A51))</f>
        <v/>
      </c>
      <c r="V51" s="45" t="str">
        <f t="shared" si="19"/>
        <v/>
      </c>
      <c r="W51" s="33" t="str">
        <f>IF($A51="","",SUMIFS(ORE!$F:$F,ORE!$B:$B,$A51))</f>
        <v/>
      </c>
      <c r="X51" s="33" t="str">
        <f>IF($A51="","",SUMIFS(PREVISIONE_ORE!$G:$G,PREVISIONE_ORE!$D:$D,$A51,PREVISIONE_ORE!$K:$K,"Sì"))</f>
        <v/>
      </c>
      <c r="Y51" s="33" t="str">
        <f>IF($A51="","",IF(COUNTIFS(ASSEGNAZIONI!$B:$B,$A51)&gt;0,SUMIFS(ASSEGNAZIONI!$N:$N,ASSEGNAZIONI!$B:$B,$A51),MAX($W51,0)))</f>
        <v/>
      </c>
      <c r="Z51" s="33" t="str">
        <f t="shared" si="20"/>
        <v/>
      </c>
      <c r="AA51" s="34" t="str">
        <f>IF($A51="","",IF(COUNTIFS(ASSEGNAZIONI!$B:$B,$A51)&gt;0,SUMIFS(ASSEGNAZIONI!$P:$P,ASSEGNAZIONI!$B:$B,$A51),0))</f>
        <v/>
      </c>
      <c r="AB51" s="34" t="str">
        <f t="shared" si="21"/>
        <v/>
      </c>
      <c r="AC51" s="34" t="str">
        <f t="shared" si="22"/>
        <v/>
      </c>
      <c r="AD51" s="34" t="str">
        <f t="shared" si="23"/>
        <v/>
      </c>
      <c r="AE51" s="35" t="str">
        <f t="shared" si="24"/>
        <v/>
      </c>
      <c r="AF51" s="34" t="str">
        <f t="shared" si="25"/>
        <v/>
      </c>
      <c r="AG51" s="34" t="str">
        <f t="shared" si="26"/>
        <v/>
      </c>
      <c r="AH51" s="35" t="str">
        <f>IF($A51="","",IFERROR(AVERAGEIFS(FASI!$L:$L,FASI!$B:$B,$A51),0))</f>
        <v/>
      </c>
      <c r="AI51" s="35" t="str">
        <f t="shared" si="27"/>
        <v/>
      </c>
      <c r="AJ51" s="34" t="str">
        <f>IF($A51="","",SUMIFS(SAL!$H:$H,SAL!$B:$B,$A51,SAL!$O:$O,"Emessa")+SUMIFS(SAL!$H:$H,SAL!$B:$B,$A51,SAL!$O:$O,"Incassata")+SUMIFS(SAL!$H:$H,SAL!$B:$B,$A51,SAL!$O:$O,"Scaduta"))</f>
        <v/>
      </c>
      <c r="AK51" s="34" t="str">
        <f>IF($A51="","",SUMIFS(SAL!$H:$H,SAL!$B:$B,$A51,SAL!$O:$O,"Incassata"))</f>
        <v/>
      </c>
      <c r="AL51" s="34" t="str">
        <f t="shared" si="28"/>
        <v/>
      </c>
      <c r="AM51" s="34" t="str">
        <f t="shared" si="29"/>
        <v/>
      </c>
      <c r="AN51" s="36" t="str">
        <f ca="1">IF($A51="","",IF($M51=0,"RISORSE NON ASSEGNATE",IF($AE51&lt;0.1,"MARGINE CRITICO",IF($S51&lt;-SCONTO_MAX,"SCONTO OLTRE SOGLIA",IF($Z51&gt;0,"ORE OLTRE LA STIMA",IF($AI51&gt;ALLERTA_ORE,"CONSUMO ORE ELEVATO",IF(COUNTIFS(SAL!$B:$B,$A51,SAL!$K:$K,"EMETTIBILE")&gt;0,"SAL DA EMETTERE",IF(COUNTIFS(FASI!$B:$B,$A51,FASI!$H:$H,"&lt;"&amp;TODAY(),FASI!$L:$L,"&lt;1")&gt;0,"FASI IN RITARDO","OK"))))))))</f>
        <v/>
      </c>
    </row>
    <row r="52" spans="1:40" x14ac:dyDescent="0.3">
      <c r="A52" s="42"/>
      <c r="B52" s="42"/>
      <c r="C52" s="42"/>
      <c r="D52" s="42"/>
      <c r="E52" s="42"/>
      <c r="F52" s="42"/>
      <c r="G52" s="43"/>
      <c r="H52" s="43"/>
      <c r="I52" s="42"/>
      <c r="J52" s="44"/>
      <c r="K52" s="46"/>
      <c r="L52" s="34" t="str">
        <f t="shared" si="15"/>
        <v/>
      </c>
      <c r="M52" s="33" t="str">
        <f>IF($A52="","",SUMIFS(ASSEGNAZIONI!$F:$F,ASSEGNAZIONI!$B:$B,$A52))</f>
        <v/>
      </c>
      <c r="N52" s="34" t="str">
        <f>IF($A52="","",SUMIFS(ASSEGNAZIONI!$I:$I,ASSEGNAZIONI!$B:$B,$A52))</f>
        <v/>
      </c>
      <c r="O52" s="34" t="str">
        <f>IF($A52="","",SUMIFS(ASSEGNAZIONI!$J:$J,ASSEGNAZIONI!$B:$B,$A52))</f>
        <v/>
      </c>
      <c r="P52" s="34" t="str">
        <f t="shared" si="16"/>
        <v/>
      </c>
      <c r="Q52" s="44"/>
      <c r="R52" s="34" t="str">
        <f t="shared" si="17"/>
        <v/>
      </c>
      <c r="S52" s="35" t="str">
        <f t="shared" si="18"/>
        <v/>
      </c>
      <c r="T52" s="34" t="str">
        <f>IF($A52="","",SUMIFS(ODA!$R:$R,ODA!$B:$B,$A52))</f>
        <v/>
      </c>
      <c r="U52" s="34" t="str">
        <f>IF($A52="","",SUMIFS(ODA!$P:$P,ODA!$B:$B,$A52))</f>
        <v/>
      </c>
      <c r="V52" s="45" t="str">
        <f t="shared" si="19"/>
        <v/>
      </c>
      <c r="W52" s="33" t="str">
        <f>IF($A52="","",SUMIFS(ORE!$F:$F,ORE!$B:$B,$A52))</f>
        <v/>
      </c>
      <c r="X52" s="33" t="str">
        <f>IF($A52="","",SUMIFS(PREVISIONE_ORE!$G:$G,PREVISIONE_ORE!$D:$D,$A52,PREVISIONE_ORE!$K:$K,"Sì"))</f>
        <v/>
      </c>
      <c r="Y52" s="33" t="str">
        <f>IF($A52="","",IF(COUNTIFS(ASSEGNAZIONI!$B:$B,$A52)&gt;0,SUMIFS(ASSEGNAZIONI!$N:$N,ASSEGNAZIONI!$B:$B,$A52),MAX($W52,0)))</f>
        <v/>
      </c>
      <c r="Z52" s="33" t="str">
        <f t="shared" si="20"/>
        <v/>
      </c>
      <c r="AA52" s="34" t="str">
        <f>IF($A52="","",IF(COUNTIFS(ASSEGNAZIONI!$B:$B,$A52)&gt;0,SUMIFS(ASSEGNAZIONI!$P:$P,ASSEGNAZIONI!$B:$B,$A52),0))</f>
        <v/>
      </c>
      <c r="AB52" s="34" t="str">
        <f t="shared" si="21"/>
        <v/>
      </c>
      <c r="AC52" s="34" t="str">
        <f t="shared" si="22"/>
        <v/>
      </c>
      <c r="AD52" s="34" t="str">
        <f t="shared" si="23"/>
        <v/>
      </c>
      <c r="AE52" s="35" t="str">
        <f t="shared" si="24"/>
        <v/>
      </c>
      <c r="AF52" s="34" t="str">
        <f t="shared" si="25"/>
        <v/>
      </c>
      <c r="AG52" s="34" t="str">
        <f t="shared" si="26"/>
        <v/>
      </c>
      <c r="AH52" s="35" t="str">
        <f>IF($A52="","",IFERROR(AVERAGEIFS(FASI!$L:$L,FASI!$B:$B,$A52),0))</f>
        <v/>
      </c>
      <c r="AI52" s="35" t="str">
        <f t="shared" si="27"/>
        <v/>
      </c>
      <c r="AJ52" s="34" t="str">
        <f>IF($A52="","",SUMIFS(SAL!$H:$H,SAL!$B:$B,$A52,SAL!$O:$O,"Emessa")+SUMIFS(SAL!$H:$H,SAL!$B:$B,$A52,SAL!$O:$O,"Incassata")+SUMIFS(SAL!$H:$H,SAL!$B:$B,$A52,SAL!$O:$O,"Scaduta"))</f>
        <v/>
      </c>
      <c r="AK52" s="34" t="str">
        <f>IF($A52="","",SUMIFS(SAL!$H:$H,SAL!$B:$B,$A52,SAL!$O:$O,"Incassata"))</f>
        <v/>
      </c>
      <c r="AL52" s="34" t="str">
        <f t="shared" si="28"/>
        <v/>
      </c>
      <c r="AM52" s="34" t="str">
        <f t="shared" si="29"/>
        <v/>
      </c>
      <c r="AN52" s="36" t="str">
        <f ca="1">IF($A52="","",IF($M52=0,"RISORSE NON ASSEGNATE",IF($AE52&lt;0.1,"MARGINE CRITICO",IF($S52&lt;-SCONTO_MAX,"SCONTO OLTRE SOGLIA",IF($Z52&gt;0,"ORE OLTRE LA STIMA",IF($AI52&gt;ALLERTA_ORE,"CONSUMO ORE ELEVATO",IF(COUNTIFS(SAL!$B:$B,$A52,SAL!$K:$K,"EMETTIBILE")&gt;0,"SAL DA EMETTERE",IF(COUNTIFS(FASI!$B:$B,$A52,FASI!$H:$H,"&lt;"&amp;TODAY(),FASI!$L:$L,"&lt;1")&gt;0,"FASI IN RITARDO","OK"))))))))</f>
        <v/>
      </c>
    </row>
    <row r="53" spans="1:40" x14ac:dyDescent="0.3">
      <c r="A53" s="42"/>
      <c r="B53" s="42"/>
      <c r="C53" s="42"/>
      <c r="D53" s="42"/>
      <c r="E53" s="42"/>
      <c r="F53" s="42"/>
      <c r="G53" s="43"/>
      <c r="H53" s="43"/>
      <c r="I53" s="42"/>
      <c r="J53" s="44"/>
      <c r="K53" s="46"/>
      <c r="L53" s="34" t="str">
        <f t="shared" si="15"/>
        <v/>
      </c>
      <c r="M53" s="33" t="str">
        <f>IF($A53="","",SUMIFS(ASSEGNAZIONI!$F:$F,ASSEGNAZIONI!$B:$B,$A53))</f>
        <v/>
      </c>
      <c r="N53" s="34" t="str">
        <f>IF($A53="","",SUMIFS(ASSEGNAZIONI!$I:$I,ASSEGNAZIONI!$B:$B,$A53))</f>
        <v/>
      </c>
      <c r="O53" s="34" t="str">
        <f>IF($A53="","",SUMIFS(ASSEGNAZIONI!$J:$J,ASSEGNAZIONI!$B:$B,$A53))</f>
        <v/>
      </c>
      <c r="P53" s="34" t="str">
        <f t="shared" si="16"/>
        <v/>
      </c>
      <c r="Q53" s="44"/>
      <c r="R53" s="34" t="str">
        <f t="shared" si="17"/>
        <v/>
      </c>
      <c r="S53" s="35" t="str">
        <f t="shared" si="18"/>
        <v/>
      </c>
      <c r="T53" s="34" t="str">
        <f>IF($A53="","",SUMIFS(ODA!$R:$R,ODA!$B:$B,$A53))</f>
        <v/>
      </c>
      <c r="U53" s="34" t="str">
        <f>IF($A53="","",SUMIFS(ODA!$P:$P,ODA!$B:$B,$A53))</f>
        <v/>
      </c>
      <c r="V53" s="45" t="str">
        <f t="shared" si="19"/>
        <v/>
      </c>
      <c r="W53" s="33" t="str">
        <f>IF($A53="","",SUMIFS(ORE!$F:$F,ORE!$B:$B,$A53))</f>
        <v/>
      </c>
      <c r="X53" s="33" t="str">
        <f>IF($A53="","",SUMIFS(PREVISIONE_ORE!$G:$G,PREVISIONE_ORE!$D:$D,$A53,PREVISIONE_ORE!$K:$K,"Sì"))</f>
        <v/>
      </c>
      <c r="Y53" s="33" t="str">
        <f>IF($A53="","",IF(COUNTIFS(ASSEGNAZIONI!$B:$B,$A53)&gt;0,SUMIFS(ASSEGNAZIONI!$N:$N,ASSEGNAZIONI!$B:$B,$A53),MAX($W53,0)))</f>
        <v/>
      </c>
      <c r="Z53" s="33" t="str">
        <f t="shared" si="20"/>
        <v/>
      </c>
      <c r="AA53" s="34" t="str">
        <f>IF($A53="","",IF(COUNTIFS(ASSEGNAZIONI!$B:$B,$A53)&gt;0,SUMIFS(ASSEGNAZIONI!$P:$P,ASSEGNAZIONI!$B:$B,$A53),0))</f>
        <v/>
      </c>
      <c r="AB53" s="34" t="str">
        <f t="shared" si="21"/>
        <v/>
      </c>
      <c r="AC53" s="34" t="str">
        <f t="shared" si="22"/>
        <v/>
      </c>
      <c r="AD53" s="34" t="str">
        <f t="shared" si="23"/>
        <v/>
      </c>
      <c r="AE53" s="35" t="str">
        <f t="shared" si="24"/>
        <v/>
      </c>
      <c r="AF53" s="34" t="str">
        <f t="shared" si="25"/>
        <v/>
      </c>
      <c r="AG53" s="34" t="str">
        <f t="shared" si="26"/>
        <v/>
      </c>
      <c r="AH53" s="35" t="str">
        <f>IF($A53="","",IFERROR(AVERAGEIFS(FASI!$L:$L,FASI!$B:$B,$A53),0))</f>
        <v/>
      </c>
      <c r="AI53" s="35" t="str">
        <f t="shared" si="27"/>
        <v/>
      </c>
      <c r="AJ53" s="34" t="str">
        <f>IF($A53="","",SUMIFS(SAL!$H:$H,SAL!$B:$B,$A53,SAL!$O:$O,"Emessa")+SUMIFS(SAL!$H:$H,SAL!$B:$B,$A53,SAL!$O:$O,"Incassata")+SUMIFS(SAL!$H:$H,SAL!$B:$B,$A53,SAL!$O:$O,"Scaduta"))</f>
        <v/>
      </c>
      <c r="AK53" s="34" t="str">
        <f>IF($A53="","",SUMIFS(SAL!$H:$H,SAL!$B:$B,$A53,SAL!$O:$O,"Incassata"))</f>
        <v/>
      </c>
      <c r="AL53" s="34" t="str">
        <f t="shared" si="28"/>
        <v/>
      </c>
      <c r="AM53" s="34" t="str">
        <f t="shared" si="29"/>
        <v/>
      </c>
      <c r="AN53" s="36" t="str">
        <f ca="1">IF($A53="","",IF($M53=0,"RISORSE NON ASSEGNATE",IF($AE53&lt;0.1,"MARGINE CRITICO",IF($S53&lt;-SCONTO_MAX,"SCONTO OLTRE SOGLIA",IF($Z53&gt;0,"ORE OLTRE LA STIMA",IF($AI53&gt;ALLERTA_ORE,"CONSUMO ORE ELEVATO",IF(COUNTIFS(SAL!$B:$B,$A53,SAL!$K:$K,"EMETTIBILE")&gt;0,"SAL DA EMETTERE",IF(COUNTIFS(FASI!$B:$B,$A53,FASI!$H:$H,"&lt;"&amp;TODAY(),FASI!$L:$L,"&lt;1")&gt;0,"FASI IN RITARDO","OK"))))))))</f>
        <v/>
      </c>
    </row>
    <row r="54" spans="1:40" x14ac:dyDescent="0.3">
      <c r="A54" s="42"/>
      <c r="B54" s="42"/>
      <c r="C54" s="42"/>
      <c r="D54" s="42"/>
      <c r="E54" s="42"/>
      <c r="F54" s="42"/>
      <c r="G54" s="43"/>
      <c r="H54" s="43"/>
      <c r="I54" s="42"/>
      <c r="J54" s="44"/>
      <c r="K54" s="46"/>
      <c r="L54" s="34" t="str">
        <f t="shared" si="15"/>
        <v/>
      </c>
      <c r="M54" s="33" t="str">
        <f>IF($A54="","",SUMIFS(ASSEGNAZIONI!$F:$F,ASSEGNAZIONI!$B:$B,$A54))</f>
        <v/>
      </c>
      <c r="N54" s="34" t="str">
        <f>IF($A54="","",SUMIFS(ASSEGNAZIONI!$I:$I,ASSEGNAZIONI!$B:$B,$A54))</f>
        <v/>
      </c>
      <c r="O54" s="34" t="str">
        <f>IF($A54="","",SUMIFS(ASSEGNAZIONI!$J:$J,ASSEGNAZIONI!$B:$B,$A54))</f>
        <v/>
      </c>
      <c r="P54" s="34" t="str">
        <f t="shared" si="16"/>
        <v/>
      </c>
      <c r="Q54" s="44"/>
      <c r="R54" s="34" t="str">
        <f t="shared" si="17"/>
        <v/>
      </c>
      <c r="S54" s="35" t="str">
        <f t="shared" si="18"/>
        <v/>
      </c>
      <c r="T54" s="34" t="str">
        <f>IF($A54="","",SUMIFS(ODA!$R:$R,ODA!$B:$B,$A54))</f>
        <v/>
      </c>
      <c r="U54" s="34" t="str">
        <f>IF($A54="","",SUMIFS(ODA!$P:$P,ODA!$B:$B,$A54))</f>
        <v/>
      </c>
      <c r="V54" s="45" t="str">
        <f t="shared" si="19"/>
        <v/>
      </c>
      <c r="W54" s="33" t="str">
        <f>IF($A54="","",SUMIFS(ORE!$F:$F,ORE!$B:$B,$A54))</f>
        <v/>
      </c>
      <c r="X54" s="33" t="str">
        <f>IF($A54="","",SUMIFS(PREVISIONE_ORE!$G:$G,PREVISIONE_ORE!$D:$D,$A54,PREVISIONE_ORE!$K:$K,"Sì"))</f>
        <v/>
      </c>
      <c r="Y54" s="33" t="str">
        <f>IF($A54="","",IF(COUNTIFS(ASSEGNAZIONI!$B:$B,$A54)&gt;0,SUMIFS(ASSEGNAZIONI!$N:$N,ASSEGNAZIONI!$B:$B,$A54),MAX($W54,0)))</f>
        <v/>
      </c>
      <c r="Z54" s="33" t="str">
        <f t="shared" si="20"/>
        <v/>
      </c>
      <c r="AA54" s="34" t="str">
        <f>IF($A54="","",IF(COUNTIFS(ASSEGNAZIONI!$B:$B,$A54)&gt;0,SUMIFS(ASSEGNAZIONI!$P:$P,ASSEGNAZIONI!$B:$B,$A54),0))</f>
        <v/>
      </c>
      <c r="AB54" s="34" t="str">
        <f t="shared" si="21"/>
        <v/>
      </c>
      <c r="AC54" s="34" t="str">
        <f t="shared" si="22"/>
        <v/>
      </c>
      <c r="AD54" s="34" t="str">
        <f t="shared" si="23"/>
        <v/>
      </c>
      <c r="AE54" s="35" t="str">
        <f t="shared" si="24"/>
        <v/>
      </c>
      <c r="AF54" s="34" t="str">
        <f t="shared" si="25"/>
        <v/>
      </c>
      <c r="AG54" s="34" t="str">
        <f t="shared" si="26"/>
        <v/>
      </c>
      <c r="AH54" s="35" t="str">
        <f>IF($A54="","",IFERROR(AVERAGEIFS(FASI!$L:$L,FASI!$B:$B,$A54),0))</f>
        <v/>
      </c>
      <c r="AI54" s="35" t="str">
        <f t="shared" si="27"/>
        <v/>
      </c>
      <c r="AJ54" s="34" t="str">
        <f>IF($A54="","",SUMIFS(SAL!$H:$H,SAL!$B:$B,$A54,SAL!$O:$O,"Emessa")+SUMIFS(SAL!$H:$H,SAL!$B:$B,$A54,SAL!$O:$O,"Incassata")+SUMIFS(SAL!$H:$H,SAL!$B:$B,$A54,SAL!$O:$O,"Scaduta"))</f>
        <v/>
      </c>
      <c r="AK54" s="34" t="str">
        <f>IF($A54="","",SUMIFS(SAL!$H:$H,SAL!$B:$B,$A54,SAL!$O:$O,"Incassata"))</f>
        <v/>
      </c>
      <c r="AL54" s="34" t="str">
        <f t="shared" si="28"/>
        <v/>
      </c>
      <c r="AM54" s="34" t="str">
        <f t="shared" si="29"/>
        <v/>
      </c>
      <c r="AN54" s="36" t="str">
        <f ca="1">IF($A54="","",IF($M54=0,"RISORSE NON ASSEGNATE",IF($AE54&lt;0.1,"MARGINE CRITICO",IF($S54&lt;-SCONTO_MAX,"SCONTO OLTRE SOGLIA",IF($Z54&gt;0,"ORE OLTRE LA STIMA",IF($AI54&gt;ALLERTA_ORE,"CONSUMO ORE ELEVATO",IF(COUNTIFS(SAL!$B:$B,$A54,SAL!$K:$K,"EMETTIBILE")&gt;0,"SAL DA EMETTERE",IF(COUNTIFS(FASI!$B:$B,$A54,FASI!$H:$H,"&lt;"&amp;TODAY(),FASI!$L:$L,"&lt;1")&gt;0,"FASI IN RITARDO","OK"))))))))</f>
        <v/>
      </c>
    </row>
    <row r="55" spans="1:40" x14ac:dyDescent="0.3">
      <c r="A55" s="42"/>
      <c r="B55" s="42"/>
      <c r="C55" s="42"/>
      <c r="D55" s="42"/>
      <c r="E55" s="42"/>
      <c r="F55" s="42"/>
      <c r="G55" s="43"/>
      <c r="H55" s="43"/>
      <c r="I55" s="42"/>
      <c r="J55" s="44"/>
      <c r="K55" s="46"/>
      <c r="L55" s="34" t="str">
        <f t="shared" si="15"/>
        <v/>
      </c>
      <c r="M55" s="33" t="str">
        <f>IF($A55="","",SUMIFS(ASSEGNAZIONI!$F:$F,ASSEGNAZIONI!$B:$B,$A55))</f>
        <v/>
      </c>
      <c r="N55" s="34" t="str">
        <f>IF($A55="","",SUMIFS(ASSEGNAZIONI!$I:$I,ASSEGNAZIONI!$B:$B,$A55))</f>
        <v/>
      </c>
      <c r="O55" s="34" t="str">
        <f>IF($A55="","",SUMIFS(ASSEGNAZIONI!$J:$J,ASSEGNAZIONI!$B:$B,$A55))</f>
        <v/>
      </c>
      <c r="P55" s="34" t="str">
        <f t="shared" si="16"/>
        <v/>
      </c>
      <c r="Q55" s="44"/>
      <c r="R55" s="34" t="str">
        <f t="shared" si="17"/>
        <v/>
      </c>
      <c r="S55" s="35" t="str">
        <f t="shared" si="18"/>
        <v/>
      </c>
      <c r="T55" s="34" t="str">
        <f>IF($A55="","",SUMIFS(ODA!$R:$R,ODA!$B:$B,$A55))</f>
        <v/>
      </c>
      <c r="U55" s="34" t="str">
        <f>IF($A55="","",SUMIFS(ODA!$P:$P,ODA!$B:$B,$A55))</f>
        <v/>
      </c>
      <c r="V55" s="45" t="str">
        <f t="shared" si="19"/>
        <v/>
      </c>
      <c r="W55" s="33" t="str">
        <f>IF($A55="","",SUMIFS(ORE!$F:$F,ORE!$B:$B,$A55))</f>
        <v/>
      </c>
      <c r="X55" s="33" t="str">
        <f>IF($A55="","",SUMIFS(PREVISIONE_ORE!$G:$G,PREVISIONE_ORE!$D:$D,$A55,PREVISIONE_ORE!$K:$K,"Sì"))</f>
        <v/>
      </c>
      <c r="Y55" s="33" t="str">
        <f>IF($A55="","",IF(COUNTIFS(ASSEGNAZIONI!$B:$B,$A55)&gt;0,SUMIFS(ASSEGNAZIONI!$N:$N,ASSEGNAZIONI!$B:$B,$A55),MAX($W55,0)))</f>
        <v/>
      </c>
      <c r="Z55" s="33" t="str">
        <f t="shared" si="20"/>
        <v/>
      </c>
      <c r="AA55" s="34" t="str">
        <f>IF($A55="","",IF(COUNTIFS(ASSEGNAZIONI!$B:$B,$A55)&gt;0,SUMIFS(ASSEGNAZIONI!$P:$P,ASSEGNAZIONI!$B:$B,$A55),0))</f>
        <v/>
      </c>
      <c r="AB55" s="34" t="str">
        <f t="shared" si="21"/>
        <v/>
      </c>
      <c r="AC55" s="34" t="str">
        <f t="shared" si="22"/>
        <v/>
      </c>
      <c r="AD55" s="34" t="str">
        <f t="shared" si="23"/>
        <v/>
      </c>
      <c r="AE55" s="35" t="str">
        <f t="shared" si="24"/>
        <v/>
      </c>
      <c r="AF55" s="34" t="str">
        <f t="shared" si="25"/>
        <v/>
      </c>
      <c r="AG55" s="34" t="str">
        <f t="shared" si="26"/>
        <v/>
      </c>
      <c r="AH55" s="35" t="str">
        <f>IF($A55="","",IFERROR(AVERAGEIFS(FASI!$L:$L,FASI!$B:$B,$A55),0))</f>
        <v/>
      </c>
      <c r="AI55" s="35" t="str">
        <f t="shared" si="27"/>
        <v/>
      </c>
      <c r="AJ55" s="34" t="str">
        <f>IF($A55="","",SUMIFS(SAL!$H:$H,SAL!$B:$B,$A55,SAL!$O:$O,"Emessa")+SUMIFS(SAL!$H:$H,SAL!$B:$B,$A55,SAL!$O:$O,"Incassata")+SUMIFS(SAL!$H:$H,SAL!$B:$B,$A55,SAL!$O:$O,"Scaduta"))</f>
        <v/>
      </c>
      <c r="AK55" s="34" t="str">
        <f>IF($A55="","",SUMIFS(SAL!$H:$H,SAL!$B:$B,$A55,SAL!$O:$O,"Incassata"))</f>
        <v/>
      </c>
      <c r="AL55" s="34" t="str">
        <f t="shared" si="28"/>
        <v/>
      </c>
      <c r="AM55" s="34" t="str">
        <f t="shared" si="29"/>
        <v/>
      </c>
      <c r="AN55" s="36" t="str">
        <f ca="1">IF($A55="","",IF($M55=0,"RISORSE NON ASSEGNATE",IF($AE55&lt;0.1,"MARGINE CRITICO",IF($S55&lt;-SCONTO_MAX,"SCONTO OLTRE SOGLIA",IF($Z55&gt;0,"ORE OLTRE LA STIMA",IF($AI55&gt;ALLERTA_ORE,"CONSUMO ORE ELEVATO",IF(COUNTIFS(SAL!$B:$B,$A55,SAL!$K:$K,"EMETTIBILE")&gt;0,"SAL DA EMETTERE",IF(COUNTIFS(FASI!$B:$B,$A55,FASI!$H:$H,"&lt;"&amp;TODAY(),FASI!$L:$L,"&lt;1")&gt;0,"FASI IN RITARDO","OK"))))))))</f>
        <v/>
      </c>
    </row>
    <row r="56" spans="1:40" x14ac:dyDescent="0.3">
      <c r="A56" s="42"/>
      <c r="B56" s="42"/>
      <c r="C56" s="42"/>
      <c r="D56" s="42"/>
      <c r="E56" s="42"/>
      <c r="F56" s="42"/>
      <c r="G56" s="43"/>
      <c r="H56" s="43"/>
      <c r="I56" s="42"/>
      <c r="J56" s="44"/>
      <c r="K56" s="46"/>
      <c r="L56" s="34" t="str">
        <f t="shared" si="15"/>
        <v/>
      </c>
      <c r="M56" s="33" t="str">
        <f>IF($A56="","",SUMIFS(ASSEGNAZIONI!$F:$F,ASSEGNAZIONI!$B:$B,$A56))</f>
        <v/>
      </c>
      <c r="N56" s="34" t="str">
        <f>IF($A56="","",SUMIFS(ASSEGNAZIONI!$I:$I,ASSEGNAZIONI!$B:$B,$A56))</f>
        <v/>
      </c>
      <c r="O56" s="34" t="str">
        <f>IF($A56="","",SUMIFS(ASSEGNAZIONI!$J:$J,ASSEGNAZIONI!$B:$B,$A56))</f>
        <v/>
      </c>
      <c r="P56" s="34" t="str">
        <f t="shared" si="16"/>
        <v/>
      </c>
      <c r="Q56" s="44"/>
      <c r="R56" s="34" t="str">
        <f t="shared" si="17"/>
        <v/>
      </c>
      <c r="S56" s="35" t="str">
        <f t="shared" si="18"/>
        <v/>
      </c>
      <c r="T56" s="34" t="str">
        <f>IF($A56="","",SUMIFS(ODA!$R:$R,ODA!$B:$B,$A56))</f>
        <v/>
      </c>
      <c r="U56" s="34" t="str">
        <f>IF($A56="","",SUMIFS(ODA!$P:$P,ODA!$B:$B,$A56))</f>
        <v/>
      </c>
      <c r="V56" s="45" t="str">
        <f t="shared" si="19"/>
        <v/>
      </c>
      <c r="W56" s="33" t="str">
        <f>IF($A56="","",SUMIFS(ORE!$F:$F,ORE!$B:$B,$A56))</f>
        <v/>
      </c>
      <c r="X56" s="33" t="str">
        <f>IF($A56="","",SUMIFS(PREVISIONE_ORE!$G:$G,PREVISIONE_ORE!$D:$D,$A56,PREVISIONE_ORE!$K:$K,"Sì"))</f>
        <v/>
      </c>
      <c r="Y56" s="33" t="str">
        <f>IF($A56="","",IF(COUNTIFS(ASSEGNAZIONI!$B:$B,$A56)&gt;0,SUMIFS(ASSEGNAZIONI!$N:$N,ASSEGNAZIONI!$B:$B,$A56),MAX($W56,0)))</f>
        <v/>
      </c>
      <c r="Z56" s="33" t="str">
        <f t="shared" si="20"/>
        <v/>
      </c>
      <c r="AA56" s="34" t="str">
        <f>IF($A56="","",IF(COUNTIFS(ASSEGNAZIONI!$B:$B,$A56)&gt;0,SUMIFS(ASSEGNAZIONI!$P:$P,ASSEGNAZIONI!$B:$B,$A56),0))</f>
        <v/>
      </c>
      <c r="AB56" s="34" t="str">
        <f t="shared" si="21"/>
        <v/>
      </c>
      <c r="AC56" s="34" t="str">
        <f t="shared" si="22"/>
        <v/>
      </c>
      <c r="AD56" s="34" t="str">
        <f t="shared" si="23"/>
        <v/>
      </c>
      <c r="AE56" s="35" t="str">
        <f t="shared" si="24"/>
        <v/>
      </c>
      <c r="AF56" s="34" t="str">
        <f t="shared" si="25"/>
        <v/>
      </c>
      <c r="AG56" s="34" t="str">
        <f t="shared" si="26"/>
        <v/>
      </c>
      <c r="AH56" s="35" t="str">
        <f>IF($A56="","",IFERROR(AVERAGEIFS(FASI!$L:$L,FASI!$B:$B,$A56),0))</f>
        <v/>
      </c>
      <c r="AI56" s="35" t="str">
        <f t="shared" si="27"/>
        <v/>
      </c>
      <c r="AJ56" s="34" t="str">
        <f>IF($A56="","",SUMIFS(SAL!$H:$H,SAL!$B:$B,$A56,SAL!$O:$O,"Emessa")+SUMIFS(SAL!$H:$H,SAL!$B:$B,$A56,SAL!$O:$O,"Incassata")+SUMIFS(SAL!$H:$H,SAL!$B:$B,$A56,SAL!$O:$O,"Scaduta"))</f>
        <v/>
      </c>
      <c r="AK56" s="34" t="str">
        <f>IF($A56="","",SUMIFS(SAL!$H:$H,SAL!$B:$B,$A56,SAL!$O:$O,"Incassata"))</f>
        <v/>
      </c>
      <c r="AL56" s="34" t="str">
        <f t="shared" si="28"/>
        <v/>
      </c>
      <c r="AM56" s="34" t="str">
        <f t="shared" si="29"/>
        <v/>
      </c>
      <c r="AN56" s="36" t="str">
        <f ca="1">IF($A56="","",IF($M56=0,"RISORSE NON ASSEGNATE",IF($AE56&lt;0.1,"MARGINE CRITICO",IF($S56&lt;-SCONTO_MAX,"SCONTO OLTRE SOGLIA",IF($Z56&gt;0,"ORE OLTRE LA STIMA",IF($AI56&gt;ALLERTA_ORE,"CONSUMO ORE ELEVATO",IF(COUNTIFS(SAL!$B:$B,$A56,SAL!$K:$K,"EMETTIBILE")&gt;0,"SAL DA EMETTERE",IF(COUNTIFS(FASI!$B:$B,$A56,FASI!$H:$H,"&lt;"&amp;TODAY(),FASI!$L:$L,"&lt;1")&gt;0,"FASI IN RITARDO","OK"))))))))</f>
        <v/>
      </c>
    </row>
    <row r="57" spans="1:40" x14ac:dyDescent="0.3">
      <c r="A57" s="42"/>
      <c r="B57" s="42"/>
      <c r="C57" s="42"/>
      <c r="D57" s="42"/>
      <c r="E57" s="42"/>
      <c r="F57" s="42"/>
      <c r="G57" s="43"/>
      <c r="H57" s="43"/>
      <c r="I57" s="42"/>
      <c r="J57" s="44"/>
      <c r="K57" s="46"/>
      <c r="L57" s="34" t="str">
        <f t="shared" si="15"/>
        <v/>
      </c>
      <c r="M57" s="33" t="str">
        <f>IF($A57="","",SUMIFS(ASSEGNAZIONI!$F:$F,ASSEGNAZIONI!$B:$B,$A57))</f>
        <v/>
      </c>
      <c r="N57" s="34" t="str">
        <f>IF($A57="","",SUMIFS(ASSEGNAZIONI!$I:$I,ASSEGNAZIONI!$B:$B,$A57))</f>
        <v/>
      </c>
      <c r="O57" s="34" t="str">
        <f>IF($A57="","",SUMIFS(ASSEGNAZIONI!$J:$J,ASSEGNAZIONI!$B:$B,$A57))</f>
        <v/>
      </c>
      <c r="P57" s="34" t="str">
        <f t="shared" si="16"/>
        <v/>
      </c>
      <c r="Q57" s="44"/>
      <c r="R57" s="34" t="str">
        <f t="shared" si="17"/>
        <v/>
      </c>
      <c r="S57" s="35" t="str">
        <f t="shared" si="18"/>
        <v/>
      </c>
      <c r="T57" s="34" t="str">
        <f>IF($A57="","",SUMIFS(ODA!$R:$R,ODA!$B:$B,$A57))</f>
        <v/>
      </c>
      <c r="U57" s="34" t="str">
        <f>IF($A57="","",SUMIFS(ODA!$P:$P,ODA!$B:$B,$A57))</f>
        <v/>
      </c>
      <c r="V57" s="45" t="str">
        <f t="shared" si="19"/>
        <v/>
      </c>
      <c r="W57" s="33" t="str">
        <f>IF($A57="","",SUMIFS(ORE!$F:$F,ORE!$B:$B,$A57))</f>
        <v/>
      </c>
      <c r="X57" s="33" t="str">
        <f>IF($A57="","",SUMIFS(PREVISIONE_ORE!$G:$G,PREVISIONE_ORE!$D:$D,$A57,PREVISIONE_ORE!$K:$K,"Sì"))</f>
        <v/>
      </c>
      <c r="Y57" s="33" t="str">
        <f>IF($A57="","",IF(COUNTIFS(ASSEGNAZIONI!$B:$B,$A57)&gt;0,SUMIFS(ASSEGNAZIONI!$N:$N,ASSEGNAZIONI!$B:$B,$A57),MAX($W57,0)))</f>
        <v/>
      </c>
      <c r="Z57" s="33" t="str">
        <f t="shared" si="20"/>
        <v/>
      </c>
      <c r="AA57" s="34" t="str">
        <f>IF($A57="","",IF(COUNTIFS(ASSEGNAZIONI!$B:$B,$A57)&gt;0,SUMIFS(ASSEGNAZIONI!$P:$P,ASSEGNAZIONI!$B:$B,$A57),0))</f>
        <v/>
      </c>
      <c r="AB57" s="34" t="str">
        <f t="shared" si="21"/>
        <v/>
      </c>
      <c r="AC57" s="34" t="str">
        <f t="shared" si="22"/>
        <v/>
      </c>
      <c r="AD57" s="34" t="str">
        <f t="shared" si="23"/>
        <v/>
      </c>
      <c r="AE57" s="35" t="str">
        <f t="shared" si="24"/>
        <v/>
      </c>
      <c r="AF57" s="34" t="str">
        <f t="shared" si="25"/>
        <v/>
      </c>
      <c r="AG57" s="34" t="str">
        <f t="shared" si="26"/>
        <v/>
      </c>
      <c r="AH57" s="35" t="str">
        <f>IF($A57="","",IFERROR(AVERAGEIFS(FASI!$L:$L,FASI!$B:$B,$A57),0))</f>
        <v/>
      </c>
      <c r="AI57" s="35" t="str">
        <f t="shared" si="27"/>
        <v/>
      </c>
      <c r="AJ57" s="34" t="str">
        <f>IF($A57="","",SUMIFS(SAL!$H:$H,SAL!$B:$B,$A57,SAL!$O:$O,"Emessa")+SUMIFS(SAL!$H:$H,SAL!$B:$B,$A57,SAL!$O:$O,"Incassata")+SUMIFS(SAL!$H:$H,SAL!$B:$B,$A57,SAL!$O:$O,"Scaduta"))</f>
        <v/>
      </c>
      <c r="AK57" s="34" t="str">
        <f>IF($A57="","",SUMIFS(SAL!$H:$H,SAL!$B:$B,$A57,SAL!$O:$O,"Incassata"))</f>
        <v/>
      </c>
      <c r="AL57" s="34" t="str">
        <f t="shared" si="28"/>
        <v/>
      </c>
      <c r="AM57" s="34" t="str">
        <f t="shared" si="29"/>
        <v/>
      </c>
      <c r="AN57" s="36" t="str">
        <f ca="1">IF($A57="","",IF($M57=0,"RISORSE NON ASSEGNATE",IF($AE57&lt;0.1,"MARGINE CRITICO",IF($S57&lt;-SCONTO_MAX,"SCONTO OLTRE SOGLIA",IF($Z57&gt;0,"ORE OLTRE LA STIMA",IF($AI57&gt;ALLERTA_ORE,"CONSUMO ORE ELEVATO",IF(COUNTIFS(SAL!$B:$B,$A57,SAL!$K:$K,"EMETTIBILE")&gt;0,"SAL DA EMETTERE",IF(COUNTIFS(FASI!$B:$B,$A57,FASI!$H:$H,"&lt;"&amp;TODAY(),FASI!$L:$L,"&lt;1")&gt;0,"FASI IN RITARDO","OK"))))))))</f>
        <v/>
      </c>
    </row>
    <row r="58" spans="1:40" x14ac:dyDescent="0.3">
      <c r="A58" s="42"/>
      <c r="B58" s="42"/>
      <c r="C58" s="42"/>
      <c r="D58" s="42"/>
      <c r="E58" s="42"/>
      <c r="F58" s="42"/>
      <c r="G58" s="43"/>
      <c r="H58" s="43"/>
      <c r="I58" s="42"/>
      <c r="J58" s="44"/>
      <c r="K58" s="46"/>
      <c r="L58" s="34" t="str">
        <f t="shared" si="15"/>
        <v/>
      </c>
      <c r="M58" s="33" t="str">
        <f>IF($A58="","",SUMIFS(ASSEGNAZIONI!$F:$F,ASSEGNAZIONI!$B:$B,$A58))</f>
        <v/>
      </c>
      <c r="N58" s="34" t="str">
        <f>IF($A58="","",SUMIFS(ASSEGNAZIONI!$I:$I,ASSEGNAZIONI!$B:$B,$A58))</f>
        <v/>
      </c>
      <c r="O58" s="34" t="str">
        <f>IF($A58="","",SUMIFS(ASSEGNAZIONI!$J:$J,ASSEGNAZIONI!$B:$B,$A58))</f>
        <v/>
      </c>
      <c r="P58" s="34" t="str">
        <f t="shared" si="16"/>
        <v/>
      </c>
      <c r="Q58" s="44"/>
      <c r="R58" s="34" t="str">
        <f t="shared" si="17"/>
        <v/>
      </c>
      <c r="S58" s="35" t="str">
        <f t="shared" si="18"/>
        <v/>
      </c>
      <c r="T58" s="34" t="str">
        <f>IF($A58="","",SUMIFS(ODA!$R:$R,ODA!$B:$B,$A58))</f>
        <v/>
      </c>
      <c r="U58" s="34" t="str">
        <f>IF($A58="","",SUMIFS(ODA!$P:$P,ODA!$B:$B,$A58))</f>
        <v/>
      </c>
      <c r="V58" s="45" t="str">
        <f t="shared" si="19"/>
        <v/>
      </c>
      <c r="W58" s="33" t="str">
        <f>IF($A58="","",SUMIFS(ORE!$F:$F,ORE!$B:$B,$A58))</f>
        <v/>
      </c>
      <c r="X58" s="33" t="str">
        <f>IF($A58="","",SUMIFS(PREVISIONE_ORE!$G:$G,PREVISIONE_ORE!$D:$D,$A58,PREVISIONE_ORE!$K:$K,"Sì"))</f>
        <v/>
      </c>
      <c r="Y58" s="33" t="str">
        <f>IF($A58="","",IF(COUNTIFS(ASSEGNAZIONI!$B:$B,$A58)&gt;0,SUMIFS(ASSEGNAZIONI!$N:$N,ASSEGNAZIONI!$B:$B,$A58),MAX($W58,0)))</f>
        <v/>
      </c>
      <c r="Z58" s="33" t="str">
        <f t="shared" si="20"/>
        <v/>
      </c>
      <c r="AA58" s="34" t="str">
        <f>IF($A58="","",IF(COUNTIFS(ASSEGNAZIONI!$B:$B,$A58)&gt;0,SUMIFS(ASSEGNAZIONI!$P:$P,ASSEGNAZIONI!$B:$B,$A58),0))</f>
        <v/>
      </c>
      <c r="AB58" s="34" t="str">
        <f t="shared" si="21"/>
        <v/>
      </c>
      <c r="AC58" s="34" t="str">
        <f t="shared" si="22"/>
        <v/>
      </c>
      <c r="AD58" s="34" t="str">
        <f t="shared" si="23"/>
        <v/>
      </c>
      <c r="AE58" s="35" t="str">
        <f t="shared" si="24"/>
        <v/>
      </c>
      <c r="AF58" s="34" t="str">
        <f t="shared" si="25"/>
        <v/>
      </c>
      <c r="AG58" s="34" t="str">
        <f t="shared" si="26"/>
        <v/>
      </c>
      <c r="AH58" s="35" t="str">
        <f>IF($A58="","",IFERROR(AVERAGEIFS(FASI!$L:$L,FASI!$B:$B,$A58),0))</f>
        <v/>
      </c>
      <c r="AI58" s="35" t="str">
        <f t="shared" si="27"/>
        <v/>
      </c>
      <c r="AJ58" s="34" t="str">
        <f>IF($A58="","",SUMIFS(SAL!$H:$H,SAL!$B:$B,$A58,SAL!$O:$O,"Emessa")+SUMIFS(SAL!$H:$H,SAL!$B:$B,$A58,SAL!$O:$O,"Incassata")+SUMIFS(SAL!$H:$H,SAL!$B:$B,$A58,SAL!$O:$O,"Scaduta"))</f>
        <v/>
      </c>
      <c r="AK58" s="34" t="str">
        <f>IF($A58="","",SUMIFS(SAL!$H:$H,SAL!$B:$B,$A58,SAL!$O:$O,"Incassata"))</f>
        <v/>
      </c>
      <c r="AL58" s="34" t="str">
        <f t="shared" si="28"/>
        <v/>
      </c>
      <c r="AM58" s="34" t="str">
        <f t="shared" si="29"/>
        <v/>
      </c>
      <c r="AN58" s="36" t="str">
        <f ca="1">IF($A58="","",IF($M58=0,"RISORSE NON ASSEGNATE",IF($AE58&lt;0.1,"MARGINE CRITICO",IF($S58&lt;-SCONTO_MAX,"SCONTO OLTRE SOGLIA",IF($Z58&gt;0,"ORE OLTRE LA STIMA",IF($AI58&gt;ALLERTA_ORE,"CONSUMO ORE ELEVATO",IF(COUNTIFS(SAL!$B:$B,$A58,SAL!$K:$K,"EMETTIBILE")&gt;0,"SAL DA EMETTERE",IF(COUNTIFS(FASI!$B:$B,$A58,FASI!$H:$H,"&lt;"&amp;TODAY(),FASI!$L:$L,"&lt;1")&gt;0,"FASI IN RITARDO","OK"))))))))</f>
        <v/>
      </c>
    </row>
    <row r="59" spans="1:40" x14ac:dyDescent="0.3">
      <c r="A59" s="42"/>
      <c r="B59" s="42"/>
      <c r="C59" s="42"/>
      <c r="D59" s="42"/>
      <c r="E59" s="42"/>
      <c r="F59" s="42"/>
      <c r="G59" s="43"/>
      <c r="H59" s="43"/>
      <c r="I59" s="42"/>
      <c r="J59" s="44"/>
      <c r="K59" s="46"/>
      <c r="L59" s="34" t="str">
        <f t="shared" si="15"/>
        <v/>
      </c>
      <c r="M59" s="33" t="str">
        <f>IF($A59="","",SUMIFS(ASSEGNAZIONI!$F:$F,ASSEGNAZIONI!$B:$B,$A59))</f>
        <v/>
      </c>
      <c r="N59" s="34" t="str">
        <f>IF($A59="","",SUMIFS(ASSEGNAZIONI!$I:$I,ASSEGNAZIONI!$B:$B,$A59))</f>
        <v/>
      </c>
      <c r="O59" s="34" t="str">
        <f>IF($A59="","",SUMIFS(ASSEGNAZIONI!$J:$J,ASSEGNAZIONI!$B:$B,$A59))</f>
        <v/>
      </c>
      <c r="P59" s="34" t="str">
        <f t="shared" si="16"/>
        <v/>
      </c>
      <c r="Q59" s="44"/>
      <c r="R59" s="34" t="str">
        <f t="shared" si="17"/>
        <v/>
      </c>
      <c r="S59" s="35" t="str">
        <f t="shared" si="18"/>
        <v/>
      </c>
      <c r="T59" s="34" t="str">
        <f>IF($A59="","",SUMIFS(ODA!$R:$R,ODA!$B:$B,$A59))</f>
        <v/>
      </c>
      <c r="U59" s="34" t="str">
        <f>IF($A59="","",SUMIFS(ODA!$P:$P,ODA!$B:$B,$A59))</f>
        <v/>
      </c>
      <c r="V59" s="45" t="str">
        <f t="shared" si="19"/>
        <v/>
      </c>
      <c r="W59" s="33" t="str">
        <f>IF($A59="","",SUMIFS(ORE!$F:$F,ORE!$B:$B,$A59))</f>
        <v/>
      </c>
      <c r="X59" s="33" t="str">
        <f>IF($A59="","",SUMIFS(PREVISIONE_ORE!$G:$G,PREVISIONE_ORE!$D:$D,$A59,PREVISIONE_ORE!$K:$K,"Sì"))</f>
        <v/>
      </c>
      <c r="Y59" s="33" t="str">
        <f>IF($A59="","",IF(COUNTIFS(ASSEGNAZIONI!$B:$B,$A59)&gt;0,SUMIFS(ASSEGNAZIONI!$N:$N,ASSEGNAZIONI!$B:$B,$A59),MAX($W59,0)))</f>
        <v/>
      </c>
      <c r="Z59" s="33" t="str">
        <f t="shared" si="20"/>
        <v/>
      </c>
      <c r="AA59" s="34" t="str">
        <f>IF($A59="","",IF(COUNTIFS(ASSEGNAZIONI!$B:$B,$A59)&gt;0,SUMIFS(ASSEGNAZIONI!$P:$P,ASSEGNAZIONI!$B:$B,$A59),0))</f>
        <v/>
      </c>
      <c r="AB59" s="34" t="str">
        <f t="shared" si="21"/>
        <v/>
      </c>
      <c r="AC59" s="34" t="str">
        <f t="shared" si="22"/>
        <v/>
      </c>
      <c r="AD59" s="34" t="str">
        <f t="shared" si="23"/>
        <v/>
      </c>
      <c r="AE59" s="35" t="str">
        <f t="shared" si="24"/>
        <v/>
      </c>
      <c r="AF59" s="34" t="str">
        <f t="shared" si="25"/>
        <v/>
      </c>
      <c r="AG59" s="34" t="str">
        <f t="shared" si="26"/>
        <v/>
      </c>
      <c r="AH59" s="35" t="str">
        <f>IF($A59="","",IFERROR(AVERAGEIFS(FASI!$L:$L,FASI!$B:$B,$A59),0))</f>
        <v/>
      </c>
      <c r="AI59" s="35" t="str">
        <f t="shared" si="27"/>
        <v/>
      </c>
      <c r="AJ59" s="34" t="str">
        <f>IF($A59="","",SUMIFS(SAL!$H:$H,SAL!$B:$B,$A59,SAL!$O:$O,"Emessa")+SUMIFS(SAL!$H:$H,SAL!$B:$B,$A59,SAL!$O:$O,"Incassata")+SUMIFS(SAL!$H:$H,SAL!$B:$B,$A59,SAL!$O:$O,"Scaduta"))</f>
        <v/>
      </c>
      <c r="AK59" s="34" t="str">
        <f>IF($A59="","",SUMIFS(SAL!$H:$H,SAL!$B:$B,$A59,SAL!$O:$O,"Incassata"))</f>
        <v/>
      </c>
      <c r="AL59" s="34" t="str">
        <f t="shared" si="28"/>
        <v/>
      </c>
      <c r="AM59" s="34" t="str">
        <f t="shared" si="29"/>
        <v/>
      </c>
      <c r="AN59" s="36" t="str">
        <f ca="1">IF($A59="","",IF($M59=0,"RISORSE NON ASSEGNATE",IF($AE59&lt;0.1,"MARGINE CRITICO",IF($S59&lt;-SCONTO_MAX,"SCONTO OLTRE SOGLIA",IF($Z59&gt;0,"ORE OLTRE LA STIMA",IF($AI59&gt;ALLERTA_ORE,"CONSUMO ORE ELEVATO",IF(COUNTIFS(SAL!$B:$B,$A59,SAL!$K:$K,"EMETTIBILE")&gt;0,"SAL DA EMETTERE",IF(COUNTIFS(FASI!$B:$B,$A59,FASI!$H:$H,"&lt;"&amp;TODAY(),FASI!$L:$L,"&lt;1")&gt;0,"FASI IN RITARDO","OK"))))))))</f>
        <v/>
      </c>
    </row>
    <row r="60" spans="1:40" x14ac:dyDescent="0.3">
      <c r="A60" s="42"/>
      <c r="B60" s="42"/>
      <c r="C60" s="42"/>
      <c r="D60" s="42"/>
      <c r="E60" s="42"/>
      <c r="F60" s="42"/>
      <c r="G60" s="43"/>
      <c r="H60" s="43"/>
      <c r="I60" s="42"/>
      <c r="J60" s="44"/>
      <c r="K60" s="46"/>
      <c r="L60" s="34" t="str">
        <f t="shared" si="15"/>
        <v/>
      </c>
      <c r="M60" s="33" t="str">
        <f>IF($A60="","",SUMIFS(ASSEGNAZIONI!$F:$F,ASSEGNAZIONI!$B:$B,$A60))</f>
        <v/>
      </c>
      <c r="N60" s="34" t="str">
        <f>IF($A60="","",SUMIFS(ASSEGNAZIONI!$I:$I,ASSEGNAZIONI!$B:$B,$A60))</f>
        <v/>
      </c>
      <c r="O60" s="34" t="str">
        <f>IF($A60="","",SUMIFS(ASSEGNAZIONI!$J:$J,ASSEGNAZIONI!$B:$B,$A60))</f>
        <v/>
      </c>
      <c r="P60" s="34" t="str">
        <f t="shared" si="16"/>
        <v/>
      </c>
      <c r="Q60" s="44"/>
      <c r="R60" s="34" t="str">
        <f t="shared" si="17"/>
        <v/>
      </c>
      <c r="S60" s="35" t="str">
        <f t="shared" si="18"/>
        <v/>
      </c>
      <c r="T60" s="34" t="str">
        <f>IF($A60="","",SUMIFS(ODA!$R:$R,ODA!$B:$B,$A60))</f>
        <v/>
      </c>
      <c r="U60" s="34" t="str">
        <f>IF($A60="","",SUMIFS(ODA!$P:$P,ODA!$B:$B,$A60))</f>
        <v/>
      </c>
      <c r="V60" s="45" t="str">
        <f t="shared" si="19"/>
        <v/>
      </c>
      <c r="W60" s="33" t="str">
        <f>IF($A60="","",SUMIFS(ORE!$F:$F,ORE!$B:$B,$A60))</f>
        <v/>
      </c>
      <c r="X60" s="33" t="str">
        <f>IF($A60="","",SUMIFS(PREVISIONE_ORE!$G:$G,PREVISIONE_ORE!$D:$D,$A60,PREVISIONE_ORE!$K:$K,"Sì"))</f>
        <v/>
      </c>
      <c r="Y60" s="33" t="str">
        <f>IF($A60="","",IF(COUNTIFS(ASSEGNAZIONI!$B:$B,$A60)&gt;0,SUMIFS(ASSEGNAZIONI!$N:$N,ASSEGNAZIONI!$B:$B,$A60),MAX($W60,0)))</f>
        <v/>
      </c>
      <c r="Z60" s="33" t="str">
        <f t="shared" si="20"/>
        <v/>
      </c>
      <c r="AA60" s="34" t="str">
        <f>IF($A60="","",IF(COUNTIFS(ASSEGNAZIONI!$B:$B,$A60)&gt;0,SUMIFS(ASSEGNAZIONI!$P:$P,ASSEGNAZIONI!$B:$B,$A60),0))</f>
        <v/>
      </c>
      <c r="AB60" s="34" t="str">
        <f t="shared" si="21"/>
        <v/>
      </c>
      <c r="AC60" s="34" t="str">
        <f t="shared" si="22"/>
        <v/>
      </c>
      <c r="AD60" s="34" t="str">
        <f t="shared" si="23"/>
        <v/>
      </c>
      <c r="AE60" s="35" t="str">
        <f t="shared" si="24"/>
        <v/>
      </c>
      <c r="AF60" s="34" t="str">
        <f t="shared" si="25"/>
        <v/>
      </c>
      <c r="AG60" s="34" t="str">
        <f t="shared" si="26"/>
        <v/>
      </c>
      <c r="AH60" s="35" t="str">
        <f>IF($A60="","",IFERROR(AVERAGEIFS(FASI!$L:$L,FASI!$B:$B,$A60),0))</f>
        <v/>
      </c>
      <c r="AI60" s="35" t="str">
        <f t="shared" si="27"/>
        <v/>
      </c>
      <c r="AJ60" s="34" t="str">
        <f>IF($A60="","",SUMIFS(SAL!$H:$H,SAL!$B:$B,$A60,SAL!$O:$O,"Emessa")+SUMIFS(SAL!$H:$H,SAL!$B:$B,$A60,SAL!$O:$O,"Incassata")+SUMIFS(SAL!$H:$H,SAL!$B:$B,$A60,SAL!$O:$O,"Scaduta"))</f>
        <v/>
      </c>
      <c r="AK60" s="34" t="str">
        <f>IF($A60="","",SUMIFS(SAL!$H:$H,SAL!$B:$B,$A60,SAL!$O:$O,"Incassata"))</f>
        <v/>
      </c>
      <c r="AL60" s="34" t="str">
        <f t="shared" si="28"/>
        <v/>
      </c>
      <c r="AM60" s="34" t="str">
        <f t="shared" si="29"/>
        <v/>
      </c>
      <c r="AN60" s="36" t="str">
        <f ca="1">IF($A60="","",IF($M60=0,"RISORSE NON ASSEGNATE",IF($AE60&lt;0.1,"MARGINE CRITICO",IF($S60&lt;-SCONTO_MAX,"SCONTO OLTRE SOGLIA",IF($Z60&gt;0,"ORE OLTRE LA STIMA",IF($AI60&gt;ALLERTA_ORE,"CONSUMO ORE ELEVATO",IF(COUNTIFS(SAL!$B:$B,$A60,SAL!$K:$K,"EMETTIBILE")&gt;0,"SAL DA EMETTERE",IF(COUNTIFS(FASI!$B:$B,$A60,FASI!$H:$H,"&lt;"&amp;TODAY(),FASI!$L:$L,"&lt;1")&gt;0,"FASI IN RITARDO","OK"))))))))</f>
        <v/>
      </c>
    </row>
    <row r="61" spans="1:40" x14ac:dyDescent="0.3">
      <c r="A61" s="42"/>
      <c r="B61" s="42"/>
      <c r="C61" s="42"/>
      <c r="D61" s="42"/>
      <c r="E61" s="42"/>
      <c r="F61" s="42"/>
      <c r="G61" s="43"/>
      <c r="H61" s="43"/>
      <c r="I61" s="42"/>
      <c r="J61" s="44"/>
      <c r="K61" s="46"/>
      <c r="L61" s="34" t="str">
        <f t="shared" si="15"/>
        <v/>
      </c>
      <c r="M61" s="33" t="str">
        <f>IF($A61="","",SUMIFS(ASSEGNAZIONI!$F:$F,ASSEGNAZIONI!$B:$B,$A61))</f>
        <v/>
      </c>
      <c r="N61" s="34" t="str">
        <f>IF($A61="","",SUMIFS(ASSEGNAZIONI!$I:$I,ASSEGNAZIONI!$B:$B,$A61))</f>
        <v/>
      </c>
      <c r="O61" s="34" t="str">
        <f>IF($A61="","",SUMIFS(ASSEGNAZIONI!$J:$J,ASSEGNAZIONI!$B:$B,$A61))</f>
        <v/>
      </c>
      <c r="P61" s="34" t="str">
        <f t="shared" si="16"/>
        <v/>
      </c>
      <c r="Q61" s="44"/>
      <c r="R61" s="34" t="str">
        <f t="shared" si="17"/>
        <v/>
      </c>
      <c r="S61" s="35" t="str">
        <f t="shared" si="18"/>
        <v/>
      </c>
      <c r="T61" s="34" t="str">
        <f>IF($A61="","",SUMIFS(ODA!$R:$R,ODA!$B:$B,$A61))</f>
        <v/>
      </c>
      <c r="U61" s="34" t="str">
        <f>IF($A61="","",SUMIFS(ODA!$P:$P,ODA!$B:$B,$A61))</f>
        <v/>
      </c>
      <c r="V61" s="45" t="str">
        <f t="shared" si="19"/>
        <v/>
      </c>
      <c r="W61" s="33" t="str">
        <f>IF($A61="","",SUMIFS(ORE!$F:$F,ORE!$B:$B,$A61))</f>
        <v/>
      </c>
      <c r="X61" s="33" t="str">
        <f>IF($A61="","",SUMIFS(PREVISIONE_ORE!$G:$G,PREVISIONE_ORE!$D:$D,$A61,PREVISIONE_ORE!$K:$K,"Sì"))</f>
        <v/>
      </c>
      <c r="Y61" s="33" t="str">
        <f>IF($A61="","",IF(COUNTIFS(ASSEGNAZIONI!$B:$B,$A61)&gt;0,SUMIFS(ASSEGNAZIONI!$N:$N,ASSEGNAZIONI!$B:$B,$A61),MAX($W61,0)))</f>
        <v/>
      </c>
      <c r="Z61" s="33" t="str">
        <f t="shared" si="20"/>
        <v/>
      </c>
      <c r="AA61" s="34" t="str">
        <f>IF($A61="","",IF(COUNTIFS(ASSEGNAZIONI!$B:$B,$A61)&gt;0,SUMIFS(ASSEGNAZIONI!$P:$P,ASSEGNAZIONI!$B:$B,$A61),0))</f>
        <v/>
      </c>
      <c r="AB61" s="34" t="str">
        <f t="shared" si="21"/>
        <v/>
      </c>
      <c r="AC61" s="34" t="str">
        <f t="shared" si="22"/>
        <v/>
      </c>
      <c r="AD61" s="34" t="str">
        <f t="shared" si="23"/>
        <v/>
      </c>
      <c r="AE61" s="35" t="str">
        <f t="shared" si="24"/>
        <v/>
      </c>
      <c r="AF61" s="34" t="str">
        <f t="shared" si="25"/>
        <v/>
      </c>
      <c r="AG61" s="34" t="str">
        <f t="shared" si="26"/>
        <v/>
      </c>
      <c r="AH61" s="35" t="str">
        <f>IF($A61="","",IFERROR(AVERAGEIFS(FASI!$L:$L,FASI!$B:$B,$A61),0))</f>
        <v/>
      </c>
      <c r="AI61" s="35" t="str">
        <f t="shared" si="27"/>
        <v/>
      </c>
      <c r="AJ61" s="34" t="str">
        <f>IF($A61="","",SUMIFS(SAL!$H:$H,SAL!$B:$B,$A61,SAL!$O:$O,"Emessa")+SUMIFS(SAL!$H:$H,SAL!$B:$B,$A61,SAL!$O:$O,"Incassata")+SUMIFS(SAL!$H:$H,SAL!$B:$B,$A61,SAL!$O:$O,"Scaduta"))</f>
        <v/>
      </c>
      <c r="AK61" s="34" t="str">
        <f>IF($A61="","",SUMIFS(SAL!$H:$H,SAL!$B:$B,$A61,SAL!$O:$O,"Incassata"))</f>
        <v/>
      </c>
      <c r="AL61" s="34" t="str">
        <f t="shared" si="28"/>
        <v/>
      </c>
      <c r="AM61" s="34" t="str">
        <f t="shared" si="29"/>
        <v/>
      </c>
      <c r="AN61" s="36" t="str">
        <f ca="1">IF($A61="","",IF($M61=0,"RISORSE NON ASSEGNATE",IF($AE61&lt;0.1,"MARGINE CRITICO",IF($S61&lt;-SCONTO_MAX,"SCONTO OLTRE SOGLIA",IF($Z61&gt;0,"ORE OLTRE LA STIMA",IF($AI61&gt;ALLERTA_ORE,"CONSUMO ORE ELEVATO",IF(COUNTIFS(SAL!$B:$B,$A61,SAL!$K:$K,"EMETTIBILE")&gt;0,"SAL DA EMETTERE",IF(COUNTIFS(FASI!$B:$B,$A61,FASI!$H:$H,"&lt;"&amp;TODAY(),FASI!$L:$L,"&lt;1")&gt;0,"FASI IN RITARDO","OK"))))))))</f>
        <v/>
      </c>
    </row>
    <row r="62" spans="1:40" x14ac:dyDescent="0.3">
      <c r="A62" s="42"/>
      <c r="B62" s="42"/>
      <c r="C62" s="42"/>
      <c r="D62" s="42"/>
      <c r="E62" s="42"/>
      <c r="F62" s="42"/>
      <c r="G62" s="43"/>
      <c r="H62" s="43"/>
      <c r="I62" s="42"/>
      <c r="J62" s="44"/>
      <c r="K62" s="46"/>
      <c r="L62" s="34" t="str">
        <f t="shared" si="15"/>
        <v/>
      </c>
      <c r="M62" s="33" t="str">
        <f>IF($A62="","",SUMIFS(ASSEGNAZIONI!$F:$F,ASSEGNAZIONI!$B:$B,$A62))</f>
        <v/>
      </c>
      <c r="N62" s="34" t="str">
        <f>IF($A62="","",SUMIFS(ASSEGNAZIONI!$I:$I,ASSEGNAZIONI!$B:$B,$A62))</f>
        <v/>
      </c>
      <c r="O62" s="34" t="str">
        <f>IF($A62="","",SUMIFS(ASSEGNAZIONI!$J:$J,ASSEGNAZIONI!$B:$B,$A62))</f>
        <v/>
      </c>
      <c r="P62" s="34" t="str">
        <f t="shared" si="16"/>
        <v/>
      </c>
      <c r="Q62" s="44"/>
      <c r="R62" s="34" t="str">
        <f t="shared" si="17"/>
        <v/>
      </c>
      <c r="S62" s="35" t="str">
        <f t="shared" si="18"/>
        <v/>
      </c>
      <c r="T62" s="34" t="str">
        <f>IF($A62="","",SUMIFS(ODA!$R:$R,ODA!$B:$B,$A62))</f>
        <v/>
      </c>
      <c r="U62" s="34" t="str">
        <f>IF($A62="","",SUMIFS(ODA!$P:$P,ODA!$B:$B,$A62))</f>
        <v/>
      </c>
      <c r="V62" s="45" t="str">
        <f t="shared" si="19"/>
        <v/>
      </c>
      <c r="W62" s="33" t="str">
        <f>IF($A62="","",SUMIFS(ORE!$F:$F,ORE!$B:$B,$A62))</f>
        <v/>
      </c>
      <c r="X62" s="33" t="str">
        <f>IF($A62="","",SUMIFS(PREVISIONE_ORE!$G:$G,PREVISIONE_ORE!$D:$D,$A62,PREVISIONE_ORE!$K:$K,"Sì"))</f>
        <v/>
      </c>
      <c r="Y62" s="33" t="str">
        <f>IF($A62="","",IF(COUNTIFS(ASSEGNAZIONI!$B:$B,$A62)&gt;0,SUMIFS(ASSEGNAZIONI!$N:$N,ASSEGNAZIONI!$B:$B,$A62),MAX($W62,0)))</f>
        <v/>
      </c>
      <c r="Z62" s="33" t="str">
        <f t="shared" si="20"/>
        <v/>
      </c>
      <c r="AA62" s="34" t="str">
        <f>IF($A62="","",IF(COUNTIFS(ASSEGNAZIONI!$B:$B,$A62)&gt;0,SUMIFS(ASSEGNAZIONI!$P:$P,ASSEGNAZIONI!$B:$B,$A62),0))</f>
        <v/>
      </c>
      <c r="AB62" s="34" t="str">
        <f t="shared" si="21"/>
        <v/>
      </c>
      <c r="AC62" s="34" t="str">
        <f t="shared" si="22"/>
        <v/>
      </c>
      <c r="AD62" s="34" t="str">
        <f t="shared" si="23"/>
        <v/>
      </c>
      <c r="AE62" s="35" t="str">
        <f t="shared" si="24"/>
        <v/>
      </c>
      <c r="AF62" s="34" t="str">
        <f t="shared" si="25"/>
        <v/>
      </c>
      <c r="AG62" s="34" t="str">
        <f t="shared" si="26"/>
        <v/>
      </c>
      <c r="AH62" s="35" t="str">
        <f>IF($A62="","",IFERROR(AVERAGEIFS(FASI!$L:$L,FASI!$B:$B,$A62),0))</f>
        <v/>
      </c>
      <c r="AI62" s="35" t="str">
        <f t="shared" si="27"/>
        <v/>
      </c>
      <c r="AJ62" s="34" t="str">
        <f>IF($A62="","",SUMIFS(SAL!$H:$H,SAL!$B:$B,$A62,SAL!$O:$O,"Emessa")+SUMIFS(SAL!$H:$H,SAL!$B:$B,$A62,SAL!$O:$O,"Incassata")+SUMIFS(SAL!$H:$H,SAL!$B:$B,$A62,SAL!$O:$O,"Scaduta"))</f>
        <v/>
      </c>
      <c r="AK62" s="34" t="str">
        <f>IF($A62="","",SUMIFS(SAL!$H:$H,SAL!$B:$B,$A62,SAL!$O:$O,"Incassata"))</f>
        <v/>
      </c>
      <c r="AL62" s="34" t="str">
        <f t="shared" si="28"/>
        <v/>
      </c>
      <c r="AM62" s="34" t="str">
        <f t="shared" si="29"/>
        <v/>
      </c>
      <c r="AN62" s="36" t="str">
        <f ca="1">IF($A62="","",IF($M62=0,"RISORSE NON ASSEGNATE",IF($AE62&lt;0.1,"MARGINE CRITICO",IF($S62&lt;-SCONTO_MAX,"SCONTO OLTRE SOGLIA",IF($Z62&gt;0,"ORE OLTRE LA STIMA",IF($AI62&gt;ALLERTA_ORE,"CONSUMO ORE ELEVATO",IF(COUNTIFS(SAL!$B:$B,$A62,SAL!$K:$K,"EMETTIBILE")&gt;0,"SAL DA EMETTERE",IF(COUNTIFS(FASI!$B:$B,$A62,FASI!$H:$H,"&lt;"&amp;TODAY(),FASI!$L:$L,"&lt;1")&gt;0,"FASI IN RITARDO","OK"))))))))</f>
        <v/>
      </c>
    </row>
    <row r="63" spans="1:40" x14ac:dyDescent="0.3">
      <c r="A63" s="42"/>
      <c r="B63" s="42"/>
      <c r="C63" s="42"/>
      <c r="D63" s="42"/>
      <c r="E63" s="42"/>
      <c r="F63" s="42"/>
      <c r="G63" s="43"/>
      <c r="H63" s="43"/>
      <c r="I63" s="42"/>
      <c r="J63" s="44"/>
      <c r="K63" s="46"/>
      <c r="L63" s="34" t="str">
        <f t="shared" si="15"/>
        <v/>
      </c>
      <c r="M63" s="33" t="str">
        <f>IF($A63="","",SUMIFS(ASSEGNAZIONI!$F:$F,ASSEGNAZIONI!$B:$B,$A63))</f>
        <v/>
      </c>
      <c r="N63" s="34" t="str">
        <f>IF($A63="","",SUMIFS(ASSEGNAZIONI!$I:$I,ASSEGNAZIONI!$B:$B,$A63))</f>
        <v/>
      </c>
      <c r="O63" s="34" t="str">
        <f>IF($A63="","",SUMIFS(ASSEGNAZIONI!$J:$J,ASSEGNAZIONI!$B:$B,$A63))</f>
        <v/>
      </c>
      <c r="P63" s="34" t="str">
        <f t="shared" si="16"/>
        <v/>
      </c>
      <c r="Q63" s="44"/>
      <c r="R63" s="34" t="str">
        <f t="shared" si="17"/>
        <v/>
      </c>
      <c r="S63" s="35" t="str">
        <f t="shared" si="18"/>
        <v/>
      </c>
      <c r="T63" s="34" t="str">
        <f>IF($A63="","",SUMIFS(ODA!$R:$R,ODA!$B:$B,$A63))</f>
        <v/>
      </c>
      <c r="U63" s="34" t="str">
        <f>IF($A63="","",SUMIFS(ODA!$P:$P,ODA!$B:$B,$A63))</f>
        <v/>
      </c>
      <c r="V63" s="45" t="str">
        <f t="shared" si="19"/>
        <v/>
      </c>
      <c r="W63" s="33" t="str">
        <f>IF($A63="","",SUMIFS(ORE!$F:$F,ORE!$B:$B,$A63))</f>
        <v/>
      </c>
      <c r="X63" s="33" t="str">
        <f>IF($A63="","",SUMIFS(PREVISIONE_ORE!$G:$G,PREVISIONE_ORE!$D:$D,$A63,PREVISIONE_ORE!$K:$K,"Sì"))</f>
        <v/>
      </c>
      <c r="Y63" s="33" t="str">
        <f>IF($A63="","",IF(COUNTIFS(ASSEGNAZIONI!$B:$B,$A63)&gt;0,SUMIFS(ASSEGNAZIONI!$N:$N,ASSEGNAZIONI!$B:$B,$A63),MAX($W63,0)))</f>
        <v/>
      </c>
      <c r="Z63" s="33" t="str">
        <f t="shared" si="20"/>
        <v/>
      </c>
      <c r="AA63" s="34" t="str">
        <f>IF($A63="","",IF(COUNTIFS(ASSEGNAZIONI!$B:$B,$A63)&gt;0,SUMIFS(ASSEGNAZIONI!$P:$P,ASSEGNAZIONI!$B:$B,$A63),0))</f>
        <v/>
      </c>
      <c r="AB63" s="34" t="str">
        <f t="shared" si="21"/>
        <v/>
      </c>
      <c r="AC63" s="34" t="str">
        <f t="shared" si="22"/>
        <v/>
      </c>
      <c r="AD63" s="34" t="str">
        <f t="shared" si="23"/>
        <v/>
      </c>
      <c r="AE63" s="35" t="str">
        <f t="shared" si="24"/>
        <v/>
      </c>
      <c r="AF63" s="34" t="str">
        <f t="shared" si="25"/>
        <v/>
      </c>
      <c r="AG63" s="34" t="str">
        <f t="shared" si="26"/>
        <v/>
      </c>
      <c r="AH63" s="35" t="str">
        <f>IF($A63="","",IFERROR(AVERAGEIFS(FASI!$L:$L,FASI!$B:$B,$A63),0))</f>
        <v/>
      </c>
      <c r="AI63" s="35" t="str">
        <f t="shared" si="27"/>
        <v/>
      </c>
      <c r="AJ63" s="34" t="str">
        <f>IF($A63="","",SUMIFS(SAL!$H:$H,SAL!$B:$B,$A63,SAL!$O:$O,"Emessa")+SUMIFS(SAL!$H:$H,SAL!$B:$B,$A63,SAL!$O:$O,"Incassata")+SUMIFS(SAL!$H:$H,SAL!$B:$B,$A63,SAL!$O:$O,"Scaduta"))</f>
        <v/>
      </c>
      <c r="AK63" s="34" t="str">
        <f>IF($A63="","",SUMIFS(SAL!$H:$H,SAL!$B:$B,$A63,SAL!$O:$O,"Incassata"))</f>
        <v/>
      </c>
      <c r="AL63" s="34" t="str">
        <f t="shared" si="28"/>
        <v/>
      </c>
      <c r="AM63" s="34" t="str">
        <f t="shared" si="29"/>
        <v/>
      </c>
      <c r="AN63" s="36" t="str">
        <f ca="1">IF($A63="","",IF($M63=0,"RISORSE NON ASSEGNATE",IF($AE63&lt;0.1,"MARGINE CRITICO",IF($S63&lt;-SCONTO_MAX,"SCONTO OLTRE SOGLIA",IF($Z63&gt;0,"ORE OLTRE LA STIMA",IF($AI63&gt;ALLERTA_ORE,"CONSUMO ORE ELEVATO",IF(COUNTIFS(SAL!$B:$B,$A63,SAL!$K:$K,"EMETTIBILE")&gt;0,"SAL DA EMETTERE",IF(COUNTIFS(FASI!$B:$B,$A63,FASI!$H:$H,"&lt;"&amp;TODAY(),FASI!$L:$L,"&lt;1")&gt;0,"FASI IN RITARDO","OK"))))))))</f>
        <v/>
      </c>
    </row>
    <row r="64" spans="1:40" x14ac:dyDescent="0.3">
      <c r="A64" s="42"/>
      <c r="B64" s="42"/>
      <c r="C64" s="42"/>
      <c r="D64" s="42"/>
      <c r="E64" s="42"/>
      <c r="F64" s="42"/>
      <c r="G64" s="43"/>
      <c r="H64" s="43"/>
      <c r="I64" s="42"/>
      <c r="J64" s="44"/>
      <c r="K64" s="46"/>
      <c r="L64" s="34" t="str">
        <f t="shared" si="15"/>
        <v/>
      </c>
      <c r="M64" s="33" t="str">
        <f>IF($A64="","",SUMIFS(ASSEGNAZIONI!$F:$F,ASSEGNAZIONI!$B:$B,$A64))</f>
        <v/>
      </c>
      <c r="N64" s="34" t="str">
        <f>IF($A64="","",SUMIFS(ASSEGNAZIONI!$I:$I,ASSEGNAZIONI!$B:$B,$A64))</f>
        <v/>
      </c>
      <c r="O64" s="34" t="str">
        <f>IF($A64="","",SUMIFS(ASSEGNAZIONI!$J:$J,ASSEGNAZIONI!$B:$B,$A64))</f>
        <v/>
      </c>
      <c r="P64" s="34" t="str">
        <f t="shared" si="16"/>
        <v/>
      </c>
      <c r="Q64" s="44"/>
      <c r="R64" s="34" t="str">
        <f t="shared" si="17"/>
        <v/>
      </c>
      <c r="S64" s="35" t="str">
        <f t="shared" si="18"/>
        <v/>
      </c>
      <c r="T64" s="34" t="str">
        <f>IF($A64="","",SUMIFS(ODA!$R:$R,ODA!$B:$B,$A64))</f>
        <v/>
      </c>
      <c r="U64" s="34" t="str">
        <f>IF($A64="","",SUMIFS(ODA!$P:$P,ODA!$B:$B,$A64))</f>
        <v/>
      </c>
      <c r="V64" s="45" t="str">
        <f t="shared" si="19"/>
        <v/>
      </c>
      <c r="W64" s="33" t="str">
        <f>IF($A64="","",SUMIFS(ORE!$F:$F,ORE!$B:$B,$A64))</f>
        <v/>
      </c>
      <c r="X64" s="33" t="str">
        <f>IF($A64="","",SUMIFS(PREVISIONE_ORE!$G:$G,PREVISIONE_ORE!$D:$D,$A64,PREVISIONE_ORE!$K:$K,"Sì"))</f>
        <v/>
      </c>
      <c r="Y64" s="33" t="str">
        <f>IF($A64="","",IF(COUNTIFS(ASSEGNAZIONI!$B:$B,$A64)&gt;0,SUMIFS(ASSEGNAZIONI!$N:$N,ASSEGNAZIONI!$B:$B,$A64),MAX($W64,0)))</f>
        <v/>
      </c>
      <c r="Z64" s="33" t="str">
        <f t="shared" si="20"/>
        <v/>
      </c>
      <c r="AA64" s="34" t="str">
        <f>IF($A64="","",IF(COUNTIFS(ASSEGNAZIONI!$B:$B,$A64)&gt;0,SUMIFS(ASSEGNAZIONI!$P:$P,ASSEGNAZIONI!$B:$B,$A64),0))</f>
        <v/>
      </c>
      <c r="AB64" s="34" t="str">
        <f t="shared" si="21"/>
        <v/>
      </c>
      <c r="AC64" s="34" t="str">
        <f t="shared" si="22"/>
        <v/>
      </c>
      <c r="AD64" s="34" t="str">
        <f t="shared" si="23"/>
        <v/>
      </c>
      <c r="AE64" s="35" t="str">
        <f t="shared" si="24"/>
        <v/>
      </c>
      <c r="AF64" s="34" t="str">
        <f t="shared" si="25"/>
        <v/>
      </c>
      <c r="AG64" s="34" t="str">
        <f t="shared" si="26"/>
        <v/>
      </c>
      <c r="AH64" s="35" t="str">
        <f>IF($A64="","",IFERROR(AVERAGEIFS(FASI!$L:$L,FASI!$B:$B,$A64),0))</f>
        <v/>
      </c>
      <c r="AI64" s="35" t="str">
        <f t="shared" si="27"/>
        <v/>
      </c>
      <c r="AJ64" s="34" t="str">
        <f>IF($A64="","",SUMIFS(SAL!$H:$H,SAL!$B:$B,$A64,SAL!$O:$O,"Emessa")+SUMIFS(SAL!$H:$H,SAL!$B:$B,$A64,SAL!$O:$O,"Incassata")+SUMIFS(SAL!$H:$H,SAL!$B:$B,$A64,SAL!$O:$O,"Scaduta"))</f>
        <v/>
      </c>
      <c r="AK64" s="34" t="str">
        <f>IF($A64="","",SUMIFS(SAL!$H:$H,SAL!$B:$B,$A64,SAL!$O:$O,"Incassata"))</f>
        <v/>
      </c>
      <c r="AL64" s="34" t="str">
        <f t="shared" si="28"/>
        <v/>
      </c>
      <c r="AM64" s="34" t="str">
        <f t="shared" si="29"/>
        <v/>
      </c>
      <c r="AN64" s="36" t="str">
        <f ca="1">IF($A64="","",IF($M64=0,"RISORSE NON ASSEGNATE",IF($AE64&lt;0.1,"MARGINE CRITICO",IF($S64&lt;-SCONTO_MAX,"SCONTO OLTRE SOGLIA",IF($Z64&gt;0,"ORE OLTRE LA STIMA",IF($AI64&gt;ALLERTA_ORE,"CONSUMO ORE ELEVATO",IF(COUNTIFS(SAL!$B:$B,$A64,SAL!$K:$K,"EMETTIBILE")&gt;0,"SAL DA EMETTERE",IF(COUNTIFS(FASI!$B:$B,$A64,FASI!$H:$H,"&lt;"&amp;TODAY(),FASI!$L:$L,"&lt;1")&gt;0,"FASI IN RITARDO","OK"))))))))</f>
        <v/>
      </c>
    </row>
    <row r="65" spans="1:40" x14ac:dyDescent="0.3">
      <c r="A65" s="42"/>
      <c r="B65" s="42"/>
      <c r="C65" s="42"/>
      <c r="D65" s="42"/>
      <c r="E65" s="42"/>
      <c r="F65" s="42"/>
      <c r="G65" s="43"/>
      <c r="H65" s="43"/>
      <c r="I65" s="42"/>
      <c r="J65" s="44"/>
      <c r="K65" s="46"/>
      <c r="L65" s="34" t="str">
        <f t="shared" si="15"/>
        <v/>
      </c>
      <c r="M65" s="33" t="str">
        <f>IF($A65="","",SUMIFS(ASSEGNAZIONI!$F:$F,ASSEGNAZIONI!$B:$B,$A65))</f>
        <v/>
      </c>
      <c r="N65" s="34" t="str">
        <f>IF($A65="","",SUMIFS(ASSEGNAZIONI!$I:$I,ASSEGNAZIONI!$B:$B,$A65))</f>
        <v/>
      </c>
      <c r="O65" s="34" t="str">
        <f>IF($A65="","",SUMIFS(ASSEGNAZIONI!$J:$J,ASSEGNAZIONI!$B:$B,$A65))</f>
        <v/>
      </c>
      <c r="P65" s="34" t="str">
        <f t="shared" si="16"/>
        <v/>
      </c>
      <c r="Q65" s="44"/>
      <c r="R65" s="34" t="str">
        <f t="shared" si="17"/>
        <v/>
      </c>
      <c r="S65" s="35" t="str">
        <f t="shared" si="18"/>
        <v/>
      </c>
      <c r="T65" s="34" t="str">
        <f>IF($A65="","",SUMIFS(ODA!$R:$R,ODA!$B:$B,$A65))</f>
        <v/>
      </c>
      <c r="U65" s="34" t="str">
        <f>IF($A65="","",SUMIFS(ODA!$P:$P,ODA!$B:$B,$A65))</f>
        <v/>
      </c>
      <c r="V65" s="45" t="str">
        <f t="shared" si="19"/>
        <v/>
      </c>
      <c r="W65" s="33" t="str">
        <f>IF($A65="","",SUMIFS(ORE!$F:$F,ORE!$B:$B,$A65))</f>
        <v/>
      </c>
      <c r="X65" s="33" t="str">
        <f>IF($A65="","",SUMIFS(PREVISIONE_ORE!$G:$G,PREVISIONE_ORE!$D:$D,$A65,PREVISIONE_ORE!$K:$K,"Sì"))</f>
        <v/>
      </c>
      <c r="Y65" s="33" t="str">
        <f>IF($A65="","",IF(COUNTIFS(ASSEGNAZIONI!$B:$B,$A65)&gt;0,SUMIFS(ASSEGNAZIONI!$N:$N,ASSEGNAZIONI!$B:$B,$A65),MAX($W65,0)))</f>
        <v/>
      </c>
      <c r="Z65" s="33" t="str">
        <f t="shared" si="20"/>
        <v/>
      </c>
      <c r="AA65" s="34" t="str">
        <f>IF($A65="","",IF(COUNTIFS(ASSEGNAZIONI!$B:$B,$A65)&gt;0,SUMIFS(ASSEGNAZIONI!$P:$P,ASSEGNAZIONI!$B:$B,$A65),0))</f>
        <v/>
      </c>
      <c r="AB65" s="34" t="str">
        <f t="shared" si="21"/>
        <v/>
      </c>
      <c r="AC65" s="34" t="str">
        <f t="shared" si="22"/>
        <v/>
      </c>
      <c r="AD65" s="34" t="str">
        <f t="shared" si="23"/>
        <v/>
      </c>
      <c r="AE65" s="35" t="str">
        <f t="shared" si="24"/>
        <v/>
      </c>
      <c r="AF65" s="34" t="str">
        <f t="shared" si="25"/>
        <v/>
      </c>
      <c r="AG65" s="34" t="str">
        <f t="shared" si="26"/>
        <v/>
      </c>
      <c r="AH65" s="35" t="str">
        <f>IF($A65="","",IFERROR(AVERAGEIFS(FASI!$L:$L,FASI!$B:$B,$A65),0))</f>
        <v/>
      </c>
      <c r="AI65" s="35" t="str">
        <f t="shared" si="27"/>
        <v/>
      </c>
      <c r="AJ65" s="34" t="str">
        <f>IF($A65="","",SUMIFS(SAL!$H:$H,SAL!$B:$B,$A65,SAL!$O:$O,"Emessa")+SUMIFS(SAL!$H:$H,SAL!$B:$B,$A65,SAL!$O:$O,"Incassata")+SUMIFS(SAL!$H:$H,SAL!$B:$B,$A65,SAL!$O:$O,"Scaduta"))</f>
        <v/>
      </c>
      <c r="AK65" s="34" t="str">
        <f>IF($A65="","",SUMIFS(SAL!$H:$H,SAL!$B:$B,$A65,SAL!$O:$O,"Incassata"))</f>
        <v/>
      </c>
      <c r="AL65" s="34" t="str">
        <f t="shared" si="28"/>
        <v/>
      </c>
      <c r="AM65" s="34" t="str">
        <f t="shared" si="29"/>
        <v/>
      </c>
      <c r="AN65" s="36" t="str">
        <f ca="1">IF($A65="","",IF($M65=0,"RISORSE NON ASSEGNATE",IF($AE65&lt;0.1,"MARGINE CRITICO",IF($S65&lt;-SCONTO_MAX,"SCONTO OLTRE SOGLIA",IF($Z65&gt;0,"ORE OLTRE LA STIMA",IF($AI65&gt;ALLERTA_ORE,"CONSUMO ORE ELEVATO",IF(COUNTIFS(SAL!$B:$B,$A65,SAL!$K:$K,"EMETTIBILE")&gt;0,"SAL DA EMETTERE",IF(COUNTIFS(FASI!$B:$B,$A65,FASI!$H:$H,"&lt;"&amp;TODAY(),FASI!$L:$L,"&lt;1")&gt;0,"FASI IN RITARDO","OK"))))))))</f>
        <v/>
      </c>
    </row>
    <row r="66" spans="1:40" x14ac:dyDescent="0.3">
      <c r="A66" s="42"/>
      <c r="B66" s="42"/>
      <c r="C66" s="42"/>
      <c r="D66" s="42"/>
      <c r="E66" s="42"/>
      <c r="F66" s="42"/>
      <c r="G66" s="43"/>
      <c r="H66" s="43"/>
      <c r="I66" s="42"/>
      <c r="J66" s="44"/>
      <c r="K66" s="46"/>
      <c r="L66" s="34" t="str">
        <f t="shared" ref="L66:L97" si="30">IF($A66="","",$J66*IF($K66="",MARKUP_DEF,$K66))</f>
        <v/>
      </c>
      <c r="M66" s="33" t="str">
        <f>IF($A66="","",SUMIFS(ASSEGNAZIONI!$F:$F,ASSEGNAZIONI!$B:$B,$A66))</f>
        <v/>
      </c>
      <c r="N66" s="34" t="str">
        <f>IF($A66="","",SUMIFS(ASSEGNAZIONI!$I:$I,ASSEGNAZIONI!$B:$B,$A66))</f>
        <v/>
      </c>
      <c r="O66" s="34" t="str">
        <f>IF($A66="","",SUMIFS(ASSEGNAZIONI!$J:$J,ASSEGNAZIONI!$B:$B,$A66))</f>
        <v/>
      </c>
      <c r="P66" s="34" t="str">
        <f t="shared" ref="P66:P97" si="31">IF($A66="","",$L66+$N66)</f>
        <v/>
      </c>
      <c r="Q66" s="44"/>
      <c r="R66" s="34" t="str">
        <f t="shared" ref="R66:R97" si="32">IF($A66="","",IF($Q66="",0,$Q66-$P66))</f>
        <v/>
      </c>
      <c r="S66" s="35" t="str">
        <f t="shared" ref="S66:S97" si="33">IF($A66="","",IFERROR($R66/$P66,0))</f>
        <v/>
      </c>
      <c r="T66" s="34" t="str">
        <f>IF($A66="","",SUMIFS(ODA!$R:$R,ODA!$B:$B,$A66))</f>
        <v/>
      </c>
      <c r="U66" s="34" t="str">
        <f>IF($A66="","",SUMIFS(ODA!$P:$P,ODA!$B:$B,$A66))</f>
        <v/>
      </c>
      <c r="V66" s="45" t="str">
        <f t="shared" ref="V66:V97" si="34">IF($A66="","",IFERROR($L66/$T66,0))</f>
        <v/>
      </c>
      <c r="W66" s="33" t="str">
        <f>IF($A66="","",SUMIFS(ORE!$F:$F,ORE!$B:$B,$A66))</f>
        <v/>
      </c>
      <c r="X66" s="33" t="str">
        <f>IF($A66="","",SUMIFS(PREVISIONE_ORE!$G:$G,PREVISIONE_ORE!$D:$D,$A66,PREVISIONE_ORE!$K:$K,"Sì"))</f>
        <v/>
      </c>
      <c r="Y66" s="33" t="str">
        <f>IF($A66="","",IF(COUNTIFS(ASSEGNAZIONI!$B:$B,$A66)&gt;0,SUMIFS(ASSEGNAZIONI!$N:$N,ASSEGNAZIONI!$B:$B,$A66),MAX($W66,0)))</f>
        <v/>
      </c>
      <c r="Z66" s="33" t="str">
        <f t="shared" ref="Z66:Z97" si="35">IF($A66="","",$Y66-$M66)</f>
        <v/>
      </c>
      <c r="AA66" s="34" t="str">
        <f>IF($A66="","",IF(COUNTIFS(ASSEGNAZIONI!$B:$B,$A66)&gt;0,SUMIFS(ASSEGNAZIONI!$P:$P,ASSEGNAZIONI!$B:$B,$A66),0))</f>
        <v/>
      </c>
      <c r="AB66" s="34" t="str">
        <f t="shared" ref="AB66:AB97" si="36">IF($A66="","",MAX($T66,$J66))</f>
        <v/>
      </c>
      <c r="AC66" s="34" t="str">
        <f t="shared" ref="AC66:AC97" si="37">IF($A66="","",$AA66+$AB66)</f>
        <v/>
      </c>
      <c r="AD66" s="34" t="str">
        <f t="shared" ref="AD66:AD97" si="38">IF($A66="","",IF($Q66="",0,$Q66-$AC66))</f>
        <v/>
      </c>
      <c r="AE66" s="35" t="str">
        <f t="shared" ref="AE66:AE97" si="39">IF($A66="","",IFERROR($AD66/$Q66,0))</f>
        <v/>
      </c>
      <c r="AF66" s="34" t="str">
        <f t="shared" ref="AF66:AF97" si="40">IF($A66="","",$N66-$AA66)</f>
        <v/>
      </c>
      <c r="AG66" s="34" t="str">
        <f t="shared" ref="AG66:AG97" si="41">IF($A66="","",$L66-$AB66)</f>
        <v/>
      </c>
      <c r="AH66" s="35" t="str">
        <f>IF($A66="","",IFERROR(AVERAGEIFS(FASI!$L:$L,FASI!$B:$B,$A66),0))</f>
        <v/>
      </c>
      <c r="AI66" s="35" t="str">
        <f t="shared" ref="AI66:AI97" si="42">IF($A66="","",IFERROR($W66/$M66,0))</f>
        <v/>
      </c>
      <c r="AJ66" s="34" t="str">
        <f>IF($A66="","",SUMIFS(SAL!$H:$H,SAL!$B:$B,$A66,SAL!$O:$O,"Emessa")+SUMIFS(SAL!$H:$H,SAL!$B:$B,$A66,SAL!$O:$O,"Incassata")+SUMIFS(SAL!$H:$H,SAL!$B:$B,$A66,SAL!$O:$O,"Scaduta"))</f>
        <v/>
      </c>
      <c r="AK66" s="34" t="str">
        <f>IF($A66="","",SUMIFS(SAL!$H:$H,SAL!$B:$B,$A66,SAL!$O:$O,"Incassata"))</f>
        <v/>
      </c>
      <c r="AL66" s="34" t="str">
        <f t="shared" ref="AL66:AL97" si="43">IF($A66="","",IF($Q66="",0,$Q66-$AJ66))</f>
        <v/>
      </c>
      <c r="AM66" s="34" t="str">
        <f t="shared" ref="AM66:AM97" si="44">IF($A66="","",$U66-$AK66)</f>
        <v/>
      </c>
      <c r="AN66" s="36" t="str">
        <f ca="1">IF($A66="","",IF($M66=0,"RISORSE NON ASSEGNATE",IF($AE66&lt;0.1,"MARGINE CRITICO",IF($S66&lt;-SCONTO_MAX,"SCONTO OLTRE SOGLIA",IF($Z66&gt;0,"ORE OLTRE LA STIMA",IF($AI66&gt;ALLERTA_ORE,"CONSUMO ORE ELEVATO",IF(COUNTIFS(SAL!$B:$B,$A66,SAL!$K:$K,"EMETTIBILE")&gt;0,"SAL DA EMETTERE",IF(COUNTIFS(FASI!$B:$B,$A66,FASI!$H:$H,"&lt;"&amp;TODAY(),FASI!$L:$L,"&lt;1")&gt;0,"FASI IN RITARDO","OK"))))))))</f>
        <v/>
      </c>
    </row>
    <row r="67" spans="1:40" x14ac:dyDescent="0.3">
      <c r="A67" s="42"/>
      <c r="B67" s="42"/>
      <c r="C67" s="42"/>
      <c r="D67" s="42"/>
      <c r="E67" s="42"/>
      <c r="F67" s="42"/>
      <c r="G67" s="43"/>
      <c r="H67" s="43"/>
      <c r="I67" s="42"/>
      <c r="J67" s="44"/>
      <c r="K67" s="46"/>
      <c r="L67" s="34" t="str">
        <f t="shared" si="30"/>
        <v/>
      </c>
      <c r="M67" s="33" t="str">
        <f>IF($A67="","",SUMIFS(ASSEGNAZIONI!$F:$F,ASSEGNAZIONI!$B:$B,$A67))</f>
        <v/>
      </c>
      <c r="N67" s="34" t="str">
        <f>IF($A67="","",SUMIFS(ASSEGNAZIONI!$I:$I,ASSEGNAZIONI!$B:$B,$A67))</f>
        <v/>
      </c>
      <c r="O67" s="34" t="str">
        <f>IF($A67="","",SUMIFS(ASSEGNAZIONI!$J:$J,ASSEGNAZIONI!$B:$B,$A67))</f>
        <v/>
      </c>
      <c r="P67" s="34" t="str">
        <f t="shared" si="31"/>
        <v/>
      </c>
      <c r="Q67" s="44"/>
      <c r="R67" s="34" t="str">
        <f t="shared" si="32"/>
        <v/>
      </c>
      <c r="S67" s="35" t="str">
        <f t="shared" si="33"/>
        <v/>
      </c>
      <c r="T67" s="34" t="str">
        <f>IF($A67="","",SUMIFS(ODA!$R:$R,ODA!$B:$B,$A67))</f>
        <v/>
      </c>
      <c r="U67" s="34" t="str">
        <f>IF($A67="","",SUMIFS(ODA!$P:$P,ODA!$B:$B,$A67))</f>
        <v/>
      </c>
      <c r="V67" s="45" t="str">
        <f t="shared" si="34"/>
        <v/>
      </c>
      <c r="W67" s="33" t="str">
        <f>IF($A67="","",SUMIFS(ORE!$F:$F,ORE!$B:$B,$A67))</f>
        <v/>
      </c>
      <c r="X67" s="33" t="str">
        <f>IF($A67="","",SUMIFS(PREVISIONE_ORE!$G:$G,PREVISIONE_ORE!$D:$D,$A67,PREVISIONE_ORE!$K:$K,"Sì"))</f>
        <v/>
      </c>
      <c r="Y67" s="33" t="str">
        <f>IF($A67="","",IF(COUNTIFS(ASSEGNAZIONI!$B:$B,$A67)&gt;0,SUMIFS(ASSEGNAZIONI!$N:$N,ASSEGNAZIONI!$B:$B,$A67),MAX($W67,0)))</f>
        <v/>
      </c>
      <c r="Z67" s="33" t="str">
        <f t="shared" si="35"/>
        <v/>
      </c>
      <c r="AA67" s="34" t="str">
        <f>IF($A67="","",IF(COUNTIFS(ASSEGNAZIONI!$B:$B,$A67)&gt;0,SUMIFS(ASSEGNAZIONI!$P:$P,ASSEGNAZIONI!$B:$B,$A67),0))</f>
        <v/>
      </c>
      <c r="AB67" s="34" t="str">
        <f t="shared" si="36"/>
        <v/>
      </c>
      <c r="AC67" s="34" t="str">
        <f t="shared" si="37"/>
        <v/>
      </c>
      <c r="AD67" s="34" t="str">
        <f t="shared" si="38"/>
        <v/>
      </c>
      <c r="AE67" s="35" t="str">
        <f t="shared" si="39"/>
        <v/>
      </c>
      <c r="AF67" s="34" t="str">
        <f t="shared" si="40"/>
        <v/>
      </c>
      <c r="AG67" s="34" t="str">
        <f t="shared" si="41"/>
        <v/>
      </c>
      <c r="AH67" s="35" t="str">
        <f>IF($A67="","",IFERROR(AVERAGEIFS(FASI!$L:$L,FASI!$B:$B,$A67),0))</f>
        <v/>
      </c>
      <c r="AI67" s="35" t="str">
        <f t="shared" si="42"/>
        <v/>
      </c>
      <c r="AJ67" s="34" t="str">
        <f>IF($A67="","",SUMIFS(SAL!$H:$H,SAL!$B:$B,$A67,SAL!$O:$O,"Emessa")+SUMIFS(SAL!$H:$H,SAL!$B:$B,$A67,SAL!$O:$O,"Incassata")+SUMIFS(SAL!$H:$H,SAL!$B:$B,$A67,SAL!$O:$O,"Scaduta"))</f>
        <v/>
      </c>
      <c r="AK67" s="34" t="str">
        <f>IF($A67="","",SUMIFS(SAL!$H:$H,SAL!$B:$B,$A67,SAL!$O:$O,"Incassata"))</f>
        <v/>
      </c>
      <c r="AL67" s="34" t="str">
        <f t="shared" si="43"/>
        <v/>
      </c>
      <c r="AM67" s="34" t="str">
        <f t="shared" si="44"/>
        <v/>
      </c>
      <c r="AN67" s="36" t="str">
        <f ca="1">IF($A67="","",IF($M67=0,"RISORSE NON ASSEGNATE",IF($AE67&lt;0.1,"MARGINE CRITICO",IF($S67&lt;-SCONTO_MAX,"SCONTO OLTRE SOGLIA",IF($Z67&gt;0,"ORE OLTRE LA STIMA",IF($AI67&gt;ALLERTA_ORE,"CONSUMO ORE ELEVATO",IF(COUNTIFS(SAL!$B:$B,$A67,SAL!$K:$K,"EMETTIBILE")&gt;0,"SAL DA EMETTERE",IF(COUNTIFS(FASI!$B:$B,$A67,FASI!$H:$H,"&lt;"&amp;TODAY(),FASI!$L:$L,"&lt;1")&gt;0,"FASI IN RITARDO","OK"))))))))</f>
        <v/>
      </c>
    </row>
    <row r="68" spans="1:40" x14ac:dyDescent="0.3">
      <c r="A68" s="42"/>
      <c r="B68" s="42"/>
      <c r="C68" s="42"/>
      <c r="D68" s="42"/>
      <c r="E68" s="42"/>
      <c r="F68" s="42"/>
      <c r="G68" s="43"/>
      <c r="H68" s="43"/>
      <c r="I68" s="42"/>
      <c r="J68" s="44"/>
      <c r="K68" s="46"/>
      <c r="L68" s="34" t="str">
        <f t="shared" si="30"/>
        <v/>
      </c>
      <c r="M68" s="33" t="str">
        <f>IF($A68="","",SUMIFS(ASSEGNAZIONI!$F:$F,ASSEGNAZIONI!$B:$B,$A68))</f>
        <v/>
      </c>
      <c r="N68" s="34" t="str">
        <f>IF($A68="","",SUMIFS(ASSEGNAZIONI!$I:$I,ASSEGNAZIONI!$B:$B,$A68))</f>
        <v/>
      </c>
      <c r="O68" s="34" t="str">
        <f>IF($A68="","",SUMIFS(ASSEGNAZIONI!$J:$J,ASSEGNAZIONI!$B:$B,$A68))</f>
        <v/>
      </c>
      <c r="P68" s="34" t="str">
        <f t="shared" si="31"/>
        <v/>
      </c>
      <c r="Q68" s="44"/>
      <c r="R68" s="34" t="str">
        <f t="shared" si="32"/>
        <v/>
      </c>
      <c r="S68" s="35" t="str">
        <f t="shared" si="33"/>
        <v/>
      </c>
      <c r="T68" s="34" t="str">
        <f>IF($A68="","",SUMIFS(ODA!$R:$R,ODA!$B:$B,$A68))</f>
        <v/>
      </c>
      <c r="U68" s="34" t="str">
        <f>IF($A68="","",SUMIFS(ODA!$P:$P,ODA!$B:$B,$A68))</f>
        <v/>
      </c>
      <c r="V68" s="45" t="str">
        <f t="shared" si="34"/>
        <v/>
      </c>
      <c r="W68" s="33" t="str">
        <f>IF($A68="","",SUMIFS(ORE!$F:$F,ORE!$B:$B,$A68))</f>
        <v/>
      </c>
      <c r="X68" s="33" t="str">
        <f>IF($A68="","",SUMIFS(PREVISIONE_ORE!$G:$G,PREVISIONE_ORE!$D:$D,$A68,PREVISIONE_ORE!$K:$K,"Sì"))</f>
        <v/>
      </c>
      <c r="Y68" s="33" t="str">
        <f>IF($A68="","",IF(COUNTIFS(ASSEGNAZIONI!$B:$B,$A68)&gt;0,SUMIFS(ASSEGNAZIONI!$N:$N,ASSEGNAZIONI!$B:$B,$A68),MAX($W68,0)))</f>
        <v/>
      </c>
      <c r="Z68" s="33" t="str">
        <f t="shared" si="35"/>
        <v/>
      </c>
      <c r="AA68" s="34" t="str">
        <f>IF($A68="","",IF(COUNTIFS(ASSEGNAZIONI!$B:$B,$A68)&gt;0,SUMIFS(ASSEGNAZIONI!$P:$P,ASSEGNAZIONI!$B:$B,$A68),0))</f>
        <v/>
      </c>
      <c r="AB68" s="34" t="str">
        <f t="shared" si="36"/>
        <v/>
      </c>
      <c r="AC68" s="34" t="str">
        <f t="shared" si="37"/>
        <v/>
      </c>
      <c r="AD68" s="34" t="str">
        <f t="shared" si="38"/>
        <v/>
      </c>
      <c r="AE68" s="35" t="str">
        <f t="shared" si="39"/>
        <v/>
      </c>
      <c r="AF68" s="34" t="str">
        <f t="shared" si="40"/>
        <v/>
      </c>
      <c r="AG68" s="34" t="str">
        <f t="shared" si="41"/>
        <v/>
      </c>
      <c r="AH68" s="35" t="str">
        <f>IF($A68="","",IFERROR(AVERAGEIFS(FASI!$L:$L,FASI!$B:$B,$A68),0))</f>
        <v/>
      </c>
      <c r="AI68" s="35" t="str">
        <f t="shared" si="42"/>
        <v/>
      </c>
      <c r="AJ68" s="34" t="str">
        <f>IF($A68="","",SUMIFS(SAL!$H:$H,SAL!$B:$B,$A68,SAL!$O:$O,"Emessa")+SUMIFS(SAL!$H:$H,SAL!$B:$B,$A68,SAL!$O:$O,"Incassata")+SUMIFS(SAL!$H:$H,SAL!$B:$B,$A68,SAL!$O:$O,"Scaduta"))</f>
        <v/>
      </c>
      <c r="AK68" s="34" t="str">
        <f>IF($A68="","",SUMIFS(SAL!$H:$H,SAL!$B:$B,$A68,SAL!$O:$O,"Incassata"))</f>
        <v/>
      </c>
      <c r="AL68" s="34" t="str">
        <f t="shared" si="43"/>
        <v/>
      </c>
      <c r="AM68" s="34" t="str">
        <f t="shared" si="44"/>
        <v/>
      </c>
      <c r="AN68" s="36" t="str">
        <f ca="1">IF($A68="","",IF($M68=0,"RISORSE NON ASSEGNATE",IF($AE68&lt;0.1,"MARGINE CRITICO",IF($S68&lt;-SCONTO_MAX,"SCONTO OLTRE SOGLIA",IF($Z68&gt;0,"ORE OLTRE LA STIMA",IF($AI68&gt;ALLERTA_ORE,"CONSUMO ORE ELEVATO",IF(COUNTIFS(SAL!$B:$B,$A68,SAL!$K:$K,"EMETTIBILE")&gt;0,"SAL DA EMETTERE",IF(COUNTIFS(FASI!$B:$B,$A68,FASI!$H:$H,"&lt;"&amp;TODAY(),FASI!$L:$L,"&lt;1")&gt;0,"FASI IN RITARDO","OK"))))))))</f>
        <v/>
      </c>
    </row>
    <row r="69" spans="1:40" x14ac:dyDescent="0.3">
      <c r="A69" s="42"/>
      <c r="B69" s="42"/>
      <c r="C69" s="42"/>
      <c r="D69" s="42"/>
      <c r="E69" s="42"/>
      <c r="F69" s="42"/>
      <c r="G69" s="43"/>
      <c r="H69" s="43"/>
      <c r="I69" s="42"/>
      <c r="J69" s="44"/>
      <c r="K69" s="46"/>
      <c r="L69" s="34" t="str">
        <f t="shared" si="30"/>
        <v/>
      </c>
      <c r="M69" s="33" t="str">
        <f>IF($A69="","",SUMIFS(ASSEGNAZIONI!$F:$F,ASSEGNAZIONI!$B:$B,$A69))</f>
        <v/>
      </c>
      <c r="N69" s="34" t="str">
        <f>IF($A69="","",SUMIFS(ASSEGNAZIONI!$I:$I,ASSEGNAZIONI!$B:$B,$A69))</f>
        <v/>
      </c>
      <c r="O69" s="34" t="str">
        <f>IF($A69="","",SUMIFS(ASSEGNAZIONI!$J:$J,ASSEGNAZIONI!$B:$B,$A69))</f>
        <v/>
      </c>
      <c r="P69" s="34" t="str">
        <f t="shared" si="31"/>
        <v/>
      </c>
      <c r="Q69" s="44"/>
      <c r="R69" s="34" t="str">
        <f t="shared" si="32"/>
        <v/>
      </c>
      <c r="S69" s="35" t="str">
        <f t="shared" si="33"/>
        <v/>
      </c>
      <c r="T69" s="34" t="str">
        <f>IF($A69="","",SUMIFS(ODA!$R:$R,ODA!$B:$B,$A69))</f>
        <v/>
      </c>
      <c r="U69" s="34" t="str">
        <f>IF($A69="","",SUMIFS(ODA!$P:$P,ODA!$B:$B,$A69))</f>
        <v/>
      </c>
      <c r="V69" s="45" t="str">
        <f t="shared" si="34"/>
        <v/>
      </c>
      <c r="W69" s="33" t="str">
        <f>IF($A69="","",SUMIFS(ORE!$F:$F,ORE!$B:$B,$A69))</f>
        <v/>
      </c>
      <c r="X69" s="33" t="str">
        <f>IF($A69="","",SUMIFS(PREVISIONE_ORE!$G:$G,PREVISIONE_ORE!$D:$D,$A69,PREVISIONE_ORE!$K:$K,"Sì"))</f>
        <v/>
      </c>
      <c r="Y69" s="33" t="str">
        <f>IF($A69="","",IF(COUNTIFS(ASSEGNAZIONI!$B:$B,$A69)&gt;0,SUMIFS(ASSEGNAZIONI!$N:$N,ASSEGNAZIONI!$B:$B,$A69),MAX($W69,0)))</f>
        <v/>
      </c>
      <c r="Z69" s="33" t="str">
        <f t="shared" si="35"/>
        <v/>
      </c>
      <c r="AA69" s="34" t="str">
        <f>IF($A69="","",IF(COUNTIFS(ASSEGNAZIONI!$B:$B,$A69)&gt;0,SUMIFS(ASSEGNAZIONI!$P:$P,ASSEGNAZIONI!$B:$B,$A69),0))</f>
        <v/>
      </c>
      <c r="AB69" s="34" t="str">
        <f t="shared" si="36"/>
        <v/>
      </c>
      <c r="AC69" s="34" t="str">
        <f t="shared" si="37"/>
        <v/>
      </c>
      <c r="AD69" s="34" t="str">
        <f t="shared" si="38"/>
        <v/>
      </c>
      <c r="AE69" s="35" t="str">
        <f t="shared" si="39"/>
        <v/>
      </c>
      <c r="AF69" s="34" t="str">
        <f t="shared" si="40"/>
        <v/>
      </c>
      <c r="AG69" s="34" t="str">
        <f t="shared" si="41"/>
        <v/>
      </c>
      <c r="AH69" s="35" t="str">
        <f>IF($A69="","",IFERROR(AVERAGEIFS(FASI!$L:$L,FASI!$B:$B,$A69),0))</f>
        <v/>
      </c>
      <c r="AI69" s="35" t="str">
        <f t="shared" si="42"/>
        <v/>
      </c>
      <c r="AJ69" s="34" t="str">
        <f>IF($A69="","",SUMIFS(SAL!$H:$H,SAL!$B:$B,$A69,SAL!$O:$O,"Emessa")+SUMIFS(SAL!$H:$H,SAL!$B:$B,$A69,SAL!$O:$O,"Incassata")+SUMIFS(SAL!$H:$H,SAL!$B:$B,$A69,SAL!$O:$O,"Scaduta"))</f>
        <v/>
      </c>
      <c r="AK69" s="34" t="str">
        <f>IF($A69="","",SUMIFS(SAL!$H:$H,SAL!$B:$B,$A69,SAL!$O:$O,"Incassata"))</f>
        <v/>
      </c>
      <c r="AL69" s="34" t="str">
        <f t="shared" si="43"/>
        <v/>
      </c>
      <c r="AM69" s="34" t="str">
        <f t="shared" si="44"/>
        <v/>
      </c>
      <c r="AN69" s="36" t="str">
        <f ca="1">IF($A69="","",IF($M69=0,"RISORSE NON ASSEGNATE",IF($AE69&lt;0.1,"MARGINE CRITICO",IF($S69&lt;-SCONTO_MAX,"SCONTO OLTRE SOGLIA",IF($Z69&gt;0,"ORE OLTRE LA STIMA",IF($AI69&gt;ALLERTA_ORE,"CONSUMO ORE ELEVATO",IF(COUNTIFS(SAL!$B:$B,$A69,SAL!$K:$K,"EMETTIBILE")&gt;0,"SAL DA EMETTERE",IF(COUNTIFS(FASI!$B:$B,$A69,FASI!$H:$H,"&lt;"&amp;TODAY(),FASI!$L:$L,"&lt;1")&gt;0,"FASI IN RITARDO","OK"))))))))</f>
        <v/>
      </c>
    </row>
    <row r="70" spans="1:40" x14ac:dyDescent="0.3">
      <c r="A70" s="42"/>
      <c r="B70" s="42"/>
      <c r="C70" s="42"/>
      <c r="D70" s="42"/>
      <c r="E70" s="42"/>
      <c r="F70" s="42"/>
      <c r="G70" s="43"/>
      <c r="H70" s="43"/>
      <c r="I70" s="42"/>
      <c r="J70" s="44"/>
      <c r="K70" s="46"/>
      <c r="L70" s="34" t="str">
        <f t="shared" si="30"/>
        <v/>
      </c>
      <c r="M70" s="33" t="str">
        <f>IF($A70="","",SUMIFS(ASSEGNAZIONI!$F:$F,ASSEGNAZIONI!$B:$B,$A70))</f>
        <v/>
      </c>
      <c r="N70" s="34" t="str">
        <f>IF($A70="","",SUMIFS(ASSEGNAZIONI!$I:$I,ASSEGNAZIONI!$B:$B,$A70))</f>
        <v/>
      </c>
      <c r="O70" s="34" t="str">
        <f>IF($A70="","",SUMIFS(ASSEGNAZIONI!$J:$J,ASSEGNAZIONI!$B:$B,$A70))</f>
        <v/>
      </c>
      <c r="P70" s="34" t="str">
        <f t="shared" si="31"/>
        <v/>
      </c>
      <c r="Q70" s="44"/>
      <c r="R70" s="34" t="str">
        <f t="shared" si="32"/>
        <v/>
      </c>
      <c r="S70" s="35" t="str">
        <f t="shared" si="33"/>
        <v/>
      </c>
      <c r="T70" s="34" t="str">
        <f>IF($A70="","",SUMIFS(ODA!$R:$R,ODA!$B:$B,$A70))</f>
        <v/>
      </c>
      <c r="U70" s="34" t="str">
        <f>IF($A70="","",SUMIFS(ODA!$P:$P,ODA!$B:$B,$A70))</f>
        <v/>
      </c>
      <c r="V70" s="45" t="str">
        <f t="shared" si="34"/>
        <v/>
      </c>
      <c r="W70" s="33" t="str">
        <f>IF($A70="","",SUMIFS(ORE!$F:$F,ORE!$B:$B,$A70))</f>
        <v/>
      </c>
      <c r="X70" s="33" t="str">
        <f>IF($A70="","",SUMIFS(PREVISIONE_ORE!$G:$G,PREVISIONE_ORE!$D:$D,$A70,PREVISIONE_ORE!$K:$K,"Sì"))</f>
        <v/>
      </c>
      <c r="Y70" s="33" t="str">
        <f>IF($A70="","",IF(COUNTIFS(ASSEGNAZIONI!$B:$B,$A70)&gt;0,SUMIFS(ASSEGNAZIONI!$N:$N,ASSEGNAZIONI!$B:$B,$A70),MAX($W70,0)))</f>
        <v/>
      </c>
      <c r="Z70" s="33" t="str">
        <f t="shared" si="35"/>
        <v/>
      </c>
      <c r="AA70" s="34" t="str">
        <f>IF($A70="","",IF(COUNTIFS(ASSEGNAZIONI!$B:$B,$A70)&gt;0,SUMIFS(ASSEGNAZIONI!$P:$P,ASSEGNAZIONI!$B:$B,$A70),0))</f>
        <v/>
      </c>
      <c r="AB70" s="34" t="str">
        <f t="shared" si="36"/>
        <v/>
      </c>
      <c r="AC70" s="34" t="str">
        <f t="shared" si="37"/>
        <v/>
      </c>
      <c r="AD70" s="34" t="str">
        <f t="shared" si="38"/>
        <v/>
      </c>
      <c r="AE70" s="35" t="str">
        <f t="shared" si="39"/>
        <v/>
      </c>
      <c r="AF70" s="34" t="str">
        <f t="shared" si="40"/>
        <v/>
      </c>
      <c r="AG70" s="34" t="str">
        <f t="shared" si="41"/>
        <v/>
      </c>
      <c r="AH70" s="35" t="str">
        <f>IF($A70="","",IFERROR(AVERAGEIFS(FASI!$L:$L,FASI!$B:$B,$A70),0))</f>
        <v/>
      </c>
      <c r="AI70" s="35" t="str">
        <f t="shared" si="42"/>
        <v/>
      </c>
      <c r="AJ70" s="34" t="str">
        <f>IF($A70="","",SUMIFS(SAL!$H:$H,SAL!$B:$B,$A70,SAL!$O:$O,"Emessa")+SUMIFS(SAL!$H:$H,SAL!$B:$B,$A70,SAL!$O:$O,"Incassata")+SUMIFS(SAL!$H:$H,SAL!$B:$B,$A70,SAL!$O:$O,"Scaduta"))</f>
        <v/>
      </c>
      <c r="AK70" s="34" t="str">
        <f>IF($A70="","",SUMIFS(SAL!$H:$H,SAL!$B:$B,$A70,SAL!$O:$O,"Incassata"))</f>
        <v/>
      </c>
      <c r="AL70" s="34" t="str">
        <f t="shared" si="43"/>
        <v/>
      </c>
      <c r="AM70" s="34" t="str">
        <f t="shared" si="44"/>
        <v/>
      </c>
      <c r="AN70" s="36" t="str">
        <f ca="1">IF($A70="","",IF($M70=0,"RISORSE NON ASSEGNATE",IF($AE70&lt;0.1,"MARGINE CRITICO",IF($S70&lt;-SCONTO_MAX,"SCONTO OLTRE SOGLIA",IF($Z70&gt;0,"ORE OLTRE LA STIMA",IF($AI70&gt;ALLERTA_ORE,"CONSUMO ORE ELEVATO",IF(COUNTIFS(SAL!$B:$B,$A70,SAL!$K:$K,"EMETTIBILE")&gt;0,"SAL DA EMETTERE",IF(COUNTIFS(FASI!$B:$B,$A70,FASI!$H:$H,"&lt;"&amp;TODAY(),FASI!$L:$L,"&lt;1")&gt;0,"FASI IN RITARDO","OK"))))))))</f>
        <v/>
      </c>
    </row>
    <row r="71" spans="1:40" x14ac:dyDescent="0.3">
      <c r="A71" s="42"/>
      <c r="B71" s="42"/>
      <c r="C71" s="42"/>
      <c r="D71" s="42"/>
      <c r="E71" s="42"/>
      <c r="F71" s="42"/>
      <c r="G71" s="43"/>
      <c r="H71" s="43"/>
      <c r="I71" s="42"/>
      <c r="J71" s="44"/>
      <c r="K71" s="46"/>
      <c r="L71" s="34" t="str">
        <f t="shared" si="30"/>
        <v/>
      </c>
      <c r="M71" s="33" t="str">
        <f>IF($A71="","",SUMIFS(ASSEGNAZIONI!$F:$F,ASSEGNAZIONI!$B:$B,$A71))</f>
        <v/>
      </c>
      <c r="N71" s="34" t="str">
        <f>IF($A71="","",SUMIFS(ASSEGNAZIONI!$I:$I,ASSEGNAZIONI!$B:$B,$A71))</f>
        <v/>
      </c>
      <c r="O71" s="34" t="str">
        <f>IF($A71="","",SUMIFS(ASSEGNAZIONI!$J:$J,ASSEGNAZIONI!$B:$B,$A71))</f>
        <v/>
      </c>
      <c r="P71" s="34" t="str">
        <f t="shared" si="31"/>
        <v/>
      </c>
      <c r="Q71" s="44"/>
      <c r="R71" s="34" t="str">
        <f t="shared" si="32"/>
        <v/>
      </c>
      <c r="S71" s="35" t="str">
        <f t="shared" si="33"/>
        <v/>
      </c>
      <c r="T71" s="34" t="str">
        <f>IF($A71="","",SUMIFS(ODA!$R:$R,ODA!$B:$B,$A71))</f>
        <v/>
      </c>
      <c r="U71" s="34" t="str">
        <f>IF($A71="","",SUMIFS(ODA!$P:$P,ODA!$B:$B,$A71))</f>
        <v/>
      </c>
      <c r="V71" s="45" t="str">
        <f t="shared" si="34"/>
        <v/>
      </c>
      <c r="W71" s="33" t="str">
        <f>IF($A71="","",SUMIFS(ORE!$F:$F,ORE!$B:$B,$A71))</f>
        <v/>
      </c>
      <c r="X71" s="33" t="str">
        <f>IF($A71="","",SUMIFS(PREVISIONE_ORE!$G:$G,PREVISIONE_ORE!$D:$D,$A71,PREVISIONE_ORE!$K:$K,"Sì"))</f>
        <v/>
      </c>
      <c r="Y71" s="33" t="str">
        <f>IF($A71="","",IF(COUNTIFS(ASSEGNAZIONI!$B:$B,$A71)&gt;0,SUMIFS(ASSEGNAZIONI!$N:$N,ASSEGNAZIONI!$B:$B,$A71),MAX($W71,0)))</f>
        <v/>
      </c>
      <c r="Z71" s="33" t="str">
        <f t="shared" si="35"/>
        <v/>
      </c>
      <c r="AA71" s="34" t="str">
        <f>IF($A71="","",IF(COUNTIFS(ASSEGNAZIONI!$B:$B,$A71)&gt;0,SUMIFS(ASSEGNAZIONI!$P:$P,ASSEGNAZIONI!$B:$B,$A71),0))</f>
        <v/>
      </c>
      <c r="AB71" s="34" t="str">
        <f t="shared" si="36"/>
        <v/>
      </c>
      <c r="AC71" s="34" t="str">
        <f t="shared" si="37"/>
        <v/>
      </c>
      <c r="AD71" s="34" t="str">
        <f t="shared" si="38"/>
        <v/>
      </c>
      <c r="AE71" s="35" t="str">
        <f t="shared" si="39"/>
        <v/>
      </c>
      <c r="AF71" s="34" t="str">
        <f t="shared" si="40"/>
        <v/>
      </c>
      <c r="AG71" s="34" t="str">
        <f t="shared" si="41"/>
        <v/>
      </c>
      <c r="AH71" s="35" t="str">
        <f>IF($A71="","",IFERROR(AVERAGEIFS(FASI!$L:$L,FASI!$B:$B,$A71),0))</f>
        <v/>
      </c>
      <c r="AI71" s="35" t="str">
        <f t="shared" si="42"/>
        <v/>
      </c>
      <c r="AJ71" s="34" t="str">
        <f>IF($A71="","",SUMIFS(SAL!$H:$H,SAL!$B:$B,$A71,SAL!$O:$O,"Emessa")+SUMIFS(SAL!$H:$H,SAL!$B:$B,$A71,SAL!$O:$O,"Incassata")+SUMIFS(SAL!$H:$H,SAL!$B:$B,$A71,SAL!$O:$O,"Scaduta"))</f>
        <v/>
      </c>
      <c r="AK71" s="34" t="str">
        <f>IF($A71="","",SUMIFS(SAL!$H:$H,SAL!$B:$B,$A71,SAL!$O:$O,"Incassata"))</f>
        <v/>
      </c>
      <c r="AL71" s="34" t="str">
        <f t="shared" si="43"/>
        <v/>
      </c>
      <c r="AM71" s="34" t="str">
        <f t="shared" si="44"/>
        <v/>
      </c>
      <c r="AN71" s="36" t="str">
        <f ca="1">IF($A71="","",IF($M71=0,"RISORSE NON ASSEGNATE",IF($AE71&lt;0.1,"MARGINE CRITICO",IF($S71&lt;-SCONTO_MAX,"SCONTO OLTRE SOGLIA",IF($Z71&gt;0,"ORE OLTRE LA STIMA",IF($AI71&gt;ALLERTA_ORE,"CONSUMO ORE ELEVATO",IF(COUNTIFS(SAL!$B:$B,$A71,SAL!$K:$K,"EMETTIBILE")&gt;0,"SAL DA EMETTERE",IF(COUNTIFS(FASI!$B:$B,$A71,FASI!$H:$H,"&lt;"&amp;TODAY(),FASI!$L:$L,"&lt;1")&gt;0,"FASI IN RITARDO","OK"))))))))</f>
        <v/>
      </c>
    </row>
    <row r="72" spans="1:40" x14ac:dyDescent="0.3">
      <c r="A72" s="42"/>
      <c r="B72" s="42"/>
      <c r="C72" s="42"/>
      <c r="D72" s="42"/>
      <c r="E72" s="42"/>
      <c r="F72" s="42"/>
      <c r="G72" s="43"/>
      <c r="H72" s="43"/>
      <c r="I72" s="42"/>
      <c r="J72" s="44"/>
      <c r="K72" s="46"/>
      <c r="L72" s="34" t="str">
        <f t="shared" si="30"/>
        <v/>
      </c>
      <c r="M72" s="33" t="str">
        <f>IF($A72="","",SUMIFS(ASSEGNAZIONI!$F:$F,ASSEGNAZIONI!$B:$B,$A72))</f>
        <v/>
      </c>
      <c r="N72" s="34" t="str">
        <f>IF($A72="","",SUMIFS(ASSEGNAZIONI!$I:$I,ASSEGNAZIONI!$B:$B,$A72))</f>
        <v/>
      </c>
      <c r="O72" s="34" t="str">
        <f>IF($A72="","",SUMIFS(ASSEGNAZIONI!$J:$J,ASSEGNAZIONI!$B:$B,$A72))</f>
        <v/>
      </c>
      <c r="P72" s="34" t="str">
        <f t="shared" si="31"/>
        <v/>
      </c>
      <c r="Q72" s="44"/>
      <c r="R72" s="34" t="str">
        <f t="shared" si="32"/>
        <v/>
      </c>
      <c r="S72" s="35" t="str">
        <f t="shared" si="33"/>
        <v/>
      </c>
      <c r="T72" s="34" t="str">
        <f>IF($A72="","",SUMIFS(ODA!$R:$R,ODA!$B:$B,$A72))</f>
        <v/>
      </c>
      <c r="U72" s="34" t="str">
        <f>IF($A72="","",SUMIFS(ODA!$P:$P,ODA!$B:$B,$A72))</f>
        <v/>
      </c>
      <c r="V72" s="45" t="str">
        <f t="shared" si="34"/>
        <v/>
      </c>
      <c r="W72" s="33" t="str">
        <f>IF($A72="","",SUMIFS(ORE!$F:$F,ORE!$B:$B,$A72))</f>
        <v/>
      </c>
      <c r="X72" s="33" t="str">
        <f>IF($A72="","",SUMIFS(PREVISIONE_ORE!$G:$G,PREVISIONE_ORE!$D:$D,$A72,PREVISIONE_ORE!$K:$K,"Sì"))</f>
        <v/>
      </c>
      <c r="Y72" s="33" t="str">
        <f>IF($A72="","",IF(COUNTIFS(ASSEGNAZIONI!$B:$B,$A72)&gt;0,SUMIFS(ASSEGNAZIONI!$N:$N,ASSEGNAZIONI!$B:$B,$A72),MAX($W72,0)))</f>
        <v/>
      </c>
      <c r="Z72" s="33" t="str">
        <f t="shared" si="35"/>
        <v/>
      </c>
      <c r="AA72" s="34" t="str">
        <f>IF($A72="","",IF(COUNTIFS(ASSEGNAZIONI!$B:$B,$A72)&gt;0,SUMIFS(ASSEGNAZIONI!$P:$P,ASSEGNAZIONI!$B:$B,$A72),0))</f>
        <v/>
      </c>
      <c r="AB72" s="34" t="str">
        <f t="shared" si="36"/>
        <v/>
      </c>
      <c r="AC72" s="34" t="str">
        <f t="shared" si="37"/>
        <v/>
      </c>
      <c r="AD72" s="34" t="str">
        <f t="shared" si="38"/>
        <v/>
      </c>
      <c r="AE72" s="35" t="str">
        <f t="shared" si="39"/>
        <v/>
      </c>
      <c r="AF72" s="34" t="str">
        <f t="shared" si="40"/>
        <v/>
      </c>
      <c r="AG72" s="34" t="str">
        <f t="shared" si="41"/>
        <v/>
      </c>
      <c r="AH72" s="35" t="str">
        <f>IF($A72="","",IFERROR(AVERAGEIFS(FASI!$L:$L,FASI!$B:$B,$A72),0))</f>
        <v/>
      </c>
      <c r="AI72" s="35" t="str">
        <f t="shared" si="42"/>
        <v/>
      </c>
      <c r="AJ72" s="34" t="str">
        <f>IF($A72="","",SUMIFS(SAL!$H:$H,SAL!$B:$B,$A72,SAL!$O:$O,"Emessa")+SUMIFS(SAL!$H:$H,SAL!$B:$B,$A72,SAL!$O:$O,"Incassata")+SUMIFS(SAL!$H:$H,SAL!$B:$B,$A72,SAL!$O:$O,"Scaduta"))</f>
        <v/>
      </c>
      <c r="AK72" s="34" t="str">
        <f>IF($A72="","",SUMIFS(SAL!$H:$H,SAL!$B:$B,$A72,SAL!$O:$O,"Incassata"))</f>
        <v/>
      </c>
      <c r="AL72" s="34" t="str">
        <f t="shared" si="43"/>
        <v/>
      </c>
      <c r="AM72" s="34" t="str">
        <f t="shared" si="44"/>
        <v/>
      </c>
      <c r="AN72" s="36" t="str">
        <f ca="1">IF($A72="","",IF($M72=0,"RISORSE NON ASSEGNATE",IF($AE72&lt;0.1,"MARGINE CRITICO",IF($S72&lt;-SCONTO_MAX,"SCONTO OLTRE SOGLIA",IF($Z72&gt;0,"ORE OLTRE LA STIMA",IF($AI72&gt;ALLERTA_ORE,"CONSUMO ORE ELEVATO",IF(COUNTIFS(SAL!$B:$B,$A72,SAL!$K:$K,"EMETTIBILE")&gt;0,"SAL DA EMETTERE",IF(COUNTIFS(FASI!$B:$B,$A72,FASI!$H:$H,"&lt;"&amp;TODAY(),FASI!$L:$L,"&lt;1")&gt;0,"FASI IN RITARDO","OK"))))))))</f>
        <v/>
      </c>
    </row>
    <row r="73" spans="1:40" x14ac:dyDescent="0.3">
      <c r="A73" s="42"/>
      <c r="B73" s="42"/>
      <c r="C73" s="42"/>
      <c r="D73" s="42"/>
      <c r="E73" s="42"/>
      <c r="F73" s="42"/>
      <c r="G73" s="43"/>
      <c r="H73" s="43"/>
      <c r="I73" s="42"/>
      <c r="J73" s="44"/>
      <c r="K73" s="46"/>
      <c r="L73" s="34" t="str">
        <f t="shared" si="30"/>
        <v/>
      </c>
      <c r="M73" s="33" t="str">
        <f>IF($A73="","",SUMIFS(ASSEGNAZIONI!$F:$F,ASSEGNAZIONI!$B:$B,$A73))</f>
        <v/>
      </c>
      <c r="N73" s="34" t="str">
        <f>IF($A73="","",SUMIFS(ASSEGNAZIONI!$I:$I,ASSEGNAZIONI!$B:$B,$A73))</f>
        <v/>
      </c>
      <c r="O73" s="34" t="str">
        <f>IF($A73="","",SUMIFS(ASSEGNAZIONI!$J:$J,ASSEGNAZIONI!$B:$B,$A73))</f>
        <v/>
      </c>
      <c r="P73" s="34" t="str">
        <f t="shared" si="31"/>
        <v/>
      </c>
      <c r="Q73" s="44"/>
      <c r="R73" s="34" t="str">
        <f t="shared" si="32"/>
        <v/>
      </c>
      <c r="S73" s="35" t="str">
        <f t="shared" si="33"/>
        <v/>
      </c>
      <c r="T73" s="34" t="str">
        <f>IF($A73="","",SUMIFS(ODA!$R:$R,ODA!$B:$B,$A73))</f>
        <v/>
      </c>
      <c r="U73" s="34" t="str">
        <f>IF($A73="","",SUMIFS(ODA!$P:$P,ODA!$B:$B,$A73))</f>
        <v/>
      </c>
      <c r="V73" s="45" t="str">
        <f t="shared" si="34"/>
        <v/>
      </c>
      <c r="W73" s="33" t="str">
        <f>IF($A73="","",SUMIFS(ORE!$F:$F,ORE!$B:$B,$A73))</f>
        <v/>
      </c>
      <c r="X73" s="33" t="str">
        <f>IF($A73="","",SUMIFS(PREVISIONE_ORE!$G:$G,PREVISIONE_ORE!$D:$D,$A73,PREVISIONE_ORE!$K:$K,"Sì"))</f>
        <v/>
      </c>
      <c r="Y73" s="33" t="str">
        <f>IF($A73="","",IF(COUNTIFS(ASSEGNAZIONI!$B:$B,$A73)&gt;0,SUMIFS(ASSEGNAZIONI!$N:$N,ASSEGNAZIONI!$B:$B,$A73),MAX($W73,0)))</f>
        <v/>
      </c>
      <c r="Z73" s="33" t="str">
        <f t="shared" si="35"/>
        <v/>
      </c>
      <c r="AA73" s="34" t="str">
        <f>IF($A73="","",IF(COUNTIFS(ASSEGNAZIONI!$B:$B,$A73)&gt;0,SUMIFS(ASSEGNAZIONI!$P:$P,ASSEGNAZIONI!$B:$B,$A73),0))</f>
        <v/>
      </c>
      <c r="AB73" s="34" t="str">
        <f t="shared" si="36"/>
        <v/>
      </c>
      <c r="AC73" s="34" t="str">
        <f t="shared" si="37"/>
        <v/>
      </c>
      <c r="AD73" s="34" t="str">
        <f t="shared" si="38"/>
        <v/>
      </c>
      <c r="AE73" s="35" t="str">
        <f t="shared" si="39"/>
        <v/>
      </c>
      <c r="AF73" s="34" t="str">
        <f t="shared" si="40"/>
        <v/>
      </c>
      <c r="AG73" s="34" t="str">
        <f t="shared" si="41"/>
        <v/>
      </c>
      <c r="AH73" s="35" t="str">
        <f>IF($A73="","",IFERROR(AVERAGEIFS(FASI!$L:$L,FASI!$B:$B,$A73),0))</f>
        <v/>
      </c>
      <c r="AI73" s="35" t="str">
        <f t="shared" si="42"/>
        <v/>
      </c>
      <c r="AJ73" s="34" t="str">
        <f>IF($A73="","",SUMIFS(SAL!$H:$H,SAL!$B:$B,$A73,SAL!$O:$O,"Emessa")+SUMIFS(SAL!$H:$H,SAL!$B:$B,$A73,SAL!$O:$O,"Incassata")+SUMIFS(SAL!$H:$H,SAL!$B:$B,$A73,SAL!$O:$O,"Scaduta"))</f>
        <v/>
      </c>
      <c r="AK73" s="34" t="str">
        <f>IF($A73="","",SUMIFS(SAL!$H:$H,SAL!$B:$B,$A73,SAL!$O:$O,"Incassata"))</f>
        <v/>
      </c>
      <c r="AL73" s="34" t="str">
        <f t="shared" si="43"/>
        <v/>
      </c>
      <c r="AM73" s="34" t="str">
        <f t="shared" si="44"/>
        <v/>
      </c>
      <c r="AN73" s="36" t="str">
        <f ca="1">IF($A73="","",IF($M73=0,"RISORSE NON ASSEGNATE",IF($AE73&lt;0.1,"MARGINE CRITICO",IF($S73&lt;-SCONTO_MAX,"SCONTO OLTRE SOGLIA",IF($Z73&gt;0,"ORE OLTRE LA STIMA",IF($AI73&gt;ALLERTA_ORE,"CONSUMO ORE ELEVATO",IF(COUNTIFS(SAL!$B:$B,$A73,SAL!$K:$K,"EMETTIBILE")&gt;0,"SAL DA EMETTERE",IF(COUNTIFS(FASI!$B:$B,$A73,FASI!$H:$H,"&lt;"&amp;TODAY(),FASI!$L:$L,"&lt;1")&gt;0,"FASI IN RITARDO","OK"))))))))</f>
        <v/>
      </c>
    </row>
    <row r="74" spans="1:40" x14ac:dyDescent="0.3">
      <c r="A74" s="42"/>
      <c r="B74" s="42"/>
      <c r="C74" s="42"/>
      <c r="D74" s="42"/>
      <c r="E74" s="42"/>
      <c r="F74" s="42"/>
      <c r="G74" s="43"/>
      <c r="H74" s="43"/>
      <c r="I74" s="42"/>
      <c r="J74" s="44"/>
      <c r="K74" s="46"/>
      <c r="L74" s="34" t="str">
        <f t="shared" si="30"/>
        <v/>
      </c>
      <c r="M74" s="33" t="str">
        <f>IF($A74="","",SUMIFS(ASSEGNAZIONI!$F:$F,ASSEGNAZIONI!$B:$B,$A74))</f>
        <v/>
      </c>
      <c r="N74" s="34" t="str">
        <f>IF($A74="","",SUMIFS(ASSEGNAZIONI!$I:$I,ASSEGNAZIONI!$B:$B,$A74))</f>
        <v/>
      </c>
      <c r="O74" s="34" t="str">
        <f>IF($A74="","",SUMIFS(ASSEGNAZIONI!$J:$J,ASSEGNAZIONI!$B:$B,$A74))</f>
        <v/>
      </c>
      <c r="P74" s="34" t="str">
        <f t="shared" si="31"/>
        <v/>
      </c>
      <c r="Q74" s="44"/>
      <c r="R74" s="34" t="str">
        <f t="shared" si="32"/>
        <v/>
      </c>
      <c r="S74" s="35" t="str">
        <f t="shared" si="33"/>
        <v/>
      </c>
      <c r="T74" s="34" t="str">
        <f>IF($A74="","",SUMIFS(ODA!$R:$R,ODA!$B:$B,$A74))</f>
        <v/>
      </c>
      <c r="U74" s="34" t="str">
        <f>IF($A74="","",SUMIFS(ODA!$P:$P,ODA!$B:$B,$A74))</f>
        <v/>
      </c>
      <c r="V74" s="45" t="str">
        <f t="shared" si="34"/>
        <v/>
      </c>
      <c r="W74" s="33" t="str">
        <f>IF($A74="","",SUMIFS(ORE!$F:$F,ORE!$B:$B,$A74))</f>
        <v/>
      </c>
      <c r="X74" s="33" t="str">
        <f>IF($A74="","",SUMIFS(PREVISIONE_ORE!$G:$G,PREVISIONE_ORE!$D:$D,$A74,PREVISIONE_ORE!$K:$K,"Sì"))</f>
        <v/>
      </c>
      <c r="Y74" s="33" t="str">
        <f>IF($A74="","",IF(COUNTIFS(ASSEGNAZIONI!$B:$B,$A74)&gt;0,SUMIFS(ASSEGNAZIONI!$N:$N,ASSEGNAZIONI!$B:$B,$A74),MAX($W74,0)))</f>
        <v/>
      </c>
      <c r="Z74" s="33" t="str">
        <f t="shared" si="35"/>
        <v/>
      </c>
      <c r="AA74" s="34" t="str">
        <f>IF($A74="","",IF(COUNTIFS(ASSEGNAZIONI!$B:$B,$A74)&gt;0,SUMIFS(ASSEGNAZIONI!$P:$P,ASSEGNAZIONI!$B:$B,$A74),0))</f>
        <v/>
      </c>
      <c r="AB74" s="34" t="str">
        <f t="shared" si="36"/>
        <v/>
      </c>
      <c r="AC74" s="34" t="str">
        <f t="shared" si="37"/>
        <v/>
      </c>
      <c r="AD74" s="34" t="str">
        <f t="shared" si="38"/>
        <v/>
      </c>
      <c r="AE74" s="35" t="str">
        <f t="shared" si="39"/>
        <v/>
      </c>
      <c r="AF74" s="34" t="str">
        <f t="shared" si="40"/>
        <v/>
      </c>
      <c r="AG74" s="34" t="str">
        <f t="shared" si="41"/>
        <v/>
      </c>
      <c r="AH74" s="35" t="str">
        <f>IF($A74="","",IFERROR(AVERAGEIFS(FASI!$L:$L,FASI!$B:$B,$A74),0))</f>
        <v/>
      </c>
      <c r="AI74" s="35" t="str">
        <f t="shared" si="42"/>
        <v/>
      </c>
      <c r="AJ74" s="34" t="str">
        <f>IF($A74="","",SUMIFS(SAL!$H:$H,SAL!$B:$B,$A74,SAL!$O:$O,"Emessa")+SUMIFS(SAL!$H:$H,SAL!$B:$B,$A74,SAL!$O:$O,"Incassata")+SUMIFS(SAL!$H:$H,SAL!$B:$B,$A74,SAL!$O:$O,"Scaduta"))</f>
        <v/>
      </c>
      <c r="AK74" s="34" t="str">
        <f>IF($A74="","",SUMIFS(SAL!$H:$H,SAL!$B:$B,$A74,SAL!$O:$O,"Incassata"))</f>
        <v/>
      </c>
      <c r="AL74" s="34" t="str">
        <f t="shared" si="43"/>
        <v/>
      </c>
      <c r="AM74" s="34" t="str">
        <f t="shared" si="44"/>
        <v/>
      </c>
      <c r="AN74" s="36" t="str">
        <f ca="1">IF($A74="","",IF($M74=0,"RISORSE NON ASSEGNATE",IF($AE74&lt;0.1,"MARGINE CRITICO",IF($S74&lt;-SCONTO_MAX,"SCONTO OLTRE SOGLIA",IF($Z74&gt;0,"ORE OLTRE LA STIMA",IF($AI74&gt;ALLERTA_ORE,"CONSUMO ORE ELEVATO",IF(COUNTIFS(SAL!$B:$B,$A74,SAL!$K:$K,"EMETTIBILE")&gt;0,"SAL DA EMETTERE",IF(COUNTIFS(FASI!$B:$B,$A74,FASI!$H:$H,"&lt;"&amp;TODAY(),FASI!$L:$L,"&lt;1")&gt;0,"FASI IN RITARDO","OK"))))))))</f>
        <v/>
      </c>
    </row>
    <row r="75" spans="1:40" x14ac:dyDescent="0.3">
      <c r="A75" s="42"/>
      <c r="B75" s="42"/>
      <c r="C75" s="42"/>
      <c r="D75" s="42"/>
      <c r="E75" s="42"/>
      <c r="F75" s="42"/>
      <c r="G75" s="43"/>
      <c r="H75" s="43"/>
      <c r="I75" s="42"/>
      <c r="J75" s="44"/>
      <c r="K75" s="46"/>
      <c r="L75" s="34" t="str">
        <f t="shared" si="30"/>
        <v/>
      </c>
      <c r="M75" s="33" t="str">
        <f>IF($A75="","",SUMIFS(ASSEGNAZIONI!$F:$F,ASSEGNAZIONI!$B:$B,$A75))</f>
        <v/>
      </c>
      <c r="N75" s="34" t="str">
        <f>IF($A75="","",SUMIFS(ASSEGNAZIONI!$I:$I,ASSEGNAZIONI!$B:$B,$A75))</f>
        <v/>
      </c>
      <c r="O75" s="34" t="str">
        <f>IF($A75="","",SUMIFS(ASSEGNAZIONI!$J:$J,ASSEGNAZIONI!$B:$B,$A75))</f>
        <v/>
      </c>
      <c r="P75" s="34" t="str">
        <f t="shared" si="31"/>
        <v/>
      </c>
      <c r="Q75" s="44"/>
      <c r="R75" s="34" t="str">
        <f t="shared" si="32"/>
        <v/>
      </c>
      <c r="S75" s="35" t="str">
        <f t="shared" si="33"/>
        <v/>
      </c>
      <c r="T75" s="34" t="str">
        <f>IF($A75="","",SUMIFS(ODA!$R:$R,ODA!$B:$B,$A75))</f>
        <v/>
      </c>
      <c r="U75" s="34" t="str">
        <f>IF($A75="","",SUMIFS(ODA!$P:$P,ODA!$B:$B,$A75))</f>
        <v/>
      </c>
      <c r="V75" s="45" t="str">
        <f t="shared" si="34"/>
        <v/>
      </c>
      <c r="W75" s="33" t="str">
        <f>IF($A75="","",SUMIFS(ORE!$F:$F,ORE!$B:$B,$A75))</f>
        <v/>
      </c>
      <c r="X75" s="33" t="str">
        <f>IF($A75="","",SUMIFS(PREVISIONE_ORE!$G:$G,PREVISIONE_ORE!$D:$D,$A75,PREVISIONE_ORE!$K:$K,"Sì"))</f>
        <v/>
      </c>
      <c r="Y75" s="33" t="str">
        <f>IF($A75="","",IF(COUNTIFS(ASSEGNAZIONI!$B:$B,$A75)&gt;0,SUMIFS(ASSEGNAZIONI!$N:$N,ASSEGNAZIONI!$B:$B,$A75),MAX($W75,0)))</f>
        <v/>
      </c>
      <c r="Z75" s="33" t="str">
        <f t="shared" si="35"/>
        <v/>
      </c>
      <c r="AA75" s="34" t="str">
        <f>IF($A75="","",IF(COUNTIFS(ASSEGNAZIONI!$B:$B,$A75)&gt;0,SUMIFS(ASSEGNAZIONI!$P:$P,ASSEGNAZIONI!$B:$B,$A75),0))</f>
        <v/>
      </c>
      <c r="AB75" s="34" t="str">
        <f t="shared" si="36"/>
        <v/>
      </c>
      <c r="AC75" s="34" t="str">
        <f t="shared" si="37"/>
        <v/>
      </c>
      <c r="AD75" s="34" t="str">
        <f t="shared" si="38"/>
        <v/>
      </c>
      <c r="AE75" s="35" t="str">
        <f t="shared" si="39"/>
        <v/>
      </c>
      <c r="AF75" s="34" t="str">
        <f t="shared" si="40"/>
        <v/>
      </c>
      <c r="AG75" s="34" t="str">
        <f t="shared" si="41"/>
        <v/>
      </c>
      <c r="AH75" s="35" t="str">
        <f>IF($A75="","",IFERROR(AVERAGEIFS(FASI!$L:$L,FASI!$B:$B,$A75),0))</f>
        <v/>
      </c>
      <c r="AI75" s="35" t="str">
        <f t="shared" si="42"/>
        <v/>
      </c>
      <c r="AJ75" s="34" t="str">
        <f>IF($A75="","",SUMIFS(SAL!$H:$H,SAL!$B:$B,$A75,SAL!$O:$O,"Emessa")+SUMIFS(SAL!$H:$H,SAL!$B:$B,$A75,SAL!$O:$O,"Incassata")+SUMIFS(SAL!$H:$H,SAL!$B:$B,$A75,SAL!$O:$O,"Scaduta"))</f>
        <v/>
      </c>
      <c r="AK75" s="34" t="str">
        <f>IF($A75="","",SUMIFS(SAL!$H:$H,SAL!$B:$B,$A75,SAL!$O:$O,"Incassata"))</f>
        <v/>
      </c>
      <c r="AL75" s="34" t="str">
        <f t="shared" si="43"/>
        <v/>
      </c>
      <c r="AM75" s="34" t="str">
        <f t="shared" si="44"/>
        <v/>
      </c>
      <c r="AN75" s="36" t="str">
        <f ca="1">IF($A75="","",IF($M75=0,"RISORSE NON ASSEGNATE",IF($AE75&lt;0.1,"MARGINE CRITICO",IF($S75&lt;-SCONTO_MAX,"SCONTO OLTRE SOGLIA",IF($Z75&gt;0,"ORE OLTRE LA STIMA",IF($AI75&gt;ALLERTA_ORE,"CONSUMO ORE ELEVATO",IF(COUNTIFS(SAL!$B:$B,$A75,SAL!$K:$K,"EMETTIBILE")&gt;0,"SAL DA EMETTERE",IF(COUNTIFS(FASI!$B:$B,$A75,FASI!$H:$H,"&lt;"&amp;TODAY(),FASI!$L:$L,"&lt;1")&gt;0,"FASI IN RITARDO","OK"))))))))</f>
        <v/>
      </c>
    </row>
    <row r="76" spans="1:40" x14ac:dyDescent="0.3">
      <c r="A76" s="42"/>
      <c r="B76" s="42"/>
      <c r="C76" s="42"/>
      <c r="D76" s="42"/>
      <c r="E76" s="42"/>
      <c r="F76" s="42"/>
      <c r="G76" s="43"/>
      <c r="H76" s="43"/>
      <c r="I76" s="42"/>
      <c r="J76" s="44"/>
      <c r="K76" s="46"/>
      <c r="L76" s="34" t="str">
        <f t="shared" si="30"/>
        <v/>
      </c>
      <c r="M76" s="33" t="str">
        <f>IF($A76="","",SUMIFS(ASSEGNAZIONI!$F:$F,ASSEGNAZIONI!$B:$B,$A76))</f>
        <v/>
      </c>
      <c r="N76" s="34" t="str">
        <f>IF($A76="","",SUMIFS(ASSEGNAZIONI!$I:$I,ASSEGNAZIONI!$B:$B,$A76))</f>
        <v/>
      </c>
      <c r="O76" s="34" t="str">
        <f>IF($A76="","",SUMIFS(ASSEGNAZIONI!$J:$J,ASSEGNAZIONI!$B:$B,$A76))</f>
        <v/>
      </c>
      <c r="P76" s="34" t="str">
        <f t="shared" si="31"/>
        <v/>
      </c>
      <c r="Q76" s="44"/>
      <c r="R76" s="34" t="str">
        <f t="shared" si="32"/>
        <v/>
      </c>
      <c r="S76" s="35" t="str">
        <f t="shared" si="33"/>
        <v/>
      </c>
      <c r="T76" s="34" t="str">
        <f>IF($A76="","",SUMIFS(ODA!$R:$R,ODA!$B:$B,$A76))</f>
        <v/>
      </c>
      <c r="U76" s="34" t="str">
        <f>IF($A76="","",SUMIFS(ODA!$P:$P,ODA!$B:$B,$A76))</f>
        <v/>
      </c>
      <c r="V76" s="45" t="str">
        <f t="shared" si="34"/>
        <v/>
      </c>
      <c r="W76" s="33" t="str">
        <f>IF($A76="","",SUMIFS(ORE!$F:$F,ORE!$B:$B,$A76))</f>
        <v/>
      </c>
      <c r="X76" s="33" t="str">
        <f>IF($A76="","",SUMIFS(PREVISIONE_ORE!$G:$G,PREVISIONE_ORE!$D:$D,$A76,PREVISIONE_ORE!$K:$K,"Sì"))</f>
        <v/>
      </c>
      <c r="Y76" s="33" t="str">
        <f>IF($A76="","",IF(COUNTIFS(ASSEGNAZIONI!$B:$B,$A76)&gt;0,SUMIFS(ASSEGNAZIONI!$N:$N,ASSEGNAZIONI!$B:$B,$A76),MAX($W76,0)))</f>
        <v/>
      </c>
      <c r="Z76" s="33" t="str">
        <f t="shared" si="35"/>
        <v/>
      </c>
      <c r="AA76" s="34" t="str">
        <f>IF($A76="","",IF(COUNTIFS(ASSEGNAZIONI!$B:$B,$A76)&gt;0,SUMIFS(ASSEGNAZIONI!$P:$P,ASSEGNAZIONI!$B:$B,$A76),0))</f>
        <v/>
      </c>
      <c r="AB76" s="34" t="str">
        <f t="shared" si="36"/>
        <v/>
      </c>
      <c r="AC76" s="34" t="str">
        <f t="shared" si="37"/>
        <v/>
      </c>
      <c r="AD76" s="34" t="str">
        <f t="shared" si="38"/>
        <v/>
      </c>
      <c r="AE76" s="35" t="str">
        <f t="shared" si="39"/>
        <v/>
      </c>
      <c r="AF76" s="34" t="str">
        <f t="shared" si="40"/>
        <v/>
      </c>
      <c r="AG76" s="34" t="str">
        <f t="shared" si="41"/>
        <v/>
      </c>
      <c r="AH76" s="35" t="str">
        <f>IF($A76="","",IFERROR(AVERAGEIFS(FASI!$L:$L,FASI!$B:$B,$A76),0))</f>
        <v/>
      </c>
      <c r="AI76" s="35" t="str">
        <f t="shared" si="42"/>
        <v/>
      </c>
      <c r="AJ76" s="34" t="str">
        <f>IF($A76="","",SUMIFS(SAL!$H:$H,SAL!$B:$B,$A76,SAL!$O:$O,"Emessa")+SUMIFS(SAL!$H:$H,SAL!$B:$B,$A76,SAL!$O:$O,"Incassata")+SUMIFS(SAL!$H:$H,SAL!$B:$B,$A76,SAL!$O:$O,"Scaduta"))</f>
        <v/>
      </c>
      <c r="AK76" s="34" t="str">
        <f>IF($A76="","",SUMIFS(SAL!$H:$H,SAL!$B:$B,$A76,SAL!$O:$O,"Incassata"))</f>
        <v/>
      </c>
      <c r="AL76" s="34" t="str">
        <f t="shared" si="43"/>
        <v/>
      </c>
      <c r="AM76" s="34" t="str">
        <f t="shared" si="44"/>
        <v/>
      </c>
      <c r="AN76" s="36" t="str">
        <f ca="1">IF($A76="","",IF($M76=0,"RISORSE NON ASSEGNATE",IF($AE76&lt;0.1,"MARGINE CRITICO",IF($S76&lt;-SCONTO_MAX,"SCONTO OLTRE SOGLIA",IF($Z76&gt;0,"ORE OLTRE LA STIMA",IF($AI76&gt;ALLERTA_ORE,"CONSUMO ORE ELEVATO",IF(COUNTIFS(SAL!$B:$B,$A76,SAL!$K:$K,"EMETTIBILE")&gt;0,"SAL DA EMETTERE",IF(COUNTIFS(FASI!$B:$B,$A76,FASI!$H:$H,"&lt;"&amp;TODAY(),FASI!$L:$L,"&lt;1")&gt;0,"FASI IN RITARDO","OK"))))))))</f>
        <v/>
      </c>
    </row>
    <row r="77" spans="1:40" x14ac:dyDescent="0.3">
      <c r="A77" s="42"/>
      <c r="B77" s="42"/>
      <c r="C77" s="42"/>
      <c r="D77" s="42"/>
      <c r="E77" s="42"/>
      <c r="F77" s="42"/>
      <c r="G77" s="43"/>
      <c r="H77" s="43"/>
      <c r="I77" s="42"/>
      <c r="J77" s="44"/>
      <c r="K77" s="46"/>
      <c r="L77" s="34" t="str">
        <f t="shared" si="30"/>
        <v/>
      </c>
      <c r="M77" s="33" t="str">
        <f>IF($A77="","",SUMIFS(ASSEGNAZIONI!$F:$F,ASSEGNAZIONI!$B:$B,$A77))</f>
        <v/>
      </c>
      <c r="N77" s="34" t="str">
        <f>IF($A77="","",SUMIFS(ASSEGNAZIONI!$I:$I,ASSEGNAZIONI!$B:$B,$A77))</f>
        <v/>
      </c>
      <c r="O77" s="34" t="str">
        <f>IF($A77="","",SUMIFS(ASSEGNAZIONI!$J:$J,ASSEGNAZIONI!$B:$B,$A77))</f>
        <v/>
      </c>
      <c r="P77" s="34" t="str">
        <f t="shared" si="31"/>
        <v/>
      </c>
      <c r="Q77" s="44"/>
      <c r="R77" s="34" t="str">
        <f t="shared" si="32"/>
        <v/>
      </c>
      <c r="S77" s="35" t="str">
        <f t="shared" si="33"/>
        <v/>
      </c>
      <c r="T77" s="34" t="str">
        <f>IF($A77="","",SUMIFS(ODA!$R:$R,ODA!$B:$B,$A77))</f>
        <v/>
      </c>
      <c r="U77" s="34" t="str">
        <f>IF($A77="","",SUMIFS(ODA!$P:$P,ODA!$B:$B,$A77))</f>
        <v/>
      </c>
      <c r="V77" s="45" t="str">
        <f t="shared" si="34"/>
        <v/>
      </c>
      <c r="W77" s="33" t="str">
        <f>IF($A77="","",SUMIFS(ORE!$F:$F,ORE!$B:$B,$A77))</f>
        <v/>
      </c>
      <c r="X77" s="33" t="str">
        <f>IF($A77="","",SUMIFS(PREVISIONE_ORE!$G:$G,PREVISIONE_ORE!$D:$D,$A77,PREVISIONE_ORE!$K:$K,"Sì"))</f>
        <v/>
      </c>
      <c r="Y77" s="33" t="str">
        <f>IF($A77="","",IF(COUNTIFS(ASSEGNAZIONI!$B:$B,$A77)&gt;0,SUMIFS(ASSEGNAZIONI!$N:$N,ASSEGNAZIONI!$B:$B,$A77),MAX($W77,0)))</f>
        <v/>
      </c>
      <c r="Z77" s="33" t="str">
        <f t="shared" si="35"/>
        <v/>
      </c>
      <c r="AA77" s="34" t="str">
        <f>IF($A77="","",IF(COUNTIFS(ASSEGNAZIONI!$B:$B,$A77)&gt;0,SUMIFS(ASSEGNAZIONI!$P:$P,ASSEGNAZIONI!$B:$B,$A77),0))</f>
        <v/>
      </c>
      <c r="AB77" s="34" t="str">
        <f t="shared" si="36"/>
        <v/>
      </c>
      <c r="AC77" s="34" t="str">
        <f t="shared" si="37"/>
        <v/>
      </c>
      <c r="AD77" s="34" t="str">
        <f t="shared" si="38"/>
        <v/>
      </c>
      <c r="AE77" s="35" t="str">
        <f t="shared" si="39"/>
        <v/>
      </c>
      <c r="AF77" s="34" t="str">
        <f t="shared" si="40"/>
        <v/>
      </c>
      <c r="AG77" s="34" t="str">
        <f t="shared" si="41"/>
        <v/>
      </c>
      <c r="AH77" s="35" t="str">
        <f>IF($A77="","",IFERROR(AVERAGEIFS(FASI!$L:$L,FASI!$B:$B,$A77),0))</f>
        <v/>
      </c>
      <c r="AI77" s="35" t="str">
        <f t="shared" si="42"/>
        <v/>
      </c>
      <c r="AJ77" s="34" t="str">
        <f>IF($A77="","",SUMIFS(SAL!$H:$H,SAL!$B:$B,$A77,SAL!$O:$O,"Emessa")+SUMIFS(SAL!$H:$H,SAL!$B:$B,$A77,SAL!$O:$O,"Incassata")+SUMIFS(SAL!$H:$H,SAL!$B:$B,$A77,SAL!$O:$O,"Scaduta"))</f>
        <v/>
      </c>
      <c r="AK77" s="34" t="str">
        <f>IF($A77="","",SUMIFS(SAL!$H:$H,SAL!$B:$B,$A77,SAL!$O:$O,"Incassata"))</f>
        <v/>
      </c>
      <c r="AL77" s="34" t="str">
        <f t="shared" si="43"/>
        <v/>
      </c>
      <c r="AM77" s="34" t="str">
        <f t="shared" si="44"/>
        <v/>
      </c>
      <c r="AN77" s="36" t="str">
        <f ca="1">IF($A77="","",IF($M77=0,"RISORSE NON ASSEGNATE",IF($AE77&lt;0.1,"MARGINE CRITICO",IF($S77&lt;-SCONTO_MAX,"SCONTO OLTRE SOGLIA",IF($Z77&gt;0,"ORE OLTRE LA STIMA",IF($AI77&gt;ALLERTA_ORE,"CONSUMO ORE ELEVATO",IF(COUNTIFS(SAL!$B:$B,$A77,SAL!$K:$K,"EMETTIBILE")&gt;0,"SAL DA EMETTERE",IF(COUNTIFS(FASI!$B:$B,$A77,FASI!$H:$H,"&lt;"&amp;TODAY(),FASI!$L:$L,"&lt;1")&gt;0,"FASI IN RITARDO","OK"))))))))</f>
        <v/>
      </c>
    </row>
    <row r="78" spans="1:40" x14ac:dyDescent="0.3">
      <c r="A78" s="42"/>
      <c r="B78" s="42"/>
      <c r="C78" s="42"/>
      <c r="D78" s="42"/>
      <c r="E78" s="42"/>
      <c r="F78" s="42"/>
      <c r="G78" s="43"/>
      <c r="H78" s="43"/>
      <c r="I78" s="42"/>
      <c r="J78" s="44"/>
      <c r="K78" s="46"/>
      <c r="L78" s="34" t="str">
        <f t="shared" si="30"/>
        <v/>
      </c>
      <c r="M78" s="33" t="str">
        <f>IF($A78="","",SUMIFS(ASSEGNAZIONI!$F:$F,ASSEGNAZIONI!$B:$B,$A78))</f>
        <v/>
      </c>
      <c r="N78" s="34" t="str">
        <f>IF($A78="","",SUMIFS(ASSEGNAZIONI!$I:$I,ASSEGNAZIONI!$B:$B,$A78))</f>
        <v/>
      </c>
      <c r="O78" s="34" t="str">
        <f>IF($A78="","",SUMIFS(ASSEGNAZIONI!$J:$J,ASSEGNAZIONI!$B:$B,$A78))</f>
        <v/>
      </c>
      <c r="P78" s="34" t="str">
        <f t="shared" si="31"/>
        <v/>
      </c>
      <c r="Q78" s="44"/>
      <c r="R78" s="34" t="str">
        <f t="shared" si="32"/>
        <v/>
      </c>
      <c r="S78" s="35" t="str">
        <f t="shared" si="33"/>
        <v/>
      </c>
      <c r="T78" s="34" t="str">
        <f>IF($A78="","",SUMIFS(ODA!$R:$R,ODA!$B:$B,$A78))</f>
        <v/>
      </c>
      <c r="U78" s="34" t="str">
        <f>IF($A78="","",SUMIFS(ODA!$P:$P,ODA!$B:$B,$A78))</f>
        <v/>
      </c>
      <c r="V78" s="45" t="str">
        <f t="shared" si="34"/>
        <v/>
      </c>
      <c r="W78" s="33" t="str">
        <f>IF($A78="","",SUMIFS(ORE!$F:$F,ORE!$B:$B,$A78))</f>
        <v/>
      </c>
      <c r="X78" s="33" t="str">
        <f>IF($A78="","",SUMIFS(PREVISIONE_ORE!$G:$G,PREVISIONE_ORE!$D:$D,$A78,PREVISIONE_ORE!$K:$K,"Sì"))</f>
        <v/>
      </c>
      <c r="Y78" s="33" t="str">
        <f>IF($A78="","",IF(COUNTIFS(ASSEGNAZIONI!$B:$B,$A78)&gt;0,SUMIFS(ASSEGNAZIONI!$N:$N,ASSEGNAZIONI!$B:$B,$A78),MAX($W78,0)))</f>
        <v/>
      </c>
      <c r="Z78" s="33" t="str">
        <f t="shared" si="35"/>
        <v/>
      </c>
      <c r="AA78" s="34" t="str">
        <f>IF($A78="","",IF(COUNTIFS(ASSEGNAZIONI!$B:$B,$A78)&gt;0,SUMIFS(ASSEGNAZIONI!$P:$P,ASSEGNAZIONI!$B:$B,$A78),0))</f>
        <v/>
      </c>
      <c r="AB78" s="34" t="str">
        <f t="shared" si="36"/>
        <v/>
      </c>
      <c r="AC78" s="34" t="str">
        <f t="shared" si="37"/>
        <v/>
      </c>
      <c r="AD78" s="34" t="str">
        <f t="shared" si="38"/>
        <v/>
      </c>
      <c r="AE78" s="35" t="str">
        <f t="shared" si="39"/>
        <v/>
      </c>
      <c r="AF78" s="34" t="str">
        <f t="shared" si="40"/>
        <v/>
      </c>
      <c r="AG78" s="34" t="str">
        <f t="shared" si="41"/>
        <v/>
      </c>
      <c r="AH78" s="35" t="str">
        <f>IF($A78="","",IFERROR(AVERAGEIFS(FASI!$L:$L,FASI!$B:$B,$A78),0))</f>
        <v/>
      </c>
      <c r="AI78" s="35" t="str">
        <f t="shared" si="42"/>
        <v/>
      </c>
      <c r="AJ78" s="34" t="str">
        <f>IF($A78="","",SUMIFS(SAL!$H:$H,SAL!$B:$B,$A78,SAL!$O:$O,"Emessa")+SUMIFS(SAL!$H:$H,SAL!$B:$B,$A78,SAL!$O:$O,"Incassata")+SUMIFS(SAL!$H:$H,SAL!$B:$B,$A78,SAL!$O:$O,"Scaduta"))</f>
        <v/>
      </c>
      <c r="AK78" s="34" t="str">
        <f>IF($A78="","",SUMIFS(SAL!$H:$H,SAL!$B:$B,$A78,SAL!$O:$O,"Incassata"))</f>
        <v/>
      </c>
      <c r="AL78" s="34" t="str">
        <f t="shared" si="43"/>
        <v/>
      </c>
      <c r="AM78" s="34" t="str">
        <f t="shared" si="44"/>
        <v/>
      </c>
      <c r="AN78" s="36" t="str">
        <f ca="1">IF($A78="","",IF($M78=0,"RISORSE NON ASSEGNATE",IF($AE78&lt;0.1,"MARGINE CRITICO",IF($S78&lt;-SCONTO_MAX,"SCONTO OLTRE SOGLIA",IF($Z78&gt;0,"ORE OLTRE LA STIMA",IF($AI78&gt;ALLERTA_ORE,"CONSUMO ORE ELEVATO",IF(COUNTIFS(SAL!$B:$B,$A78,SAL!$K:$K,"EMETTIBILE")&gt;0,"SAL DA EMETTERE",IF(COUNTIFS(FASI!$B:$B,$A78,FASI!$H:$H,"&lt;"&amp;TODAY(),FASI!$L:$L,"&lt;1")&gt;0,"FASI IN RITARDO","OK"))))))))</f>
        <v/>
      </c>
    </row>
    <row r="79" spans="1:40" x14ac:dyDescent="0.3">
      <c r="A79" s="42"/>
      <c r="B79" s="42"/>
      <c r="C79" s="42"/>
      <c r="D79" s="42"/>
      <c r="E79" s="42"/>
      <c r="F79" s="42"/>
      <c r="G79" s="43"/>
      <c r="H79" s="43"/>
      <c r="I79" s="42"/>
      <c r="J79" s="44"/>
      <c r="K79" s="46"/>
      <c r="L79" s="34" t="str">
        <f t="shared" si="30"/>
        <v/>
      </c>
      <c r="M79" s="33" t="str">
        <f>IF($A79="","",SUMIFS(ASSEGNAZIONI!$F:$F,ASSEGNAZIONI!$B:$B,$A79))</f>
        <v/>
      </c>
      <c r="N79" s="34" t="str">
        <f>IF($A79="","",SUMIFS(ASSEGNAZIONI!$I:$I,ASSEGNAZIONI!$B:$B,$A79))</f>
        <v/>
      </c>
      <c r="O79" s="34" t="str">
        <f>IF($A79="","",SUMIFS(ASSEGNAZIONI!$J:$J,ASSEGNAZIONI!$B:$B,$A79))</f>
        <v/>
      </c>
      <c r="P79" s="34" t="str">
        <f t="shared" si="31"/>
        <v/>
      </c>
      <c r="Q79" s="44"/>
      <c r="R79" s="34" t="str">
        <f t="shared" si="32"/>
        <v/>
      </c>
      <c r="S79" s="35" t="str">
        <f t="shared" si="33"/>
        <v/>
      </c>
      <c r="T79" s="34" t="str">
        <f>IF($A79="","",SUMIFS(ODA!$R:$R,ODA!$B:$B,$A79))</f>
        <v/>
      </c>
      <c r="U79" s="34" t="str">
        <f>IF($A79="","",SUMIFS(ODA!$P:$P,ODA!$B:$B,$A79))</f>
        <v/>
      </c>
      <c r="V79" s="45" t="str">
        <f t="shared" si="34"/>
        <v/>
      </c>
      <c r="W79" s="33" t="str">
        <f>IF($A79="","",SUMIFS(ORE!$F:$F,ORE!$B:$B,$A79))</f>
        <v/>
      </c>
      <c r="X79" s="33" t="str">
        <f>IF($A79="","",SUMIFS(PREVISIONE_ORE!$G:$G,PREVISIONE_ORE!$D:$D,$A79,PREVISIONE_ORE!$K:$K,"Sì"))</f>
        <v/>
      </c>
      <c r="Y79" s="33" t="str">
        <f>IF($A79="","",IF(COUNTIFS(ASSEGNAZIONI!$B:$B,$A79)&gt;0,SUMIFS(ASSEGNAZIONI!$N:$N,ASSEGNAZIONI!$B:$B,$A79),MAX($W79,0)))</f>
        <v/>
      </c>
      <c r="Z79" s="33" t="str">
        <f t="shared" si="35"/>
        <v/>
      </c>
      <c r="AA79" s="34" t="str">
        <f>IF($A79="","",IF(COUNTIFS(ASSEGNAZIONI!$B:$B,$A79)&gt;0,SUMIFS(ASSEGNAZIONI!$P:$P,ASSEGNAZIONI!$B:$B,$A79),0))</f>
        <v/>
      </c>
      <c r="AB79" s="34" t="str">
        <f t="shared" si="36"/>
        <v/>
      </c>
      <c r="AC79" s="34" t="str">
        <f t="shared" si="37"/>
        <v/>
      </c>
      <c r="AD79" s="34" t="str">
        <f t="shared" si="38"/>
        <v/>
      </c>
      <c r="AE79" s="35" t="str">
        <f t="shared" si="39"/>
        <v/>
      </c>
      <c r="AF79" s="34" t="str">
        <f t="shared" si="40"/>
        <v/>
      </c>
      <c r="AG79" s="34" t="str">
        <f t="shared" si="41"/>
        <v/>
      </c>
      <c r="AH79" s="35" t="str">
        <f>IF($A79="","",IFERROR(AVERAGEIFS(FASI!$L:$L,FASI!$B:$B,$A79),0))</f>
        <v/>
      </c>
      <c r="AI79" s="35" t="str">
        <f t="shared" si="42"/>
        <v/>
      </c>
      <c r="AJ79" s="34" t="str">
        <f>IF($A79="","",SUMIFS(SAL!$H:$H,SAL!$B:$B,$A79,SAL!$O:$O,"Emessa")+SUMIFS(SAL!$H:$H,SAL!$B:$B,$A79,SAL!$O:$O,"Incassata")+SUMIFS(SAL!$H:$H,SAL!$B:$B,$A79,SAL!$O:$O,"Scaduta"))</f>
        <v/>
      </c>
      <c r="AK79" s="34" t="str">
        <f>IF($A79="","",SUMIFS(SAL!$H:$H,SAL!$B:$B,$A79,SAL!$O:$O,"Incassata"))</f>
        <v/>
      </c>
      <c r="AL79" s="34" t="str">
        <f t="shared" si="43"/>
        <v/>
      </c>
      <c r="AM79" s="34" t="str">
        <f t="shared" si="44"/>
        <v/>
      </c>
      <c r="AN79" s="36" t="str">
        <f ca="1">IF($A79="","",IF($M79=0,"RISORSE NON ASSEGNATE",IF($AE79&lt;0.1,"MARGINE CRITICO",IF($S79&lt;-SCONTO_MAX,"SCONTO OLTRE SOGLIA",IF($Z79&gt;0,"ORE OLTRE LA STIMA",IF($AI79&gt;ALLERTA_ORE,"CONSUMO ORE ELEVATO",IF(COUNTIFS(SAL!$B:$B,$A79,SAL!$K:$K,"EMETTIBILE")&gt;0,"SAL DA EMETTERE",IF(COUNTIFS(FASI!$B:$B,$A79,FASI!$H:$H,"&lt;"&amp;TODAY(),FASI!$L:$L,"&lt;1")&gt;0,"FASI IN RITARDO","OK"))))))))</f>
        <v/>
      </c>
    </row>
    <row r="80" spans="1:40" x14ac:dyDescent="0.3">
      <c r="A80" s="42"/>
      <c r="B80" s="42"/>
      <c r="C80" s="42"/>
      <c r="D80" s="42"/>
      <c r="E80" s="42"/>
      <c r="F80" s="42"/>
      <c r="G80" s="43"/>
      <c r="H80" s="43"/>
      <c r="I80" s="42"/>
      <c r="J80" s="44"/>
      <c r="K80" s="46"/>
      <c r="L80" s="34" t="str">
        <f t="shared" si="30"/>
        <v/>
      </c>
      <c r="M80" s="33" t="str">
        <f>IF($A80="","",SUMIFS(ASSEGNAZIONI!$F:$F,ASSEGNAZIONI!$B:$B,$A80))</f>
        <v/>
      </c>
      <c r="N80" s="34" t="str">
        <f>IF($A80="","",SUMIFS(ASSEGNAZIONI!$I:$I,ASSEGNAZIONI!$B:$B,$A80))</f>
        <v/>
      </c>
      <c r="O80" s="34" t="str">
        <f>IF($A80="","",SUMIFS(ASSEGNAZIONI!$J:$J,ASSEGNAZIONI!$B:$B,$A80))</f>
        <v/>
      </c>
      <c r="P80" s="34" t="str">
        <f t="shared" si="31"/>
        <v/>
      </c>
      <c r="Q80" s="44"/>
      <c r="R80" s="34" t="str">
        <f t="shared" si="32"/>
        <v/>
      </c>
      <c r="S80" s="35" t="str">
        <f t="shared" si="33"/>
        <v/>
      </c>
      <c r="T80" s="34" t="str">
        <f>IF($A80="","",SUMIFS(ODA!$R:$R,ODA!$B:$B,$A80))</f>
        <v/>
      </c>
      <c r="U80" s="34" t="str">
        <f>IF($A80="","",SUMIFS(ODA!$P:$P,ODA!$B:$B,$A80))</f>
        <v/>
      </c>
      <c r="V80" s="45" t="str">
        <f t="shared" si="34"/>
        <v/>
      </c>
      <c r="W80" s="33" t="str">
        <f>IF($A80="","",SUMIFS(ORE!$F:$F,ORE!$B:$B,$A80))</f>
        <v/>
      </c>
      <c r="X80" s="33" t="str">
        <f>IF($A80="","",SUMIFS(PREVISIONE_ORE!$G:$G,PREVISIONE_ORE!$D:$D,$A80,PREVISIONE_ORE!$K:$K,"Sì"))</f>
        <v/>
      </c>
      <c r="Y80" s="33" t="str">
        <f>IF($A80="","",IF(COUNTIFS(ASSEGNAZIONI!$B:$B,$A80)&gt;0,SUMIFS(ASSEGNAZIONI!$N:$N,ASSEGNAZIONI!$B:$B,$A80),MAX($W80,0)))</f>
        <v/>
      </c>
      <c r="Z80" s="33" t="str">
        <f t="shared" si="35"/>
        <v/>
      </c>
      <c r="AA80" s="34" t="str">
        <f>IF($A80="","",IF(COUNTIFS(ASSEGNAZIONI!$B:$B,$A80)&gt;0,SUMIFS(ASSEGNAZIONI!$P:$P,ASSEGNAZIONI!$B:$B,$A80),0))</f>
        <v/>
      </c>
      <c r="AB80" s="34" t="str">
        <f t="shared" si="36"/>
        <v/>
      </c>
      <c r="AC80" s="34" t="str">
        <f t="shared" si="37"/>
        <v/>
      </c>
      <c r="AD80" s="34" t="str">
        <f t="shared" si="38"/>
        <v/>
      </c>
      <c r="AE80" s="35" t="str">
        <f t="shared" si="39"/>
        <v/>
      </c>
      <c r="AF80" s="34" t="str">
        <f t="shared" si="40"/>
        <v/>
      </c>
      <c r="AG80" s="34" t="str">
        <f t="shared" si="41"/>
        <v/>
      </c>
      <c r="AH80" s="35" t="str">
        <f>IF($A80="","",IFERROR(AVERAGEIFS(FASI!$L:$L,FASI!$B:$B,$A80),0))</f>
        <v/>
      </c>
      <c r="AI80" s="35" t="str">
        <f t="shared" si="42"/>
        <v/>
      </c>
      <c r="AJ80" s="34" t="str">
        <f>IF($A80="","",SUMIFS(SAL!$H:$H,SAL!$B:$B,$A80,SAL!$O:$O,"Emessa")+SUMIFS(SAL!$H:$H,SAL!$B:$B,$A80,SAL!$O:$O,"Incassata")+SUMIFS(SAL!$H:$H,SAL!$B:$B,$A80,SAL!$O:$O,"Scaduta"))</f>
        <v/>
      </c>
      <c r="AK80" s="34" t="str">
        <f>IF($A80="","",SUMIFS(SAL!$H:$H,SAL!$B:$B,$A80,SAL!$O:$O,"Incassata"))</f>
        <v/>
      </c>
      <c r="AL80" s="34" t="str">
        <f t="shared" si="43"/>
        <v/>
      </c>
      <c r="AM80" s="34" t="str">
        <f t="shared" si="44"/>
        <v/>
      </c>
      <c r="AN80" s="36" t="str">
        <f ca="1">IF($A80="","",IF($M80=0,"RISORSE NON ASSEGNATE",IF($AE80&lt;0.1,"MARGINE CRITICO",IF($S80&lt;-SCONTO_MAX,"SCONTO OLTRE SOGLIA",IF($Z80&gt;0,"ORE OLTRE LA STIMA",IF($AI80&gt;ALLERTA_ORE,"CONSUMO ORE ELEVATO",IF(COUNTIFS(SAL!$B:$B,$A80,SAL!$K:$K,"EMETTIBILE")&gt;0,"SAL DA EMETTERE",IF(COUNTIFS(FASI!$B:$B,$A80,FASI!$H:$H,"&lt;"&amp;TODAY(),FASI!$L:$L,"&lt;1")&gt;0,"FASI IN RITARDO","OK"))))))))</f>
        <v/>
      </c>
    </row>
    <row r="81" spans="1:40" x14ac:dyDescent="0.3">
      <c r="A81" s="42"/>
      <c r="B81" s="42"/>
      <c r="C81" s="42"/>
      <c r="D81" s="42"/>
      <c r="E81" s="42"/>
      <c r="F81" s="42"/>
      <c r="G81" s="43"/>
      <c r="H81" s="43"/>
      <c r="I81" s="42"/>
      <c r="J81" s="44"/>
      <c r="K81" s="46"/>
      <c r="L81" s="34" t="str">
        <f t="shared" si="30"/>
        <v/>
      </c>
      <c r="M81" s="33" t="str">
        <f>IF($A81="","",SUMIFS(ASSEGNAZIONI!$F:$F,ASSEGNAZIONI!$B:$B,$A81))</f>
        <v/>
      </c>
      <c r="N81" s="34" t="str">
        <f>IF($A81="","",SUMIFS(ASSEGNAZIONI!$I:$I,ASSEGNAZIONI!$B:$B,$A81))</f>
        <v/>
      </c>
      <c r="O81" s="34" t="str">
        <f>IF($A81="","",SUMIFS(ASSEGNAZIONI!$J:$J,ASSEGNAZIONI!$B:$B,$A81))</f>
        <v/>
      </c>
      <c r="P81" s="34" t="str">
        <f t="shared" si="31"/>
        <v/>
      </c>
      <c r="Q81" s="44"/>
      <c r="R81" s="34" t="str">
        <f t="shared" si="32"/>
        <v/>
      </c>
      <c r="S81" s="35" t="str">
        <f t="shared" si="33"/>
        <v/>
      </c>
      <c r="T81" s="34" t="str">
        <f>IF($A81="","",SUMIFS(ODA!$R:$R,ODA!$B:$B,$A81))</f>
        <v/>
      </c>
      <c r="U81" s="34" t="str">
        <f>IF($A81="","",SUMIFS(ODA!$P:$P,ODA!$B:$B,$A81))</f>
        <v/>
      </c>
      <c r="V81" s="45" t="str">
        <f t="shared" si="34"/>
        <v/>
      </c>
      <c r="W81" s="33" t="str">
        <f>IF($A81="","",SUMIFS(ORE!$F:$F,ORE!$B:$B,$A81))</f>
        <v/>
      </c>
      <c r="X81" s="33" t="str">
        <f>IF($A81="","",SUMIFS(PREVISIONE_ORE!$G:$G,PREVISIONE_ORE!$D:$D,$A81,PREVISIONE_ORE!$K:$K,"Sì"))</f>
        <v/>
      </c>
      <c r="Y81" s="33" t="str">
        <f>IF($A81="","",IF(COUNTIFS(ASSEGNAZIONI!$B:$B,$A81)&gt;0,SUMIFS(ASSEGNAZIONI!$N:$N,ASSEGNAZIONI!$B:$B,$A81),MAX($W81,0)))</f>
        <v/>
      </c>
      <c r="Z81" s="33" t="str">
        <f t="shared" si="35"/>
        <v/>
      </c>
      <c r="AA81" s="34" t="str">
        <f>IF($A81="","",IF(COUNTIFS(ASSEGNAZIONI!$B:$B,$A81)&gt;0,SUMIFS(ASSEGNAZIONI!$P:$P,ASSEGNAZIONI!$B:$B,$A81),0))</f>
        <v/>
      </c>
      <c r="AB81" s="34" t="str">
        <f t="shared" si="36"/>
        <v/>
      </c>
      <c r="AC81" s="34" t="str">
        <f t="shared" si="37"/>
        <v/>
      </c>
      <c r="AD81" s="34" t="str">
        <f t="shared" si="38"/>
        <v/>
      </c>
      <c r="AE81" s="35" t="str">
        <f t="shared" si="39"/>
        <v/>
      </c>
      <c r="AF81" s="34" t="str">
        <f t="shared" si="40"/>
        <v/>
      </c>
      <c r="AG81" s="34" t="str">
        <f t="shared" si="41"/>
        <v/>
      </c>
      <c r="AH81" s="35" t="str">
        <f>IF($A81="","",IFERROR(AVERAGEIFS(FASI!$L:$L,FASI!$B:$B,$A81),0))</f>
        <v/>
      </c>
      <c r="AI81" s="35" t="str">
        <f t="shared" si="42"/>
        <v/>
      </c>
      <c r="AJ81" s="34" t="str">
        <f>IF($A81="","",SUMIFS(SAL!$H:$H,SAL!$B:$B,$A81,SAL!$O:$O,"Emessa")+SUMIFS(SAL!$H:$H,SAL!$B:$B,$A81,SAL!$O:$O,"Incassata")+SUMIFS(SAL!$H:$H,SAL!$B:$B,$A81,SAL!$O:$O,"Scaduta"))</f>
        <v/>
      </c>
      <c r="AK81" s="34" t="str">
        <f>IF($A81="","",SUMIFS(SAL!$H:$H,SAL!$B:$B,$A81,SAL!$O:$O,"Incassata"))</f>
        <v/>
      </c>
      <c r="AL81" s="34" t="str">
        <f t="shared" si="43"/>
        <v/>
      </c>
      <c r="AM81" s="34" t="str">
        <f t="shared" si="44"/>
        <v/>
      </c>
      <c r="AN81" s="36" t="str">
        <f ca="1">IF($A81="","",IF($M81=0,"RISORSE NON ASSEGNATE",IF($AE81&lt;0.1,"MARGINE CRITICO",IF($S81&lt;-SCONTO_MAX,"SCONTO OLTRE SOGLIA",IF($Z81&gt;0,"ORE OLTRE LA STIMA",IF($AI81&gt;ALLERTA_ORE,"CONSUMO ORE ELEVATO",IF(COUNTIFS(SAL!$B:$B,$A81,SAL!$K:$K,"EMETTIBILE")&gt;0,"SAL DA EMETTERE",IF(COUNTIFS(FASI!$B:$B,$A81,FASI!$H:$H,"&lt;"&amp;TODAY(),FASI!$L:$L,"&lt;1")&gt;0,"FASI IN RITARDO","OK"))))))))</f>
        <v/>
      </c>
    </row>
    <row r="82" spans="1:40" x14ac:dyDescent="0.3">
      <c r="A82" s="42"/>
      <c r="B82" s="42"/>
      <c r="C82" s="42"/>
      <c r="D82" s="42"/>
      <c r="E82" s="42"/>
      <c r="F82" s="42"/>
      <c r="G82" s="43"/>
      <c r="H82" s="43"/>
      <c r="I82" s="42"/>
      <c r="J82" s="44"/>
      <c r="K82" s="46"/>
      <c r="L82" s="34" t="str">
        <f t="shared" si="30"/>
        <v/>
      </c>
      <c r="M82" s="33" t="str">
        <f>IF($A82="","",SUMIFS(ASSEGNAZIONI!$F:$F,ASSEGNAZIONI!$B:$B,$A82))</f>
        <v/>
      </c>
      <c r="N82" s="34" t="str">
        <f>IF($A82="","",SUMIFS(ASSEGNAZIONI!$I:$I,ASSEGNAZIONI!$B:$B,$A82))</f>
        <v/>
      </c>
      <c r="O82" s="34" t="str">
        <f>IF($A82="","",SUMIFS(ASSEGNAZIONI!$J:$J,ASSEGNAZIONI!$B:$B,$A82))</f>
        <v/>
      </c>
      <c r="P82" s="34" t="str">
        <f t="shared" si="31"/>
        <v/>
      </c>
      <c r="Q82" s="44"/>
      <c r="R82" s="34" t="str">
        <f t="shared" si="32"/>
        <v/>
      </c>
      <c r="S82" s="35" t="str">
        <f t="shared" si="33"/>
        <v/>
      </c>
      <c r="T82" s="34" t="str">
        <f>IF($A82="","",SUMIFS(ODA!$R:$R,ODA!$B:$B,$A82))</f>
        <v/>
      </c>
      <c r="U82" s="34" t="str">
        <f>IF($A82="","",SUMIFS(ODA!$P:$P,ODA!$B:$B,$A82))</f>
        <v/>
      </c>
      <c r="V82" s="45" t="str">
        <f t="shared" si="34"/>
        <v/>
      </c>
      <c r="W82" s="33" t="str">
        <f>IF($A82="","",SUMIFS(ORE!$F:$F,ORE!$B:$B,$A82))</f>
        <v/>
      </c>
      <c r="X82" s="33" t="str">
        <f>IF($A82="","",SUMIFS(PREVISIONE_ORE!$G:$G,PREVISIONE_ORE!$D:$D,$A82,PREVISIONE_ORE!$K:$K,"Sì"))</f>
        <v/>
      </c>
      <c r="Y82" s="33" t="str">
        <f>IF($A82="","",IF(COUNTIFS(ASSEGNAZIONI!$B:$B,$A82)&gt;0,SUMIFS(ASSEGNAZIONI!$N:$N,ASSEGNAZIONI!$B:$B,$A82),MAX($W82,0)))</f>
        <v/>
      </c>
      <c r="Z82" s="33" t="str">
        <f t="shared" si="35"/>
        <v/>
      </c>
      <c r="AA82" s="34" t="str">
        <f>IF($A82="","",IF(COUNTIFS(ASSEGNAZIONI!$B:$B,$A82)&gt;0,SUMIFS(ASSEGNAZIONI!$P:$P,ASSEGNAZIONI!$B:$B,$A82),0))</f>
        <v/>
      </c>
      <c r="AB82" s="34" t="str">
        <f t="shared" si="36"/>
        <v/>
      </c>
      <c r="AC82" s="34" t="str">
        <f t="shared" si="37"/>
        <v/>
      </c>
      <c r="AD82" s="34" t="str">
        <f t="shared" si="38"/>
        <v/>
      </c>
      <c r="AE82" s="35" t="str">
        <f t="shared" si="39"/>
        <v/>
      </c>
      <c r="AF82" s="34" t="str">
        <f t="shared" si="40"/>
        <v/>
      </c>
      <c r="AG82" s="34" t="str">
        <f t="shared" si="41"/>
        <v/>
      </c>
      <c r="AH82" s="35" t="str">
        <f>IF($A82="","",IFERROR(AVERAGEIFS(FASI!$L:$L,FASI!$B:$B,$A82),0))</f>
        <v/>
      </c>
      <c r="AI82" s="35" t="str">
        <f t="shared" si="42"/>
        <v/>
      </c>
      <c r="AJ82" s="34" t="str">
        <f>IF($A82="","",SUMIFS(SAL!$H:$H,SAL!$B:$B,$A82,SAL!$O:$O,"Emessa")+SUMIFS(SAL!$H:$H,SAL!$B:$B,$A82,SAL!$O:$O,"Incassata")+SUMIFS(SAL!$H:$H,SAL!$B:$B,$A82,SAL!$O:$O,"Scaduta"))</f>
        <v/>
      </c>
      <c r="AK82" s="34" t="str">
        <f>IF($A82="","",SUMIFS(SAL!$H:$H,SAL!$B:$B,$A82,SAL!$O:$O,"Incassata"))</f>
        <v/>
      </c>
      <c r="AL82" s="34" t="str">
        <f t="shared" si="43"/>
        <v/>
      </c>
      <c r="AM82" s="34" t="str">
        <f t="shared" si="44"/>
        <v/>
      </c>
      <c r="AN82" s="36" t="str">
        <f ca="1">IF($A82="","",IF($M82=0,"RISORSE NON ASSEGNATE",IF($AE82&lt;0.1,"MARGINE CRITICO",IF($S82&lt;-SCONTO_MAX,"SCONTO OLTRE SOGLIA",IF($Z82&gt;0,"ORE OLTRE LA STIMA",IF($AI82&gt;ALLERTA_ORE,"CONSUMO ORE ELEVATO",IF(COUNTIFS(SAL!$B:$B,$A82,SAL!$K:$K,"EMETTIBILE")&gt;0,"SAL DA EMETTERE",IF(COUNTIFS(FASI!$B:$B,$A82,FASI!$H:$H,"&lt;"&amp;TODAY(),FASI!$L:$L,"&lt;1")&gt;0,"FASI IN RITARDO","OK"))))))))</f>
        <v/>
      </c>
    </row>
    <row r="83" spans="1:40" x14ac:dyDescent="0.3">
      <c r="A83" s="42"/>
      <c r="B83" s="42"/>
      <c r="C83" s="42"/>
      <c r="D83" s="42"/>
      <c r="E83" s="42"/>
      <c r="F83" s="42"/>
      <c r="G83" s="43"/>
      <c r="H83" s="43"/>
      <c r="I83" s="42"/>
      <c r="J83" s="44"/>
      <c r="K83" s="46"/>
      <c r="L83" s="34" t="str">
        <f t="shared" si="30"/>
        <v/>
      </c>
      <c r="M83" s="33" t="str">
        <f>IF($A83="","",SUMIFS(ASSEGNAZIONI!$F:$F,ASSEGNAZIONI!$B:$B,$A83))</f>
        <v/>
      </c>
      <c r="N83" s="34" t="str">
        <f>IF($A83="","",SUMIFS(ASSEGNAZIONI!$I:$I,ASSEGNAZIONI!$B:$B,$A83))</f>
        <v/>
      </c>
      <c r="O83" s="34" t="str">
        <f>IF($A83="","",SUMIFS(ASSEGNAZIONI!$J:$J,ASSEGNAZIONI!$B:$B,$A83))</f>
        <v/>
      </c>
      <c r="P83" s="34" t="str">
        <f t="shared" si="31"/>
        <v/>
      </c>
      <c r="Q83" s="44"/>
      <c r="R83" s="34" t="str">
        <f t="shared" si="32"/>
        <v/>
      </c>
      <c r="S83" s="35" t="str">
        <f t="shared" si="33"/>
        <v/>
      </c>
      <c r="T83" s="34" t="str">
        <f>IF($A83="","",SUMIFS(ODA!$R:$R,ODA!$B:$B,$A83))</f>
        <v/>
      </c>
      <c r="U83" s="34" t="str">
        <f>IF($A83="","",SUMIFS(ODA!$P:$P,ODA!$B:$B,$A83))</f>
        <v/>
      </c>
      <c r="V83" s="45" t="str">
        <f t="shared" si="34"/>
        <v/>
      </c>
      <c r="W83" s="33" t="str">
        <f>IF($A83="","",SUMIFS(ORE!$F:$F,ORE!$B:$B,$A83))</f>
        <v/>
      </c>
      <c r="X83" s="33" t="str">
        <f>IF($A83="","",SUMIFS(PREVISIONE_ORE!$G:$G,PREVISIONE_ORE!$D:$D,$A83,PREVISIONE_ORE!$K:$K,"Sì"))</f>
        <v/>
      </c>
      <c r="Y83" s="33" t="str">
        <f>IF($A83="","",IF(COUNTIFS(ASSEGNAZIONI!$B:$B,$A83)&gt;0,SUMIFS(ASSEGNAZIONI!$N:$N,ASSEGNAZIONI!$B:$B,$A83),MAX($W83,0)))</f>
        <v/>
      </c>
      <c r="Z83" s="33" t="str">
        <f t="shared" si="35"/>
        <v/>
      </c>
      <c r="AA83" s="34" t="str">
        <f>IF($A83="","",IF(COUNTIFS(ASSEGNAZIONI!$B:$B,$A83)&gt;0,SUMIFS(ASSEGNAZIONI!$P:$P,ASSEGNAZIONI!$B:$B,$A83),0))</f>
        <v/>
      </c>
      <c r="AB83" s="34" t="str">
        <f t="shared" si="36"/>
        <v/>
      </c>
      <c r="AC83" s="34" t="str">
        <f t="shared" si="37"/>
        <v/>
      </c>
      <c r="AD83" s="34" t="str">
        <f t="shared" si="38"/>
        <v/>
      </c>
      <c r="AE83" s="35" t="str">
        <f t="shared" si="39"/>
        <v/>
      </c>
      <c r="AF83" s="34" t="str">
        <f t="shared" si="40"/>
        <v/>
      </c>
      <c r="AG83" s="34" t="str">
        <f t="shared" si="41"/>
        <v/>
      </c>
      <c r="AH83" s="35" t="str">
        <f>IF($A83="","",IFERROR(AVERAGEIFS(FASI!$L:$L,FASI!$B:$B,$A83),0))</f>
        <v/>
      </c>
      <c r="AI83" s="35" t="str">
        <f t="shared" si="42"/>
        <v/>
      </c>
      <c r="AJ83" s="34" t="str">
        <f>IF($A83="","",SUMIFS(SAL!$H:$H,SAL!$B:$B,$A83,SAL!$O:$O,"Emessa")+SUMIFS(SAL!$H:$H,SAL!$B:$B,$A83,SAL!$O:$O,"Incassata")+SUMIFS(SAL!$H:$H,SAL!$B:$B,$A83,SAL!$O:$O,"Scaduta"))</f>
        <v/>
      </c>
      <c r="AK83" s="34" t="str">
        <f>IF($A83="","",SUMIFS(SAL!$H:$H,SAL!$B:$B,$A83,SAL!$O:$O,"Incassata"))</f>
        <v/>
      </c>
      <c r="AL83" s="34" t="str">
        <f t="shared" si="43"/>
        <v/>
      </c>
      <c r="AM83" s="34" t="str">
        <f t="shared" si="44"/>
        <v/>
      </c>
      <c r="AN83" s="36" t="str">
        <f ca="1">IF($A83="","",IF($M83=0,"RISORSE NON ASSEGNATE",IF($AE83&lt;0.1,"MARGINE CRITICO",IF($S83&lt;-SCONTO_MAX,"SCONTO OLTRE SOGLIA",IF($Z83&gt;0,"ORE OLTRE LA STIMA",IF($AI83&gt;ALLERTA_ORE,"CONSUMO ORE ELEVATO",IF(COUNTIFS(SAL!$B:$B,$A83,SAL!$K:$K,"EMETTIBILE")&gt;0,"SAL DA EMETTERE",IF(COUNTIFS(FASI!$B:$B,$A83,FASI!$H:$H,"&lt;"&amp;TODAY(),FASI!$L:$L,"&lt;1")&gt;0,"FASI IN RITARDO","OK"))))))))</f>
        <v/>
      </c>
    </row>
    <row r="84" spans="1:40" x14ac:dyDescent="0.3">
      <c r="A84" s="42"/>
      <c r="B84" s="42"/>
      <c r="C84" s="42"/>
      <c r="D84" s="42"/>
      <c r="E84" s="42"/>
      <c r="F84" s="42"/>
      <c r="G84" s="43"/>
      <c r="H84" s="43"/>
      <c r="I84" s="42"/>
      <c r="J84" s="44"/>
      <c r="K84" s="46"/>
      <c r="L84" s="34" t="str">
        <f t="shared" si="30"/>
        <v/>
      </c>
      <c r="M84" s="33" t="str">
        <f>IF($A84="","",SUMIFS(ASSEGNAZIONI!$F:$F,ASSEGNAZIONI!$B:$B,$A84))</f>
        <v/>
      </c>
      <c r="N84" s="34" t="str">
        <f>IF($A84="","",SUMIFS(ASSEGNAZIONI!$I:$I,ASSEGNAZIONI!$B:$B,$A84))</f>
        <v/>
      </c>
      <c r="O84" s="34" t="str">
        <f>IF($A84="","",SUMIFS(ASSEGNAZIONI!$J:$J,ASSEGNAZIONI!$B:$B,$A84))</f>
        <v/>
      </c>
      <c r="P84" s="34" t="str">
        <f t="shared" si="31"/>
        <v/>
      </c>
      <c r="Q84" s="44"/>
      <c r="R84" s="34" t="str">
        <f t="shared" si="32"/>
        <v/>
      </c>
      <c r="S84" s="35" t="str">
        <f t="shared" si="33"/>
        <v/>
      </c>
      <c r="T84" s="34" t="str">
        <f>IF($A84="","",SUMIFS(ODA!$R:$R,ODA!$B:$B,$A84))</f>
        <v/>
      </c>
      <c r="U84" s="34" t="str">
        <f>IF($A84="","",SUMIFS(ODA!$P:$P,ODA!$B:$B,$A84))</f>
        <v/>
      </c>
      <c r="V84" s="45" t="str">
        <f t="shared" si="34"/>
        <v/>
      </c>
      <c r="W84" s="33" t="str">
        <f>IF($A84="","",SUMIFS(ORE!$F:$F,ORE!$B:$B,$A84))</f>
        <v/>
      </c>
      <c r="X84" s="33" t="str">
        <f>IF($A84="","",SUMIFS(PREVISIONE_ORE!$G:$G,PREVISIONE_ORE!$D:$D,$A84,PREVISIONE_ORE!$K:$K,"Sì"))</f>
        <v/>
      </c>
      <c r="Y84" s="33" t="str">
        <f>IF($A84="","",IF(COUNTIFS(ASSEGNAZIONI!$B:$B,$A84)&gt;0,SUMIFS(ASSEGNAZIONI!$N:$N,ASSEGNAZIONI!$B:$B,$A84),MAX($W84,0)))</f>
        <v/>
      </c>
      <c r="Z84" s="33" t="str">
        <f t="shared" si="35"/>
        <v/>
      </c>
      <c r="AA84" s="34" t="str">
        <f>IF($A84="","",IF(COUNTIFS(ASSEGNAZIONI!$B:$B,$A84)&gt;0,SUMIFS(ASSEGNAZIONI!$P:$P,ASSEGNAZIONI!$B:$B,$A84),0))</f>
        <v/>
      </c>
      <c r="AB84" s="34" t="str">
        <f t="shared" si="36"/>
        <v/>
      </c>
      <c r="AC84" s="34" t="str">
        <f t="shared" si="37"/>
        <v/>
      </c>
      <c r="AD84" s="34" t="str">
        <f t="shared" si="38"/>
        <v/>
      </c>
      <c r="AE84" s="35" t="str">
        <f t="shared" si="39"/>
        <v/>
      </c>
      <c r="AF84" s="34" t="str">
        <f t="shared" si="40"/>
        <v/>
      </c>
      <c r="AG84" s="34" t="str">
        <f t="shared" si="41"/>
        <v/>
      </c>
      <c r="AH84" s="35" t="str">
        <f>IF($A84="","",IFERROR(AVERAGEIFS(FASI!$L:$L,FASI!$B:$B,$A84),0))</f>
        <v/>
      </c>
      <c r="AI84" s="35" t="str">
        <f t="shared" si="42"/>
        <v/>
      </c>
      <c r="AJ84" s="34" t="str">
        <f>IF($A84="","",SUMIFS(SAL!$H:$H,SAL!$B:$B,$A84,SAL!$O:$O,"Emessa")+SUMIFS(SAL!$H:$H,SAL!$B:$B,$A84,SAL!$O:$O,"Incassata")+SUMIFS(SAL!$H:$H,SAL!$B:$B,$A84,SAL!$O:$O,"Scaduta"))</f>
        <v/>
      </c>
      <c r="AK84" s="34" t="str">
        <f>IF($A84="","",SUMIFS(SAL!$H:$H,SAL!$B:$B,$A84,SAL!$O:$O,"Incassata"))</f>
        <v/>
      </c>
      <c r="AL84" s="34" t="str">
        <f t="shared" si="43"/>
        <v/>
      </c>
      <c r="AM84" s="34" t="str">
        <f t="shared" si="44"/>
        <v/>
      </c>
      <c r="AN84" s="36" t="str">
        <f ca="1">IF($A84="","",IF($M84=0,"RISORSE NON ASSEGNATE",IF($AE84&lt;0.1,"MARGINE CRITICO",IF($S84&lt;-SCONTO_MAX,"SCONTO OLTRE SOGLIA",IF($Z84&gt;0,"ORE OLTRE LA STIMA",IF($AI84&gt;ALLERTA_ORE,"CONSUMO ORE ELEVATO",IF(COUNTIFS(SAL!$B:$B,$A84,SAL!$K:$K,"EMETTIBILE")&gt;0,"SAL DA EMETTERE",IF(COUNTIFS(FASI!$B:$B,$A84,FASI!$H:$H,"&lt;"&amp;TODAY(),FASI!$L:$L,"&lt;1")&gt;0,"FASI IN RITARDO","OK"))))))))</f>
        <v/>
      </c>
    </row>
    <row r="85" spans="1:40" x14ac:dyDescent="0.3">
      <c r="A85" s="42"/>
      <c r="B85" s="42"/>
      <c r="C85" s="42"/>
      <c r="D85" s="42"/>
      <c r="E85" s="42"/>
      <c r="F85" s="42"/>
      <c r="G85" s="43"/>
      <c r="H85" s="43"/>
      <c r="I85" s="42"/>
      <c r="J85" s="44"/>
      <c r="K85" s="46"/>
      <c r="L85" s="34" t="str">
        <f t="shared" si="30"/>
        <v/>
      </c>
      <c r="M85" s="33" t="str">
        <f>IF($A85="","",SUMIFS(ASSEGNAZIONI!$F:$F,ASSEGNAZIONI!$B:$B,$A85))</f>
        <v/>
      </c>
      <c r="N85" s="34" t="str">
        <f>IF($A85="","",SUMIFS(ASSEGNAZIONI!$I:$I,ASSEGNAZIONI!$B:$B,$A85))</f>
        <v/>
      </c>
      <c r="O85" s="34" t="str">
        <f>IF($A85="","",SUMIFS(ASSEGNAZIONI!$J:$J,ASSEGNAZIONI!$B:$B,$A85))</f>
        <v/>
      </c>
      <c r="P85" s="34" t="str">
        <f t="shared" si="31"/>
        <v/>
      </c>
      <c r="Q85" s="44"/>
      <c r="R85" s="34" t="str">
        <f t="shared" si="32"/>
        <v/>
      </c>
      <c r="S85" s="35" t="str">
        <f t="shared" si="33"/>
        <v/>
      </c>
      <c r="T85" s="34" t="str">
        <f>IF($A85="","",SUMIFS(ODA!$R:$R,ODA!$B:$B,$A85))</f>
        <v/>
      </c>
      <c r="U85" s="34" t="str">
        <f>IF($A85="","",SUMIFS(ODA!$P:$P,ODA!$B:$B,$A85))</f>
        <v/>
      </c>
      <c r="V85" s="45" t="str">
        <f t="shared" si="34"/>
        <v/>
      </c>
      <c r="W85" s="33" t="str">
        <f>IF($A85="","",SUMIFS(ORE!$F:$F,ORE!$B:$B,$A85))</f>
        <v/>
      </c>
      <c r="X85" s="33" t="str">
        <f>IF($A85="","",SUMIFS(PREVISIONE_ORE!$G:$G,PREVISIONE_ORE!$D:$D,$A85,PREVISIONE_ORE!$K:$K,"Sì"))</f>
        <v/>
      </c>
      <c r="Y85" s="33" t="str">
        <f>IF($A85="","",IF(COUNTIFS(ASSEGNAZIONI!$B:$B,$A85)&gt;0,SUMIFS(ASSEGNAZIONI!$N:$N,ASSEGNAZIONI!$B:$B,$A85),MAX($W85,0)))</f>
        <v/>
      </c>
      <c r="Z85" s="33" t="str">
        <f t="shared" si="35"/>
        <v/>
      </c>
      <c r="AA85" s="34" t="str">
        <f>IF($A85="","",IF(COUNTIFS(ASSEGNAZIONI!$B:$B,$A85)&gt;0,SUMIFS(ASSEGNAZIONI!$P:$P,ASSEGNAZIONI!$B:$B,$A85),0))</f>
        <v/>
      </c>
      <c r="AB85" s="34" t="str">
        <f t="shared" si="36"/>
        <v/>
      </c>
      <c r="AC85" s="34" t="str">
        <f t="shared" si="37"/>
        <v/>
      </c>
      <c r="AD85" s="34" t="str">
        <f t="shared" si="38"/>
        <v/>
      </c>
      <c r="AE85" s="35" t="str">
        <f t="shared" si="39"/>
        <v/>
      </c>
      <c r="AF85" s="34" t="str">
        <f t="shared" si="40"/>
        <v/>
      </c>
      <c r="AG85" s="34" t="str">
        <f t="shared" si="41"/>
        <v/>
      </c>
      <c r="AH85" s="35" t="str">
        <f>IF($A85="","",IFERROR(AVERAGEIFS(FASI!$L:$L,FASI!$B:$B,$A85),0))</f>
        <v/>
      </c>
      <c r="AI85" s="35" t="str">
        <f t="shared" si="42"/>
        <v/>
      </c>
      <c r="AJ85" s="34" t="str">
        <f>IF($A85="","",SUMIFS(SAL!$H:$H,SAL!$B:$B,$A85,SAL!$O:$O,"Emessa")+SUMIFS(SAL!$H:$H,SAL!$B:$B,$A85,SAL!$O:$O,"Incassata")+SUMIFS(SAL!$H:$H,SAL!$B:$B,$A85,SAL!$O:$O,"Scaduta"))</f>
        <v/>
      </c>
      <c r="AK85" s="34" t="str">
        <f>IF($A85="","",SUMIFS(SAL!$H:$H,SAL!$B:$B,$A85,SAL!$O:$O,"Incassata"))</f>
        <v/>
      </c>
      <c r="AL85" s="34" t="str">
        <f t="shared" si="43"/>
        <v/>
      </c>
      <c r="AM85" s="34" t="str">
        <f t="shared" si="44"/>
        <v/>
      </c>
      <c r="AN85" s="36" t="str">
        <f ca="1">IF($A85="","",IF($M85=0,"RISORSE NON ASSEGNATE",IF($AE85&lt;0.1,"MARGINE CRITICO",IF($S85&lt;-SCONTO_MAX,"SCONTO OLTRE SOGLIA",IF($Z85&gt;0,"ORE OLTRE LA STIMA",IF($AI85&gt;ALLERTA_ORE,"CONSUMO ORE ELEVATO",IF(COUNTIFS(SAL!$B:$B,$A85,SAL!$K:$K,"EMETTIBILE")&gt;0,"SAL DA EMETTERE",IF(COUNTIFS(FASI!$B:$B,$A85,FASI!$H:$H,"&lt;"&amp;TODAY(),FASI!$L:$L,"&lt;1")&gt;0,"FASI IN RITARDO","OK"))))))))</f>
        <v/>
      </c>
    </row>
    <row r="86" spans="1:40" x14ac:dyDescent="0.3">
      <c r="A86" s="42"/>
      <c r="B86" s="42"/>
      <c r="C86" s="42"/>
      <c r="D86" s="42"/>
      <c r="E86" s="42"/>
      <c r="F86" s="42"/>
      <c r="G86" s="43"/>
      <c r="H86" s="43"/>
      <c r="I86" s="42"/>
      <c r="J86" s="44"/>
      <c r="K86" s="46"/>
      <c r="L86" s="34" t="str">
        <f t="shared" si="30"/>
        <v/>
      </c>
      <c r="M86" s="33" t="str">
        <f>IF($A86="","",SUMIFS(ASSEGNAZIONI!$F:$F,ASSEGNAZIONI!$B:$B,$A86))</f>
        <v/>
      </c>
      <c r="N86" s="34" t="str">
        <f>IF($A86="","",SUMIFS(ASSEGNAZIONI!$I:$I,ASSEGNAZIONI!$B:$B,$A86))</f>
        <v/>
      </c>
      <c r="O86" s="34" t="str">
        <f>IF($A86="","",SUMIFS(ASSEGNAZIONI!$J:$J,ASSEGNAZIONI!$B:$B,$A86))</f>
        <v/>
      </c>
      <c r="P86" s="34" t="str">
        <f t="shared" si="31"/>
        <v/>
      </c>
      <c r="Q86" s="44"/>
      <c r="R86" s="34" t="str">
        <f t="shared" si="32"/>
        <v/>
      </c>
      <c r="S86" s="35" t="str">
        <f t="shared" si="33"/>
        <v/>
      </c>
      <c r="T86" s="34" t="str">
        <f>IF($A86="","",SUMIFS(ODA!$R:$R,ODA!$B:$B,$A86))</f>
        <v/>
      </c>
      <c r="U86" s="34" t="str">
        <f>IF($A86="","",SUMIFS(ODA!$P:$P,ODA!$B:$B,$A86))</f>
        <v/>
      </c>
      <c r="V86" s="45" t="str">
        <f t="shared" si="34"/>
        <v/>
      </c>
      <c r="W86" s="33" t="str">
        <f>IF($A86="","",SUMIFS(ORE!$F:$F,ORE!$B:$B,$A86))</f>
        <v/>
      </c>
      <c r="X86" s="33" t="str">
        <f>IF($A86="","",SUMIFS(PREVISIONE_ORE!$G:$G,PREVISIONE_ORE!$D:$D,$A86,PREVISIONE_ORE!$K:$K,"Sì"))</f>
        <v/>
      </c>
      <c r="Y86" s="33" t="str">
        <f>IF($A86="","",IF(COUNTIFS(ASSEGNAZIONI!$B:$B,$A86)&gt;0,SUMIFS(ASSEGNAZIONI!$N:$N,ASSEGNAZIONI!$B:$B,$A86),MAX($W86,0)))</f>
        <v/>
      </c>
      <c r="Z86" s="33" t="str">
        <f t="shared" si="35"/>
        <v/>
      </c>
      <c r="AA86" s="34" t="str">
        <f>IF($A86="","",IF(COUNTIFS(ASSEGNAZIONI!$B:$B,$A86)&gt;0,SUMIFS(ASSEGNAZIONI!$P:$P,ASSEGNAZIONI!$B:$B,$A86),0))</f>
        <v/>
      </c>
      <c r="AB86" s="34" t="str">
        <f t="shared" si="36"/>
        <v/>
      </c>
      <c r="AC86" s="34" t="str">
        <f t="shared" si="37"/>
        <v/>
      </c>
      <c r="AD86" s="34" t="str">
        <f t="shared" si="38"/>
        <v/>
      </c>
      <c r="AE86" s="35" t="str">
        <f t="shared" si="39"/>
        <v/>
      </c>
      <c r="AF86" s="34" t="str">
        <f t="shared" si="40"/>
        <v/>
      </c>
      <c r="AG86" s="34" t="str">
        <f t="shared" si="41"/>
        <v/>
      </c>
      <c r="AH86" s="35" t="str">
        <f>IF($A86="","",IFERROR(AVERAGEIFS(FASI!$L:$L,FASI!$B:$B,$A86),0))</f>
        <v/>
      </c>
      <c r="AI86" s="35" t="str">
        <f t="shared" si="42"/>
        <v/>
      </c>
      <c r="AJ86" s="34" t="str">
        <f>IF($A86="","",SUMIFS(SAL!$H:$H,SAL!$B:$B,$A86,SAL!$O:$O,"Emessa")+SUMIFS(SAL!$H:$H,SAL!$B:$B,$A86,SAL!$O:$O,"Incassata")+SUMIFS(SAL!$H:$H,SAL!$B:$B,$A86,SAL!$O:$O,"Scaduta"))</f>
        <v/>
      </c>
      <c r="AK86" s="34" t="str">
        <f>IF($A86="","",SUMIFS(SAL!$H:$H,SAL!$B:$B,$A86,SAL!$O:$O,"Incassata"))</f>
        <v/>
      </c>
      <c r="AL86" s="34" t="str">
        <f t="shared" si="43"/>
        <v/>
      </c>
      <c r="AM86" s="34" t="str">
        <f t="shared" si="44"/>
        <v/>
      </c>
      <c r="AN86" s="36" t="str">
        <f ca="1">IF($A86="","",IF($M86=0,"RISORSE NON ASSEGNATE",IF($AE86&lt;0.1,"MARGINE CRITICO",IF($S86&lt;-SCONTO_MAX,"SCONTO OLTRE SOGLIA",IF($Z86&gt;0,"ORE OLTRE LA STIMA",IF($AI86&gt;ALLERTA_ORE,"CONSUMO ORE ELEVATO",IF(COUNTIFS(SAL!$B:$B,$A86,SAL!$K:$K,"EMETTIBILE")&gt;0,"SAL DA EMETTERE",IF(COUNTIFS(FASI!$B:$B,$A86,FASI!$H:$H,"&lt;"&amp;TODAY(),FASI!$L:$L,"&lt;1")&gt;0,"FASI IN RITARDO","OK"))))))))</f>
        <v/>
      </c>
    </row>
    <row r="87" spans="1:40" x14ac:dyDescent="0.3">
      <c r="A87" s="42"/>
      <c r="B87" s="42"/>
      <c r="C87" s="42"/>
      <c r="D87" s="42"/>
      <c r="E87" s="42"/>
      <c r="F87" s="42"/>
      <c r="G87" s="43"/>
      <c r="H87" s="43"/>
      <c r="I87" s="42"/>
      <c r="J87" s="44"/>
      <c r="K87" s="46"/>
      <c r="L87" s="34" t="str">
        <f t="shared" si="30"/>
        <v/>
      </c>
      <c r="M87" s="33" t="str">
        <f>IF($A87="","",SUMIFS(ASSEGNAZIONI!$F:$F,ASSEGNAZIONI!$B:$B,$A87))</f>
        <v/>
      </c>
      <c r="N87" s="34" t="str">
        <f>IF($A87="","",SUMIFS(ASSEGNAZIONI!$I:$I,ASSEGNAZIONI!$B:$B,$A87))</f>
        <v/>
      </c>
      <c r="O87" s="34" t="str">
        <f>IF($A87="","",SUMIFS(ASSEGNAZIONI!$J:$J,ASSEGNAZIONI!$B:$B,$A87))</f>
        <v/>
      </c>
      <c r="P87" s="34" t="str">
        <f t="shared" si="31"/>
        <v/>
      </c>
      <c r="Q87" s="44"/>
      <c r="R87" s="34" t="str">
        <f t="shared" si="32"/>
        <v/>
      </c>
      <c r="S87" s="35" t="str">
        <f t="shared" si="33"/>
        <v/>
      </c>
      <c r="T87" s="34" t="str">
        <f>IF($A87="","",SUMIFS(ODA!$R:$R,ODA!$B:$B,$A87))</f>
        <v/>
      </c>
      <c r="U87" s="34" t="str">
        <f>IF($A87="","",SUMIFS(ODA!$P:$P,ODA!$B:$B,$A87))</f>
        <v/>
      </c>
      <c r="V87" s="45" t="str">
        <f t="shared" si="34"/>
        <v/>
      </c>
      <c r="W87" s="33" t="str">
        <f>IF($A87="","",SUMIFS(ORE!$F:$F,ORE!$B:$B,$A87))</f>
        <v/>
      </c>
      <c r="X87" s="33" t="str">
        <f>IF($A87="","",SUMIFS(PREVISIONE_ORE!$G:$G,PREVISIONE_ORE!$D:$D,$A87,PREVISIONE_ORE!$K:$K,"Sì"))</f>
        <v/>
      </c>
      <c r="Y87" s="33" t="str">
        <f>IF($A87="","",IF(COUNTIFS(ASSEGNAZIONI!$B:$B,$A87)&gt;0,SUMIFS(ASSEGNAZIONI!$N:$N,ASSEGNAZIONI!$B:$B,$A87),MAX($W87,0)))</f>
        <v/>
      </c>
      <c r="Z87" s="33" t="str">
        <f t="shared" si="35"/>
        <v/>
      </c>
      <c r="AA87" s="34" t="str">
        <f>IF($A87="","",IF(COUNTIFS(ASSEGNAZIONI!$B:$B,$A87)&gt;0,SUMIFS(ASSEGNAZIONI!$P:$P,ASSEGNAZIONI!$B:$B,$A87),0))</f>
        <v/>
      </c>
      <c r="AB87" s="34" t="str">
        <f t="shared" si="36"/>
        <v/>
      </c>
      <c r="AC87" s="34" t="str">
        <f t="shared" si="37"/>
        <v/>
      </c>
      <c r="AD87" s="34" t="str">
        <f t="shared" si="38"/>
        <v/>
      </c>
      <c r="AE87" s="35" t="str">
        <f t="shared" si="39"/>
        <v/>
      </c>
      <c r="AF87" s="34" t="str">
        <f t="shared" si="40"/>
        <v/>
      </c>
      <c r="AG87" s="34" t="str">
        <f t="shared" si="41"/>
        <v/>
      </c>
      <c r="AH87" s="35" t="str">
        <f>IF($A87="","",IFERROR(AVERAGEIFS(FASI!$L:$L,FASI!$B:$B,$A87),0))</f>
        <v/>
      </c>
      <c r="AI87" s="35" t="str">
        <f t="shared" si="42"/>
        <v/>
      </c>
      <c r="AJ87" s="34" t="str">
        <f>IF($A87="","",SUMIFS(SAL!$H:$H,SAL!$B:$B,$A87,SAL!$O:$O,"Emessa")+SUMIFS(SAL!$H:$H,SAL!$B:$B,$A87,SAL!$O:$O,"Incassata")+SUMIFS(SAL!$H:$H,SAL!$B:$B,$A87,SAL!$O:$O,"Scaduta"))</f>
        <v/>
      </c>
      <c r="AK87" s="34" t="str">
        <f>IF($A87="","",SUMIFS(SAL!$H:$H,SAL!$B:$B,$A87,SAL!$O:$O,"Incassata"))</f>
        <v/>
      </c>
      <c r="AL87" s="34" t="str">
        <f t="shared" si="43"/>
        <v/>
      </c>
      <c r="AM87" s="34" t="str">
        <f t="shared" si="44"/>
        <v/>
      </c>
      <c r="AN87" s="36" t="str">
        <f ca="1">IF($A87="","",IF($M87=0,"RISORSE NON ASSEGNATE",IF($AE87&lt;0.1,"MARGINE CRITICO",IF($S87&lt;-SCONTO_MAX,"SCONTO OLTRE SOGLIA",IF($Z87&gt;0,"ORE OLTRE LA STIMA",IF($AI87&gt;ALLERTA_ORE,"CONSUMO ORE ELEVATO",IF(COUNTIFS(SAL!$B:$B,$A87,SAL!$K:$K,"EMETTIBILE")&gt;0,"SAL DA EMETTERE",IF(COUNTIFS(FASI!$B:$B,$A87,FASI!$H:$H,"&lt;"&amp;TODAY(),FASI!$L:$L,"&lt;1")&gt;0,"FASI IN RITARDO","OK"))))))))</f>
        <v/>
      </c>
    </row>
    <row r="88" spans="1:40" x14ac:dyDescent="0.3">
      <c r="A88" s="42"/>
      <c r="B88" s="42"/>
      <c r="C88" s="42"/>
      <c r="D88" s="42"/>
      <c r="E88" s="42"/>
      <c r="F88" s="42"/>
      <c r="G88" s="43"/>
      <c r="H88" s="43"/>
      <c r="I88" s="42"/>
      <c r="J88" s="44"/>
      <c r="K88" s="46"/>
      <c r="L88" s="34" t="str">
        <f t="shared" si="30"/>
        <v/>
      </c>
      <c r="M88" s="33" t="str">
        <f>IF($A88="","",SUMIFS(ASSEGNAZIONI!$F:$F,ASSEGNAZIONI!$B:$B,$A88))</f>
        <v/>
      </c>
      <c r="N88" s="34" t="str">
        <f>IF($A88="","",SUMIFS(ASSEGNAZIONI!$I:$I,ASSEGNAZIONI!$B:$B,$A88))</f>
        <v/>
      </c>
      <c r="O88" s="34" t="str">
        <f>IF($A88="","",SUMIFS(ASSEGNAZIONI!$J:$J,ASSEGNAZIONI!$B:$B,$A88))</f>
        <v/>
      </c>
      <c r="P88" s="34" t="str">
        <f t="shared" si="31"/>
        <v/>
      </c>
      <c r="Q88" s="44"/>
      <c r="R88" s="34" t="str">
        <f t="shared" si="32"/>
        <v/>
      </c>
      <c r="S88" s="35" t="str">
        <f t="shared" si="33"/>
        <v/>
      </c>
      <c r="T88" s="34" t="str">
        <f>IF($A88="","",SUMIFS(ODA!$R:$R,ODA!$B:$B,$A88))</f>
        <v/>
      </c>
      <c r="U88" s="34" t="str">
        <f>IF($A88="","",SUMIFS(ODA!$P:$P,ODA!$B:$B,$A88))</f>
        <v/>
      </c>
      <c r="V88" s="45" t="str">
        <f t="shared" si="34"/>
        <v/>
      </c>
      <c r="W88" s="33" t="str">
        <f>IF($A88="","",SUMIFS(ORE!$F:$F,ORE!$B:$B,$A88))</f>
        <v/>
      </c>
      <c r="X88" s="33" t="str">
        <f>IF($A88="","",SUMIFS(PREVISIONE_ORE!$G:$G,PREVISIONE_ORE!$D:$D,$A88,PREVISIONE_ORE!$K:$K,"Sì"))</f>
        <v/>
      </c>
      <c r="Y88" s="33" t="str">
        <f>IF($A88="","",IF(COUNTIFS(ASSEGNAZIONI!$B:$B,$A88)&gt;0,SUMIFS(ASSEGNAZIONI!$N:$N,ASSEGNAZIONI!$B:$B,$A88),MAX($W88,0)))</f>
        <v/>
      </c>
      <c r="Z88" s="33" t="str">
        <f t="shared" si="35"/>
        <v/>
      </c>
      <c r="AA88" s="34" t="str">
        <f>IF($A88="","",IF(COUNTIFS(ASSEGNAZIONI!$B:$B,$A88)&gt;0,SUMIFS(ASSEGNAZIONI!$P:$P,ASSEGNAZIONI!$B:$B,$A88),0))</f>
        <v/>
      </c>
      <c r="AB88" s="34" t="str">
        <f t="shared" si="36"/>
        <v/>
      </c>
      <c r="AC88" s="34" t="str">
        <f t="shared" si="37"/>
        <v/>
      </c>
      <c r="AD88" s="34" t="str">
        <f t="shared" si="38"/>
        <v/>
      </c>
      <c r="AE88" s="35" t="str">
        <f t="shared" si="39"/>
        <v/>
      </c>
      <c r="AF88" s="34" t="str">
        <f t="shared" si="40"/>
        <v/>
      </c>
      <c r="AG88" s="34" t="str">
        <f t="shared" si="41"/>
        <v/>
      </c>
      <c r="AH88" s="35" t="str">
        <f>IF($A88="","",IFERROR(AVERAGEIFS(FASI!$L:$L,FASI!$B:$B,$A88),0))</f>
        <v/>
      </c>
      <c r="AI88" s="35" t="str">
        <f t="shared" si="42"/>
        <v/>
      </c>
      <c r="AJ88" s="34" t="str">
        <f>IF($A88="","",SUMIFS(SAL!$H:$H,SAL!$B:$B,$A88,SAL!$O:$O,"Emessa")+SUMIFS(SAL!$H:$H,SAL!$B:$B,$A88,SAL!$O:$O,"Incassata")+SUMIFS(SAL!$H:$H,SAL!$B:$B,$A88,SAL!$O:$O,"Scaduta"))</f>
        <v/>
      </c>
      <c r="AK88" s="34" t="str">
        <f>IF($A88="","",SUMIFS(SAL!$H:$H,SAL!$B:$B,$A88,SAL!$O:$O,"Incassata"))</f>
        <v/>
      </c>
      <c r="AL88" s="34" t="str">
        <f t="shared" si="43"/>
        <v/>
      </c>
      <c r="AM88" s="34" t="str">
        <f t="shared" si="44"/>
        <v/>
      </c>
      <c r="AN88" s="36" t="str">
        <f ca="1">IF($A88="","",IF($M88=0,"RISORSE NON ASSEGNATE",IF($AE88&lt;0.1,"MARGINE CRITICO",IF($S88&lt;-SCONTO_MAX,"SCONTO OLTRE SOGLIA",IF($Z88&gt;0,"ORE OLTRE LA STIMA",IF($AI88&gt;ALLERTA_ORE,"CONSUMO ORE ELEVATO",IF(COUNTIFS(SAL!$B:$B,$A88,SAL!$K:$K,"EMETTIBILE")&gt;0,"SAL DA EMETTERE",IF(COUNTIFS(FASI!$B:$B,$A88,FASI!$H:$H,"&lt;"&amp;TODAY(),FASI!$L:$L,"&lt;1")&gt;0,"FASI IN RITARDO","OK"))))))))</f>
        <v/>
      </c>
    </row>
    <row r="89" spans="1:40" x14ac:dyDescent="0.3">
      <c r="A89" s="42"/>
      <c r="B89" s="42"/>
      <c r="C89" s="42"/>
      <c r="D89" s="42"/>
      <c r="E89" s="42"/>
      <c r="F89" s="42"/>
      <c r="G89" s="43"/>
      <c r="H89" s="43"/>
      <c r="I89" s="42"/>
      <c r="J89" s="44"/>
      <c r="K89" s="46"/>
      <c r="L89" s="34" t="str">
        <f t="shared" si="30"/>
        <v/>
      </c>
      <c r="M89" s="33" t="str">
        <f>IF($A89="","",SUMIFS(ASSEGNAZIONI!$F:$F,ASSEGNAZIONI!$B:$B,$A89))</f>
        <v/>
      </c>
      <c r="N89" s="34" t="str">
        <f>IF($A89="","",SUMIFS(ASSEGNAZIONI!$I:$I,ASSEGNAZIONI!$B:$B,$A89))</f>
        <v/>
      </c>
      <c r="O89" s="34" t="str">
        <f>IF($A89="","",SUMIFS(ASSEGNAZIONI!$J:$J,ASSEGNAZIONI!$B:$B,$A89))</f>
        <v/>
      </c>
      <c r="P89" s="34" t="str">
        <f t="shared" si="31"/>
        <v/>
      </c>
      <c r="Q89" s="44"/>
      <c r="R89" s="34" t="str">
        <f t="shared" si="32"/>
        <v/>
      </c>
      <c r="S89" s="35" t="str">
        <f t="shared" si="33"/>
        <v/>
      </c>
      <c r="T89" s="34" t="str">
        <f>IF($A89="","",SUMIFS(ODA!$R:$R,ODA!$B:$B,$A89))</f>
        <v/>
      </c>
      <c r="U89" s="34" t="str">
        <f>IF($A89="","",SUMIFS(ODA!$P:$P,ODA!$B:$B,$A89))</f>
        <v/>
      </c>
      <c r="V89" s="45" t="str">
        <f t="shared" si="34"/>
        <v/>
      </c>
      <c r="W89" s="33" t="str">
        <f>IF($A89="","",SUMIFS(ORE!$F:$F,ORE!$B:$B,$A89))</f>
        <v/>
      </c>
      <c r="X89" s="33" t="str">
        <f>IF($A89="","",SUMIFS(PREVISIONE_ORE!$G:$G,PREVISIONE_ORE!$D:$D,$A89,PREVISIONE_ORE!$K:$K,"Sì"))</f>
        <v/>
      </c>
      <c r="Y89" s="33" t="str">
        <f>IF($A89="","",IF(COUNTIFS(ASSEGNAZIONI!$B:$B,$A89)&gt;0,SUMIFS(ASSEGNAZIONI!$N:$N,ASSEGNAZIONI!$B:$B,$A89),MAX($W89,0)))</f>
        <v/>
      </c>
      <c r="Z89" s="33" t="str">
        <f t="shared" si="35"/>
        <v/>
      </c>
      <c r="AA89" s="34" t="str">
        <f>IF($A89="","",IF(COUNTIFS(ASSEGNAZIONI!$B:$B,$A89)&gt;0,SUMIFS(ASSEGNAZIONI!$P:$P,ASSEGNAZIONI!$B:$B,$A89),0))</f>
        <v/>
      </c>
      <c r="AB89" s="34" t="str">
        <f t="shared" si="36"/>
        <v/>
      </c>
      <c r="AC89" s="34" t="str">
        <f t="shared" si="37"/>
        <v/>
      </c>
      <c r="AD89" s="34" t="str">
        <f t="shared" si="38"/>
        <v/>
      </c>
      <c r="AE89" s="35" t="str">
        <f t="shared" si="39"/>
        <v/>
      </c>
      <c r="AF89" s="34" t="str">
        <f t="shared" si="40"/>
        <v/>
      </c>
      <c r="AG89" s="34" t="str">
        <f t="shared" si="41"/>
        <v/>
      </c>
      <c r="AH89" s="35" t="str">
        <f>IF($A89="","",IFERROR(AVERAGEIFS(FASI!$L:$L,FASI!$B:$B,$A89),0))</f>
        <v/>
      </c>
      <c r="AI89" s="35" t="str">
        <f t="shared" si="42"/>
        <v/>
      </c>
      <c r="AJ89" s="34" t="str">
        <f>IF($A89="","",SUMIFS(SAL!$H:$H,SAL!$B:$B,$A89,SAL!$O:$O,"Emessa")+SUMIFS(SAL!$H:$H,SAL!$B:$B,$A89,SAL!$O:$O,"Incassata")+SUMIFS(SAL!$H:$H,SAL!$B:$B,$A89,SAL!$O:$O,"Scaduta"))</f>
        <v/>
      </c>
      <c r="AK89" s="34" t="str">
        <f>IF($A89="","",SUMIFS(SAL!$H:$H,SAL!$B:$B,$A89,SAL!$O:$O,"Incassata"))</f>
        <v/>
      </c>
      <c r="AL89" s="34" t="str">
        <f t="shared" si="43"/>
        <v/>
      </c>
      <c r="AM89" s="34" t="str">
        <f t="shared" si="44"/>
        <v/>
      </c>
      <c r="AN89" s="36" t="str">
        <f ca="1">IF($A89="","",IF($M89=0,"RISORSE NON ASSEGNATE",IF($AE89&lt;0.1,"MARGINE CRITICO",IF($S89&lt;-SCONTO_MAX,"SCONTO OLTRE SOGLIA",IF($Z89&gt;0,"ORE OLTRE LA STIMA",IF($AI89&gt;ALLERTA_ORE,"CONSUMO ORE ELEVATO",IF(COUNTIFS(SAL!$B:$B,$A89,SAL!$K:$K,"EMETTIBILE")&gt;0,"SAL DA EMETTERE",IF(COUNTIFS(FASI!$B:$B,$A89,FASI!$H:$H,"&lt;"&amp;TODAY(),FASI!$L:$L,"&lt;1")&gt;0,"FASI IN RITARDO","OK"))))))))</f>
        <v/>
      </c>
    </row>
    <row r="90" spans="1:40" x14ac:dyDescent="0.3">
      <c r="A90" s="42"/>
      <c r="B90" s="42"/>
      <c r="C90" s="42"/>
      <c r="D90" s="42"/>
      <c r="E90" s="42"/>
      <c r="F90" s="42"/>
      <c r="G90" s="43"/>
      <c r="H90" s="43"/>
      <c r="I90" s="42"/>
      <c r="J90" s="44"/>
      <c r="K90" s="46"/>
      <c r="L90" s="34" t="str">
        <f t="shared" si="30"/>
        <v/>
      </c>
      <c r="M90" s="33" t="str">
        <f>IF($A90="","",SUMIFS(ASSEGNAZIONI!$F:$F,ASSEGNAZIONI!$B:$B,$A90))</f>
        <v/>
      </c>
      <c r="N90" s="34" t="str">
        <f>IF($A90="","",SUMIFS(ASSEGNAZIONI!$I:$I,ASSEGNAZIONI!$B:$B,$A90))</f>
        <v/>
      </c>
      <c r="O90" s="34" t="str">
        <f>IF($A90="","",SUMIFS(ASSEGNAZIONI!$J:$J,ASSEGNAZIONI!$B:$B,$A90))</f>
        <v/>
      </c>
      <c r="P90" s="34" t="str">
        <f t="shared" si="31"/>
        <v/>
      </c>
      <c r="Q90" s="44"/>
      <c r="R90" s="34" t="str">
        <f t="shared" si="32"/>
        <v/>
      </c>
      <c r="S90" s="35" t="str">
        <f t="shared" si="33"/>
        <v/>
      </c>
      <c r="T90" s="34" t="str">
        <f>IF($A90="","",SUMIFS(ODA!$R:$R,ODA!$B:$B,$A90))</f>
        <v/>
      </c>
      <c r="U90" s="34" t="str">
        <f>IF($A90="","",SUMIFS(ODA!$P:$P,ODA!$B:$B,$A90))</f>
        <v/>
      </c>
      <c r="V90" s="45" t="str">
        <f t="shared" si="34"/>
        <v/>
      </c>
      <c r="W90" s="33" t="str">
        <f>IF($A90="","",SUMIFS(ORE!$F:$F,ORE!$B:$B,$A90))</f>
        <v/>
      </c>
      <c r="X90" s="33" t="str">
        <f>IF($A90="","",SUMIFS(PREVISIONE_ORE!$G:$G,PREVISIONE_ORE!$D:$D,$A90,PREVISIONE_ORE!$K:$K,"Sì"))</f>
        <v/>
      </c>
      <c r="Y90" s="33" t="str">
        <f>IF($A90="","",IF(COUNTIFS(ASSEGNAZIONI!$B:$B,$A90)&gt;0,SUMIFS(ASSEGNAZIONI!$N:$N,ASSEGNAZIONI!$B:$B,$A90),MAX($W90,0)))</f>
        <v/>
      </c>
      <c r="Z90" s="33" t="str">
        <f t="shared" si="35"/>
        <v/>
      </c>
      <c r="AA90" s="34" t="str">
        <f>IF($A90="","",IF(COUNTIFS(ASSEGNAZIONI!$B:$B,$A90)&gt;0,SUMIFS(ASSEGNAZIONI!$P:$P,ASSEGNAZIONI!$B:$B,$A90),0))</f>
        <v/>
      </c>
      <c r="AB90" s="34" t="str">
        <f t="shared" si="36"/>
        <v/>
      </c>
      <c r="AC90" s="34" t="str">
        <f t="shared" si="37"/>
        <v/>
      </c>
      <c r="AD90" s="34" t="str">
        <f t="shared" si="38"/>
        <v/>
      </c>
      <c r="AE90" s="35" t="str">
        <f t="shared" si="39"/>
        <v/>
      </c>
      <c r="AF90" s="34" t="str">
        <f t="shared" si="40"/>
        <v/>
      </c>
      <c r="AG90" s="34" t="str">
        <f t="shared" si="41"/>
        <v/>
      </c>
      <c r="AH90" s="35" t="str">
        <f>IF($A90="","",IFERROR(AVERAGEIFS(FASI!$L:$L,FASI!$B:$B,$A90),0))</f>
        <v/>
      </c>
      <c r="AI90" s="35" t="str">
        <f t="shared" si="42"/>
        <v/>
      </c>
      <c r="AJ90" s="34" t="str">
        <f>IF($A90="","",SUMIFS(SAL!$H:$H,SAL!$B:$B,$A90,SAL!$O:$O,"Emessa")+SUMIFS(SAL!$H:$H,SAL!$B:$B,$A90,SAL!$O:$O,"Incassata")+SUMIFS(SAL!$H:$H,SAL!$B:$B,$A90,SAL!$O:$O,"Scaduta"))</f>
        <v/>
      </c>
      <c r="AK90" s="34" t="str">
        <f>IF($A90="","",SUMIFS(SAL!$H:$H,SAL!$B:$B,$A90,SAL!$O:$O,"Incassata"))</f>
        <v/>
      </c>
      <c r="AL90" s="34" t="str">
        <f t="shared" si="43"/>
        <v/>
      </c>
      <c r="AM90" s="34" t="str">
        <f t="shared" si="44"/>
        <v/>
      </c>
      <c r="AN90" s="36" t="str">
        <f ca="1">IF($A90="","",IF($M90=0,"RISORSE NON ASSEGNATE",IF($AE90&lt;0.1,"MARGINE CRITICO",IF($S90&lt;-SCONTO_MAX,"SCONTO OLTRE SOGLIA",IF($Z90&gt;0,"ORE OLTRE LA STIMA",IF($AI90&gt;ALLERTA_ORE,"CONSUMO ORE ELEVATO",IF(COUNTIFS(SAL!$B:$B,$A90,SAL!$K:$K,"EMETTIBILE")&gt;0,"SAL DA EMETTERE",IF(COUNTIFS(FASI!$B:$B,$A90,FASI!$H:$H,"&lt;"&amp;TODAY(),FASI!$L:$L,"&lt;1")&gt;0,"FASI IN RITARDO","OK"))))))))</f>
        <v/>
      </c>
    </row>
    <row r="91" spans="1:40" x14ac:dyDescent="0.3">
      <c r="A91" s="42"/>
      <c r="B91" s="42"/>
      <c r="C91" s="42"/>
      <c r="D91" s="42"/>
      <c r="E91" s="42"/>
      <c r="F91" s="42"/>
      <c r="G91" s="43"/>
      <c r="H91" s="43"/>
      <c r="I91" s="42"/>
      <c r="J91" s="44"/>
      <c r="K91" s="46"/>
      <c r="L91" s="34" t="str">
        <f t="shared" si="30"/>
        <v/>
      </c>
      <c r="M91" s="33" t="str">
        <f>IF($A91="","",SUMIFS(ASSEGNAZIONI!$F:$F,ASSEGNAZIONI!$B:$B,$A91))</f>
        <v/>
      </c>
      <c r="N91" s="34" t="str">
        <f>IF($A91="","",SUMIFS(ASSEGNAZIONI!$I:$I,ASSEGNAZIONI!$B:$B,$A91))</f>
        <v/>
      </c>
      <c r="O91" s="34" t="str">
        <f>IF($A91="","",SUMIFS(ASSEGNAZIONI!$J:$J,ASSEGNAZIONI!$B:$B,$A91))</f>
        <v/>
      </c>
      <c r="P91" s="34" t="str">
        <f t="shared" si="31"/>
        <v/>
      </c>
      <c r="Q91" s="44"/>
      <c r="R91" s="34" t="str">
        <f t="shared" si="32"/>
        <v/>
      </c>
      <c r="S91" s="35" t="str">
        <f t="shared" si="33"/>
        <v/>
      </c>
      <c r="T91" s="34" t="str">
        <f>IF($A91="","",SUMIFS(ODA!$R:$R,ODA!$B:$B,$A91))</f>
        <v/>
      </c>
      <c r="U91" s="34" t="str">
        <f>IF($A91="","",SUMIFS(ODA!$P:$P,ODA!$B:$B,$A91))</f>
        <v/>
      </c>
      <c r="V91" s="45" t="str">
        <f t="shared" si="34"/>
        <v/>
      </c>
      <c r="W91" s="33" t="str">
        <f>IF($A91="","",SUMIFS(ORE!$F:$F,ORE!$B:$B,$A91))</f>
        <v/>
      </c>
      <c r="X91" s="33" t="str">
        <f>IF($A91="","",SUMIFS(PREVISIONE_ORE!$G:$G,PREVISIONE_ORE!$D:$D,$A91,PREVISIONE_ORE!$K:$K,"Sì"))</f>
        <v/>
      </c>
      <c r="Y91" s="33" t="str">
        <f>IF($A91="","",IF(COUNTIFS(ASSEGNAZIONI!$B:$B,$A91)&gt;0,SUMIFS(ASSEGNAZIONI!$N:$N,ASSEGNAZIONI!$B:$B,$A91),MAX($W91,0)))</f>
        <v/>
      </c>
      <c r="Z91" s="33" t="str">
        <f t="shared" si="35"/>
        <v/>
      </c>
      <c r="AA91" s="34" t="str">
        <f>IF($A91="","",IF(COUNTIFS(ASSEGNAZIONI!$B:$B,$A91)&gt;0,SUMIFS(ASSEGNAZIONI!$P:$P,ASSEGNAZIONI!$B:$B,$A91),0))</f>
        <v/>
      </c>
      <c r="AB91" s="34" t="str">
        <f t="shared" si="36"/>
        <v/>
      </c>
      <c r="AC91" s="34" t="str">
        <f t="shared" si="37"/>
        <v/>
      </c>
      <c r="AD91" s="34" t="str">
        <f t="shared" si="38"/>
        <v/>
      </c>
      <c r="AE91" s="35" t="str">
        <f t="shared" si="39"/>
        <v/>
      </c>
      <c r="AF91" s="34" t="str">
        <f t="shared" si="40"/>
        <v/>
      </c>
      <c r="AG91" s="34" t="str">
        <f t="shared" si="41"/>
        <v/>
      </c>
      <c r="AH91" s="35" t="str">
        <f>IF($A91="","",IFERROR(AVERAGEIFS(FASI!$L:$L,FASI!$B:$B,$A91),0))</f>
        <v/>
      </c>
      <c r="AI91" s="35" t="str">
        <f t="shared" si="42"/>
        <v/>
      </c>
      <c r="AJ91" s="34" t="str">
        <f>IF($A91="","",SUMIFS(SAL!$H:$H,SAL!$B:$B,$A91,SAL!$O:$O,"Emessa")+SUMIFS(SAL!$H:$H,SAL!$B:$B,$A91,SAL!$O:$O,"Incassata")+SUMIFS(SAL!$H:$H,SAL!$B:$B,$A91,SAL!$O:$O,"Scaduta"))</f>
        <v/>
      </c>
      <c r="AK91" s="34" t="str">
        <f>IF($A91="","",SUMIFS(SAL!$H:$H,SAL!$B:$B,$A91,SAL!$O:$O,"Incassata"))</f>
        <v/>
      </c>
      <c r="AL91" s="34" t="str">
        <f t="shared" si="43"/>
        <v/>
      </c>
      <c r="AM91" s="34" t="str">
        <f t="shared" si="44"/>
        <v/>
      </c>
      <c r="AN91" s="36" t="str">
        <f ca="1">IF($A91="","",IF($M91=0,"RISORSE NON ASSEGNATE",IF($AE91&lt;0.1,"MARGINE CRITICO",IF($S91&lt;-SCONTO_MAX,"SCONTO OLTRE SOGLIA",IF($Z91&gt;0,"ORE OLTRE LA STIMA",IF($AI91&gt;ALLERTA_ORE,"CONSUMO ORE ELEVATO",IF(COUNTIFS(SAL!$B:$B,$A91,SAL!$K:$K,"EMETTIBILE")&gt;0,"SAL DA EMETTERE",IF(COUNTIFS(FASI!$B:$B,$A91,FASI!$H:$H,"&lt;"&amp;TODAY(),FASI!$L:$L,"&lt;1")&gt;0,"FASI IN RITARDO","OK"))))))))</f>
        <v/>
      </c>
    </row>
    <row r="92" spans="1:40" x14ac:dyDescent="0.3">
      <c r="A92" s="42"/>
      <c r="B92" s="42"/>
      <c r="C92" s="42"/>
      <c r="D92" s="42"/>
      <c r="E92" s="42"/>
      <c r="F92" s="42"/>
      <c r="G92" s="43"/>
      <c r="H92" s="43"/>
      <c r="I92" s="42"/>
      <c r="J92" s="44"/>
      <c r="K92" s="46"/>
      <c r="L92" s="34" t="str">
        <f t="shared" si="30"/>
        <v/>
      </c>
      <c r="M92" s="33" t="str">
        <f>IF($A92="","",SUMIFS(ASSEGNAZIONI!$F:$F,ASSEGNAZIONI!$B:$B,$A92))</f>
        <v/>
      </c>
      <c r="N92" s="34" t="str">
        <f>IF($A92="","",SUMIFS(ASSEGNAZIONI!$I:$I,ASSEGNAZIONI!$B:$B,$A92))</f>
        <v/>
      </c>
      <c r="O92" s="34" t="str">
        <f>IF($A92="","",SUMIFS(ASSEGNAZIONI!$J:$J,ASSEGNAZIONI!$B:$B,$A92))</f>
        <v/>
      </c>
      <c r="P92" s="34" t="str">
        <f t="shared" si="31"/>
        <v/>
      </c>
      <c r="Q92" s="44"/>
      <c r="R92" s="34" t="str">
        <f t="shared" si="32"/>
        <v/>
      </c>
      <c r="S92" s="35" t="str">
        <f t="shared" si="33"/>
        <v/>
      </c>
      <c r="T92" s="34" t="str">
        <f>IF($A92="","",SUMIFS(ODA!$R:$R,ODA!$B:$B,$A92))</f>
        <v/>
      </c>
      <c r="U92" s="34" t="str">
        <f>IF($A92="","",SUMIFS(ODA!$P:$P,ODA!$B:$B,$A92))</f>
        <v/>
      </c>
      <c r="V92" s="45" t="str">
        <f t="shared" si="34"/>
        <v/>
      </c>
      <c r="W92" s="33" t="str">
        <f>IF($A92="","",SUMIFS(ORE!$F:$F,ORE!$B:$B,$A92))</f>
        <v/>
      </c>
      <c r="X92" s="33" t="str">
        <f>IF($A92="","",SUMIFS(PREVISIONE_ORE!$G:$G,PREVISIONE_ORE!$D:$D,$A92,PREVISIONE_ORE!$K:$K,"Sì"))</f>
        <v/>
      </c>
      <c r="Y92" s="33" t="str">
        <f>IF($A92="","",IF(COUNTIFS(ASSEGNAZIONI!$B:$B,$A92)&gt;0,SUMIFS(ASSEGNAZIONI!$N:$N,ASSEGNAZIONI!$B:$B,$A92),MAX($W92,0)))</f>
        <v/>
      </c>
      <c r="Z92" s="33" t="str">
        <f t="shared" si="35"/>
        <v/>
      </c>
      <c r="AA92" s="34" t="str">
        <f>IF($A92="","",IF(COUNTIFS(ASSEGNAZIONI!$B:$B,$A92)&gt;0,SUMIFS(ASSEGNAZIONI!$P:$P,ASSEGNAZIONI!$B:$B,$A92),0))</f>
        <v/>
      </c>
      <c r="AB92" s="34" t="str">
        <f t="shared" si="36"/>
        <v/>
      </c>
      <c r="AC92" s="34" t="str">
        <f t="shared" si="37"/>
        <v/>
      </c>
      <c r="AD92" s="34" t="str">
        <f t="shared" si="38"/>
        <v/>
      </c>
      <c r="AE92" s="35" t="str">
        <f t="shared" si="39"/>
        <v/>
      </c>
      <c r="AF92" s="34" t="str">
        <f t="shared" si="40"/>
        <v/>
      </c>
      <c r="AG92" s="34" t="str">
        <f t="shared" si="41"/>
        <v/>
      </c>
      <c r="AH92" s="35" t="str">
        <f>IF($A92="","",IFERROR(AVERAGEIFS(FASI!$L:$L,FASI!$B:$B,$A92),0))</f>
        <v/>
      </c>
      <c r="AI92" s="35" t="str">
        <f t="shared" si="42"/>
        <v/>
      </c>
      <c r="AJ92" s="34" t="str">
        <f>IF($A92="","",SUMIFS(SAL!$H:$H,SAL!$B:$B,$A92,SAL!$O:$O,"Emessa")+SUMIFS(SAL!$H:$H,SAL!$B:$B,$A92,SAL!$O:$O,"Incassata")+SUMIFS(SAL!$H:$H,SAL!$B:$B,$A92,SAL!$O:$O,"Scaduta"))</f>
        <v/>
      </c>
      <c r="AK92" s="34" t="str">
        <f>IF($A92="","",SUMIFS(SAL!$H:$H,SAL!$B:$B,$A92,SAL!$O:$O,"Incassata"))</f>
        <v/>
      </c>
      <c r="AL92" s="34" t="str">
        <f t="shared" si="43"/>
        <v/>
      </c>
      <c r="AM92" s="34" t="str">
        <f t="shared" si="44"/>
        <v/>
      </c>
      <c r="AN92" s="36" t="str">
        <f ca="1">IF($A92="","",IF($M92=0,"RISORSE NON ASSEGNATE",IF($AE92&lt;0.1,"MARGINE CRITICO",IF($S92&lt;-SCONTO_MAX,"SCONTO OLTRE SOGLIA",IF($Z92&gt;0,"ORE OLTRE LA STIMA",IF($AI92&gt;ALLERTA_ORE,"CONSUMO ORE ELEVATO",IF(COUNTIFS(SAL!$B:$B,$A92,SAL!$K:$K,"EMETTIBILE")&gt;0,"SAL DA EMETTERE",IF(COUNTIFS(FASI!$B:$B,$A92,FASI!$H:$H,"&lt;"&amp;TODAY(),FASI!$L:$L,"&lt;1")&gt;0,"FASI IN RITARDO","OK"))))))))</f>
        <v/>
      </c>
    </row>
    <row r="93" spans="1:40" x14ac:dyDescent="0.3">
      <c r="A93" s="42"/>
      <c r="B93" s="42"/>
      <c r="C93" s="42"/>
      <c r="D93" s="42"/>
      <c r="E93" s="42"/>
      <c r="F93" s="42"/>
      <c r="G93" s="43"/>
      <c r="H93" s="43"/>
      <c r="I93" s="42"/>
      <c r="J93" s="44"/>
      <c r="K93" s="46"/>
      <c r="L93" s="34" t="str">
        <f t="shared" si="30"/>
        <v/>
      </c>
      <c r="M93" s="33" t="str">
        <f>IF($A93="","",SUMIFS(ASSEGNAZIONI!$F:$F,ASSEGNAZIONI!$B:$B,$A93))</f>
        <v/>
      </c>
      <c r="N93" s="34" t="str">
        <f>IF($A93="","",SUMIFS(ASSEGNAZIONI!$I:$I,ASSEGNAZIONI!$B:$B,$A93))</f>
        <v/>
      </c>
      <c r="O93" s="34" t="str">
        <f>IF($A93="","",SUMIFS(ASSEGNAZIONI!$J:$J,ASSEGNAZIONI!$B:$B,$A93))</f>
        <v/>
      </c>
      <c r="P93" s="34" t="str">
        <f t="shared" si="31"/>
        <v/>
      </c>
      <c r="Q93" s="44"/>
      <c r="R93" s="34" t="str">
        <f t="shared" si="32"/>
        <v/>
      </c>
      <c r="S93" s="35" t="str">
        <f t="shared" si="33"/>
        <v/>
      </c>
      <c r="T93" s="34" t="str">
        <f>IF($A93="","",SUMIFS(ODA!$R:$R,ODA!$B:$B,$A93))</f>
        <v/>
      </c>
      <c r="U93" s="34" t="str">
        <f>IF($A93="","",SUMIFS(ODA!$P:$P,ODA!$B:$B,$A93))</f>
        <v/>
      </c>
      <c r="V93" s="45" t="str">
        <f t="shared" si="34"/>
        <v/>
      </c>
      <c r="W93" s="33" t="str">
        <f>IF($A93="","",SUMIFS(ORE!$F:$F,ORE!$B:$B,$A93))</f>
        <v/>
      </c>
      <c r="X93" s="33" t="str">
        <f>IF($A93="","",SUMIFS(PREVISIONE_ORE!$G:$G,PREVISIONE_ORE!$D:$D,$A93,PREVISIONE_ORE!$K:$K,"Sì"))</f>
        <v/>
      </c>
      <c r="Y93" s="33" t="str">
        <f>IF($A93="","",IF(COUNTIFS(ASSEGNAZIONI!$B:$B,$A93)&gt;0,SUMIFS(ASSEGNAZIONI!$N:$N,ASSEGNAZIONI!$B:$B,$A93),MAX($W93,0)))</f>
        <v/>
      </c>
      <c r="Z93" s="33" t="str">
        <f t="shared" si="35"/>
        <v/>
      </c>
      <c r="AA93" s="34" t="str">
        <f>IF($A93="","",IF(COUNTIFS(ASSEGNAZIONI!$B:$B,$A93)&gt;0,SUMIFS(ASSEGNAZIONI!$P:$P,ASSEGNAZIONI!$B:$B,$A93),0))</f>
        <v/>
      </c>
      <c r="AB93" s="34" t="str">
        <f t="shared" si="36"/>
        <v/>
      </c>
      <c r="AC93" s="34" t="str">
        <f t="shared" si="37"/>
        <v/>
      </c>
      <c r="AD93" s="34" t="str">
        <f t="shared" si="38"/>
        <v/>
      </c>
      <c r="AE93" s="35" t="str">
        <f t="shared" si="39"/>
        <v/>
      </c>
      <c r="AF93" s="34" t="str">
        <f t="shared" si="40"/>
        <v/>
      </c>
      <c r="AG93" s="34" t="str">
        <f t="shared" si="41"/>
        <v/>
      </c>
      <c r="AH93" s="35" t="str">
        <f>IF($A93="","",IFERROR(AVERAGEIFS(FASI!$L:$L,FASI!$B:$B,$A93),0))</f>
        <v/>
      </c>
      <c r="AI93" s="35" t="str">
        <f t="shared" si="42"/>
        <v/>
      </c>
      <c r="AJ93" s="34" t="str">
        <f>IF($A93="","",SUMIFS(SAL!$H:$H,SAL!$B:$B,$A93,SAL!$O:$O,"Emessa")+SUMIFS(SAL!$H:$H,SAL!$B:$B,$A93,SAL!$O:$O,"Incassata")+SUMIFS(SAL!$H:$H,SAL!$B:$B,$A93,SAL!$O:$O,"Scaduta"))</f>
        <v/>
      </c>
      <c r="AK93" s="34" t="str">
        <f>IF($A93="","",SUMIFS(SAL!$H:$H,SAL!$B:$B,$A93,SAL!$O:$O,"Incassata"))</f>
        <v/>
      </c>
      <c r="AL93" s="34" t="str">
        <f t="shared" si="43"/>
        <v/>
      </c>
      <c r="AM93" s="34" t="str">
        <f t="shared" si="44"/>
        <v/>
      </c>
      <c r="AN93" s="36" t="str">
        <f ca="1">IF($A93="","",IF($M93=0,"RISORSE NON ASSEGNATE",IF($AE93&lt;0.1,"MARGINE CRITICO",IF($S93&lt;-SCONTO_MAX,"SCONTO OLTRE SOGLIA",IF($Z93&gt;0,"ORE OLTRE LA STIMA",IF($AI93&gt;ALLERTA_ORE,"CONSUMO ORE ELEVATO",IF(COUNTIFS(SAL!$B:$B,$A93,SAL!$K:$K,"EMETTIBILE")&gt;0,"SAL DA EMETTERE",IF(COUNTIFS(FASI!$B:$B,$A93,FASI!$H:$H,"&lt;"&amp;TODAY(),FASI!$L:$L,"&lt;1")&gt;0,"FASI IN RITARDO","OK"))))))))</f>
        <v/>
      </c>
    </row>
    <row r="94" spans="1:40" x14ac:dyDescent="0.3">
      <c r="A94" s="42"/>
      <c r="B94" s="42"/>
      <c r="C94" s="42"/>
      <c r="D94" s="42"/>
      <c r="E94" s="42"/>
      <c r="F94" s="42"/>
      <c r="G94" s="43"/>
      <c r="H94" s="43"/>
      <c r="I94" s="42"/>
      <c r="J94" s="44"/>
      <c r="K94" s="46"/>
      <c r="L94" s="34" t="str">
        <f t="shared" si="30"/>
        <v/>
      </c>
      <c r="M94" s="33" t="str">
        <f>IF($A94="","",SUMIFS(ASSEGNAZIONI!$F:$F,ASSEGNAZIONI!$B:$B,$A94))</f>
        <v/>
      </c>
      <c r="N94" s="34" t="str">
        <f>IF($A94="","",SUMIFS(ASSEGNAZIONI!$I:$I,ASSEGNAZIONI!$B:$B,$A94))</f>
        <v/>
      </c>
      <c r="O94" s="34" t="str">
        <f>IF($A94="","",SUMIFS(ASSEGNAZIONI!$J:$J,ASSEGNAZIONI!$B:$B,$A94))</f>
        <v/>
      </c>
      <c r="P94" s="34" t="str">
        <f t="shared" si="31"/>
        <v/>
      </c>
      <c r="Q94" s="44"/>
      <c r="R94" s="34" t="str">
        <f t="shared" si="32"/>
        <v/>
      </c>
      <c r="S94" s="35" t="str">
        <f t="shared" si="33"/>
        <v/>
      </c>
      <c r="T94" s="34" t="str">
        <f>IF($A94="","",SUMIFS(ODA!$R:$R,ODA!$B:$B,$A94))</f>
        <v/>
      </c>
      <c r="U94" s="34" t="str">
        <f>IF($A94="","",SUMIFS(ODA!$P:$P,ODA!$B:$B,$A94))</f>
        <v/>
      </c>
      <c r="V94" s="45" t="str">
        <f t="shared" si="34"/>
        <v/>
      </c>
      <c r="W94" s="33" t="str">
        <f>IF($A94="","",SUMIFS(ORE!$F:$F,ORE!$B:$B,$A94))</f>
        <v/>
      </c>
      <c r="X94" s="33" t="str">
        <f>IF($A94="","",SUMIFS(PREVISIONE_ORE!$G:$G,PREVISIONE_ORE!$D:$D,$A94,PREVISIONE_ORE!$K:$K,"Sì"))</f>
        <v/>
      </c>
      <c r="Y94" s="33" t="str">
        <f>IF($A94="","",IF(COUNTIFS(ASSEGNAZIONI!$B:$B,$A94)&gt;0,SUMIFS(ASSEGNAZIONI!$N:$N,ASSEGNAZIONI!$B:$B,$A94),MAX($W94,0)))</f>
        <v/>
      </c>
      <c r="Z94" s="33" t="str">
        <f t="shared" si="35"/>
        <v/>
      </c>
      <c r="AA94" s="34" t="str">
        <f>IF($A94="","",IF(COUNTIFS(ASSEGNAZIONI!$B:$B,$A94)&gt;0,SUMIFS(ASSEGNAZIONI!$P:$P,ASSEGNAZIONI!$B:$B,$A94),0))</f>
        <v/>
      </c>
      <c r="AB94" s="34" t="str">
        <f t="shared" si="36"/>
        <v/>
      </c>
      <c r="AC94" s="34" t="str">
        <f t="shared" si="37"/>
        <v/>
      </c>
      <c r="AD94" s="34" t="str">
        <f t="shared" si="38"/>
        <v/>
      </c>
      <c r="AE94" s="35" t="str">
        <f t="shared" si="39"/>
        <v/>
      </c>
      <c r="AF94" s="34" t="str">
        <f t="shared" si="40"/>
        <v/>
      </c>
      <c r="AG94" s="34" t="str">
        <f t="shared" si="41"/>
        <v/>
      </c>
      <c r="AH94" s="35" t="str">
        <f>IF($A94="","",IFERROR(AVERAGEIFS(FASI!$L:$L,FASI!$B:$B,$A94),0))</f>
        <v/>
      </c>
      <c r="AI94" s="35" t="str">
        <f t="shared" si="42"/>
        <v/>
      </c>
      <c r="AJ94" s="34" t="str">
        <f>IF($A94="","",SUMIFS(SAL!$H:$H,SAL!$B:$B,$A94,SAL!$O:$O,"Emessa")+SUMIFS(SAL!$H:$H,SAL!$B:$B,$A94,SAL!$O:$O,"Incassata")+SUMIFS(SAL!$H:$H,SAL!$B:$B,$A94,SAL!$O:$O,"Scaduta"))</f>
        <v/>
      </c>
      <c r="AK94" s="34" t="str">
        <f>IF($A94="","",SUMIFS(SAL!$H:$H,SAL!$B:$B,$A94,SAL!$O:$O,"Incassata"))</f>
        <v/>
      </c>
      <c r="AL94" s="34" t="str">
        <f t="shared" si="43"/>
        <v/>
      </c>
      <c r="AM94" s="34" t="str">
        <f t="shared" si="44"/>
        <v/>
      </c>
      <c r="AN94" s="36" t="str">
        <f ca="1">IF($A94="","",IF($M94=0,"RISORSE NON ASSEGNATE",IF($AE94&lt;0.1,"MARGINE CRITICO",IF($S94&lt;-SCONTO_MAX,"SCONTO OLTRE SOGLIA",IF($Z94&gt;0,"ORE OLTRE LA STIMA",IF($AI94&gt;ALLERTA_ORE,"CONSUMO ORE ELEVATO",IF(COUNTIFS(SAL!$B:$B,$A94,SAL!$K:$K,"EMETTIBILE")&gt;0,"SAL DA EMETTERE",IF(COUNTIFS(FASI!$B:$B,$A94,FASI!$H:$H,"&lt;"&amp;TODAY(),FASI!$L:$L,"&lt;1")&gt;0,"FASI IN RITARDO","OK"))))))))</f>
        <v/>
      </c>
    </row>
    <row r="95" spans="1:40" x14ac:dyDescent="0.3">
      <c r="A95" s="42"/>
      <c r="B95" s="42"/>
      <c r="C95" s="42"/>
      <c r="D95" s="42"/>
      <c r="E95" s="42"/>
      <c r="F95" s="42"/>
      <c r="G95" s="43"/>
      <c r="H95" s="43"/>
      <c r="I95" s="42"/>
      <c r="J95" s="44"/>
      <c r="K95" s="46"/>
      <c r="L95" s="34" t="str">
        <f t="shared" si="30"/>
        <v/>
      </c>
      <c r="M95" s="33" t="str">
        <f>IF($A95="","",SUMIFS(ASSEGNAZIONI!$F:$F,ASSEGNAZIONI!$B:$B,$A95))</f>
        <v/>
      </c>
      <c r="N95" s="34" t="str">
        <f>IF($A95="","",SUMIFS(ASSEGNAZIONI!$I:$I,ASSEGNAZIONI!$B:$B,$A95))</f>
        <v/>
      </c>
      <c r="O95" s="34" t="str">
        <f>IF($A95="","",SUMIFS(ASSEGNAZIONI!$J:$J,ASSEGNAZIONI!$B:$B,$A95))</f>
        <v/>
      </c>
      <c r="P95" s="34" t="str">
        <f t="shared" si="31"/>
        <v/>
      </c>
      <c r="Q95" s="44"/>
      <c r="R95" s="34" t="str">
        <f t="shared" si="32"/>
        <v/>
      </c>
      <c r="S95" s="35" t="str">
        <f t="shared" si="33"/>
        <v/>
      </c>
      <c r="T95" s="34" t="str">
        <f>IF($A95="","",SUMIFS(ODA!$R:$R,ODA!$B:$B,$A95))</f>
        <v/>
      </c>
      <c r="U95" s="34" t="str">
        <f>IF($A95="","",SUMIFS(ODA!$P:$P,ODA!$B:$B,$A95))</f>
        <v/>
      </c>
      <c r="V95" s="45" t="str">
        <f t="shared" si="34"/>
        <v/>
      </c>
      <c r="W95" s="33" t="str">
        <f>IF($A95="","",SUMIFS(ORE!$F:$F,ORE!$B:$B,$A95))</f>
        <v/>
      </c>
      <c r="X95" s="33" t="str">
        <f>IF($A95="","",SUMIFS(PREVISIONE_ORE!$G:$G,PREVISIONE_ORE!$D:$D,$A95,PREVISIONE_ORE!$K:$K,"Sì"))</f>
        <v/>
      </c>
      <c r="Y95" s="33" t="str">
        <f>IF($A95="","",IF(COUNTIFS(ASSEGNAZIONI!$B:$B,$A95)&gt;0,SUMIFS(ASSEGNAZIONI!$N:$N,ASSEGNAZIONI!$B:$B,$A95),MAX($W95,0)))</f>
        <v/>
      </c>
      <c r="Z95" s="33" t="str">
        <f t="shared" si="35"/>
        <v/>
      </c>
      <c r="AA95" s="34" t="str">
        <f>IF($A95="","",IF(COUNTIFS(ASSEGNAZIONI!$B:$B,$A95)&gt;0,SUMIFS(ASSEGNAZIONI!$P:$P,ASSEGNAZIONI!$B:$B,$A95),0))</f>
        <v/>
      </c>
      <c r="AB95" s="34" t="str">
        <f t="shared" si="36"/>
        <v/>
      </c>
      <c r="AC95" s="34" t="str">
        <f t="shared" si="37"/>
        <v/>
      </c>
      <c r="AD95" s="34" t="str">
        <f t="shared" si="38"/>
        <v/>
      </c>
      <c r="AE95" s="35" t="str">
        <f t="shared" si="39"/>
        <v/>
      </c>
      <c r="AF95" s="34" t="str">
        <f t="shared" si="40"/>
        <v/>
      </c>
      <c r="AG95" s="34" t="str">
        <f t="shared" si="41"/>
        <v/>
      </c>
      <c r="AH95" s="35" t="str">
        <f>IF($A95="","",IFERROR(AVERAGEIFS(FASI!$L:$L,FASI!$B:$B,$A95),0))</f>
        <v/>
      </c>
      <c r="AI95" s="35" t="str">
        <f t="shared" si="42"/>
        <v/>
      </c>
      <c r="AJ95" s="34" t="str">
        <f>IF($A95="","",SUMIFS(SAL!$H:$H,SAL!$B:$B,$A95,SAL!$O:$O,"Emessa")+SUMIFS(SAL!$H:$H,SAL!$B:$B,$A95,SAL!$O:$O,"Incassata")+SUMIFS(SAL!$H:$H,SAL!$B:$B,$A95,SAL!$O:$O,"Scaduta"))</f>
        <v/>
      </c>
      <c r="AK95" s="34" t="str">
        <f>IF($A95="","",SUMIFS(SAL!$H:$H,SAL!$B:$B,$A95,SAL!$O:$O,"Incassata"))</f>
        <v/>
      </c>
      <c r="AL95" s="34" t="str">
        <f t="shared" si="43"/>
        <v/>
      </c>
      <c r="AM95" s="34" t="str">
        <f t="shared" si="44"/>
        <v/>
      </c>
      <c r="AN95" s="36" t="str">
        <f ca="1">IF($A95="","",IF($M95=0,"RISORSE NON ASSEGNATE",IF($AE95&lt;0.1,"MARGINE CRITICO",IF($S95&lt;-SCONTO_MAX,"SCONTO OLTRE SOGLIA",IF($Z95&gt;0,"ORE OLTRE LA STIMA",IF($AI95&gt;ALLERTA_ORE,"CONSUMO ORE ELEVATO",IF(COUNTIFS(SAL!$B:$B,$A95,SAL!$K:$K,"EMETTIBILE")&gt;0,"SAL DA EMETTERE",IF(COUNTIFS(FASI!$B:$B,$A95,FASI!$H:$H,"&lt;"&amp;TODAY(),FASI!$L:$L,"&lt;1")&gt;0,"FASI IN RITARDO","OK"))))))))</f>
        <v/>
      </c>
    </row>
    <row r="96" spans="1:40" x14ac:dyDescent="0.3">
      <c r="A96" s="42"/>
      <c r="B96" s="42"/>
      <c r="C96" s="42"/>
      <c r="D96" s="42"/>
      <c r="E96" s="42"/>
      <c r="F96" s="42"/>
      <c r="G96" s="43"/>
      <c r="H96" s="43"/>
      <c r="I96" s="42"/>
      <c r="J96" s="44"/>
      <c r="K96" s="46"/>
      <c r="L96" s="34" t="str">
        <f t="shared" si="30"/>
        <v/>
      </c>
      <c r="M96" s="33" t="str">
        <f>IF($A96="","",SUMIFS(ASSEGNAZIONI!$F:$F,ASSEGNAZIONI!$B:$B,$A96))</f>
        <v/>
      </c>
      <c r="N96" s="34" t="str">
        <f>IF($A96="","",SUMIFS(ASSEGNAZIONI!$I:$I,ASSEGNAZIONI!$B:$B,$A96))</f>
        <v/>
      </c>
      <c r="O96" s="34" t="str">
        <f>IF($A96="","",SUMIFS(ASSEGNAZIONI!$J:$J,ASSEGNAZIONI!$B:$B,$A96))</f>
        <v/>
      </c>
      <c r="P96" s="34" t="str">
        <f t="shared" si="31"/>
        <v/>
      </c>
      <c r="Q96" s="44"/>
      <c r="R96" s="34" t="str">
        <f t="shared" si="32"/>
        <v/>
      </c>
      <c r="S96" s="35" t="str">
        <f t="shared" si="33"/>
        <v/>
      </c>
      <c r="T96" s="34" t="str">
        <f>IF($A96="","",SUMIFS(ODA!$R:$R,ODA!$B:$B,$A96))</f>
        <v/>
      </c>
      <c r="U96" s="34" t="str">
        <f>IF($A96="","",SUMIFS(ODA!$P:$P,ODA!$B:$B,$A96))</f>
        <v/>
      </c>
      <c r="V96" s="45" t="str">
        <f t="shared" si="34"/>
        <v/>
      </c>
      <c r="W96" s="33" t="str">
        <f>IF($A96="","",SUMIFS(ORE!$F:$F,ORE!$B:$B,$A96))</f>
        <v/>
      </c>
      <c r="X96" s="33" t="str">
        <f>IF($A96="","",SUMIFS(PREVISIONE_ORE!$G:$G,PREVISIONE_ORE!$D:$D,$A96,PREVISIONE_ORE!$K:$K,"Sì"))</f>
        <v/>
      </c>
      <c r="Y96" s="33" t="str">
        <f>IF($A96="","",IF(COUNTIFS(ASSEGNAZIONI!$B:$B,$A96)&gt;0,SUMIFS(ASSEGNAZIONI!$N:$N,ASSEGNAZIONI!$B:$B,$A96),MAX($W96,0)))</f>
        <v/>
      </c>
      <c r="Z96" s="33" t="str">
        <f t="shared" si="35"/>
        <v/>
      </c>
      <c r="AA96" s="34" t="str">
        <f>IF($A96="","",IF(COUNTIFS(ASSEGNAZIONI!$B:$B,$A96)&gt;0,SUMIFS(ASSEGNAZIONI!$P:$P,ASSEGNAZIONI!$B:$B,$A96),0))</f>
        <v/>
      </c>
      <c r="AB96" s="34" t="str">
        <f t="shared" si="36"/>
        <v/>
      </c>
      <c r="AC96" s="34" t="str">
        <f t="shared" si="37"/>
        <v/>
      </c>
      <c r="AD96" s="34" t="str">
        <f t="shared" si="38"/>
        <v/>
      </c>
      <c r="AE96" s="35" t="str">
        <f t="shared" si="39"/>
        <v/>
      </c>
      <c r="AF96" s="34" t="str">
        <f t="shared" si="40"/>
        <v/>
      </c>
      <c r="AG96" s="34" t="str">
        <f t="shared" si="41"/>
        <v/>
      </c>
      <c r="AH96" s="35" t="str">
        <f>IF($A96="","",IFERROR(AVERAGEIFS(FASI!$L:$L,FASI!$B:$B,$A96),0))</f>
        <v/>
      </c>
      <c r="AI96" s="35" t="str">
        <f t="shared" si="42"/>
        <v/>
      </c>
      <c r="AJ96" s="34" t="str">
        <f>IF($A96="","",SUMIFS(SAL!$H:$H,SAL!$B:$B,$A96,SAL!$O:$O,"Emessa")+SUMIFS(SAL!$H:$H,SAL!$B:$B,$A96,SAL!$O:$O,"Incassata")+SUMIFS(SAL!$H:$H,SAL!$B:$B,$A96,SAL!$O:$O,"Scaduta"))</f>
        <v/>
      </c>
      <c r="AK96" s="34" t="str">
        <f>IF($A96="","",SUMIFS(SAL!$H:$H,SAL!$B:$B,$A96,SAL!$O:$O,"Incassata"))</f>
        <v/>
      </c>
      <c r="AL96" s="34" t="str">
        <f t="shared" si="43"/>
        <v/>
      </c>
      <c r="AM96" s="34" t="str">
        <f t="shared" si="44"/>
        <v/>
      </c>
      <c r="AN96" s="36" t="str">
        <f ca="1">IF($A96="","",IF($M96=0,"RISORSE NON ASSEGNATE",IF($AE96&lt;0.1,"MARGINE CRITICO",IF($S96&lt;-SCONTO_MAX,"SCONTO OLTRE SOGLIA",IF($Z96&gt;0,"ORE OLTRE LA STIMA",IF($AI96&gt;ALLERTA_ORE,"CONSUMO ORE ELEVATO",IF(COUNTIFS(SAL!$B:$B,$A96,SAL!$K:$K,"EMETTIBILE")&gt;0,"SAL DA EMETTERE",IF(COUNTIFS(FASI!$B:$B,$A96,FASI!$H:$H,"&lt;"&amp;TODAY(),FASI!$L:$L,"&lt;1")&gt;0,"FASI IN RITARDO","OK"))))))))</f>
        <v/>
      </c>
    </row>
    <row r="97" spans="1:40" x14ac:dyDescent="0.3">
      <c r="A97" s="42"/>
      <c r="B97" s="42"/>
      <c r="C97" s="42"/>
      <c r="D97" s="42"/>
      <c r="E97" s="42"/>
      <c r="F97" s="42"/>
      <c r="G97" s="43"/>
      <c r="H97" s="43"/>
      <c r="I97" s="42"/>
      <c r="J97" s="44"/>
      <c r="K97" s="46"/>
      <c r="L97" s="34" t="str">
        <f t="shared" si="30"/>
        <v/>
      </c>
      <c r="M97" s="33" t="str">
        <f>IF($A97="","",SUMIFS(ASSEGNAZIONI!$F:$F,ASSEGNAZIONI!$B:$B,$A97))</f>
        <v/>
      </c>
      <c r="N97" s="34" t="str">
        <f>IF($A97="","",SUMIFS(ASSEGNAZIONI!$I:$I,ASSEGNAZIONI!$B:$B,$A97))</f>
        <v/>
      </c>
      <c r="O97" s="34" t="str">
        <f>IF($A97="","",SUMIFS(ASSEGNAZIONI!$J:$J,ASSEGNAZIONI!$B:$B,$A97))</f>
        <v/>
      </c>
      <c r="P97" s="34" t="str">
        <f t="shared" si="31"/>
        <v/>
      </c>
      <c r="Q97" s="44"/>
      <c r="R97" s="34" t="str">
        <f t="shared" si="32"/>
        <v/>
      </c>
      <c r="S97" s="35" t="str">
        <f t="shared" si="33"/>
        <v/>
      </c>
      <c r="T97" s="34" t="str">
        <f>IF($A97="","",SUMIFS(ODA!$R:$R,ODA!$B:$B,$A97))</f>
        <v/>
      </c>
      <c r="U97" s="34" t="str">
        <f>IF($A97="","",SUMIFS(ODA!$P:$P,ODA!$B:$B,$A97))</f>
        <v/>
      </c>
      <c r="V97" s="45" t="str">
        <f t="shared" si="34"/>
        <v/>
      </c>
      <c r="W97" s="33" t="str">
        <f>IF($A97="","",SUMIFS(ORE!$F:$F,ORE!$B:$B,$A97))</f>
        <v/>
      </c>
      <c r="X97" s="33" t="str">
        <f>IF($A97="","",SUMIFS(PREVISIONE_ORE!$G:$G,PREVISIONE_ORE!$D:$D,$A97,PREVISIONE_ORE!$K:$K,"Sì"))</f>
        <v/>
      </c>
      <c r="Y97" s="33" t="str">
        <f>IF($A97="","",IF(COUNTIFS(ASSEGNAZIONI!$B:$B,$A97)&gt;0,SUMIFS(ASSEGNAZIONI!$N:$N,ASSEGNAZIONI!$B:$B,$A97),MAX($W97,0)))</f>
        <v/>
      </c>
      <c r="Z97" s="33" t="str">
        <f t="shared" si="35"/>
        <v/>
      </c>
      <c r="AA97" s="34" t="str">
        <f>IF($A97="","",IF(COUNTIFS(ASSEGNAZIONI!$B:$B,$A97)&gt;0,SUMIFS(ASSEGNAZIONI!$P:$P,ASSEGNAZIONI!$B:$B,$A97),0))</f>
        <v/>
      </c>
      <c r="AB97" s="34" t="str">
        <f t="shared" si="36"/>
        <v/>
      </c>
      <c r="AC97" s="34" t="str">
        <f t="shared" si="37"/>
        <v/>
      </c>
      <c r="AD97" s="34" t="str">
        <f t="shared" si="38"/>
        <v/>
      </c>
      <c r="AE97" s="35" t="str">
        <f t="shared" si="39"/>
        <v/>
      </c>
      <c r="AF97" s="34" t="str">
        <f t="shared" si="40"/>
        <v/>
      </c>
      <c r="AG97" s="34" t="str">
        <f t="shared" si="41"/>
        <v/>
      </c>
      <c r="AH97" s="35" t="str">
        <f>IF($A97="","",IFERROR(AVERAGEIFS(FASI!$L:$L,FASI!$B:$B,$A97),0))</f>
        <v/>
      </c>
      <c r="AI97" s="35" t="str">
        <f t="shared" si="42"/>
        <v/>
      </c>
      <c r="AJ97" s="34" t="str">
        <f>IF($A97="","",SUMIFS(SAL!$H:$H,SAL!$B:$B,$A97,SAL!$O:$O,"Emessa")+SUMIFS(SAL!$H:$H,SAL!$B:$B,$A97,SAL!$O:$O,"Incassata")+SUMIFS(SAL!$H:$H,SAL!$B:$B,$A97,SAL!$O:$O,"Scaduta"))</f>
        <v/>
      </c>
      <c r="AK97" s="34" t="str">
        <f>IF($A97="","",SUMIFS(SAL!$H:$H,SAL!$B:$B,$A97,SAL!$O:$O,"Incassata"))</f>
        <v/>
      </c>
      <c r="AL97" s="34" t="str">
        <f t="shared" si="43"/>
        <v/>
      </c>
      <c r="AM97" s="34" t="str">
        <f t="shared" si="44"/>
        <v/>
      </c>
      <c r="AN97" s="36" t="str">
        <f ca="1">IF($A97="","",IF($M97=0,"RISORSE NON ASSEGNATE",IF($AE97&lt;0.1,"MARGINE CRITICO",IF($S97&lt;-SCONTO_MAX,"SCONTO OLTRE SOGLIA",IF($Z97&gt;0,"ORE OLTRE LA STIMA",IF($AI97&gt;ALLERTA_ORE,"CONSUMO ORE ELEVATO",IF(COUNTIFS(SAL!$B:$B,$A97,SAL!$K:$K,"EMETTIBILE")&gt;0,"SAL DA EMETTERE",IF(COUNTIFS(FASI!$B:$B,$A97,FASI!$H:$H,"&lt;"&amp;TODAY(),FASI!$L:$L,"&lt;1")&gt;0,"FASI IN RITARDO","OK"))))))))</f>
        <v/>
      </c>
    </row>
    <row r="98" spans="1:40" x14ac:dyDescent="0.3">
      <c r="A98" s="42"/>
      <c r="B98" s="42"/>
      <c r="C98" s="42"/>
      <c r="D98" s="42"/>
      <c r="E98" s="42"/>
      <c r="F98" s="42"/>
      <c r="G98" s="43"/>
      <c r="H98" s="43"/>
      <c r="I98" s="42"/>
      <c r="J98" s="44"/>
      <c r="K98" s="46"/>
      <c r="L98" s="34" t="str">
        <f t="shared" ref="L98:L129" si="45">IF($A98="","",$J98*IF($K98="",MARKUP_DEF,$K98))</f>
        <v/>
      </c>
      <c r="M98" s="33" t="str">
        <f>IF($A98="","",SUMIFS(ASSEGNAZIONI!$F:$F,ASSEGNAZIONI!$B:$B,$A98))</f>
        <v/>
      </c>
      <c r="N98" s="34" t="str">
        <f>IF($A98="","",SUMIFS(ASSEGNAZIONI!$I:$I,ASSEGNAZIONI!$B:$B,$A98))</f>
        <v/>
      </c>
      <c r="O98" s="34" t="str">
        <f>IF($A98="","",SUMIFS(ASSEGNAZIONI!$J:$J,ASSEGNAZIONI!$B:$B,$A98))</f>
        <v/>
      </c>
      <c r="P98" s="34" t="str">
        <f t="shared" ref="P98:P129" si="46">IF($A98="","",$L98+$N98)</f>
        <v/>
      </c>
      <c r="Q98" s="44"/>
      <c r="R98" s="34" t="str">
        <f t="shared" ref="R98:R129" si="47">IF($A98="","",IF($Q98="",0,$Q98-$P98))</f>
        <v/>
      </c>
      <c r="S98" s="35" t="str">
        <f t="shared" ref="S98:S129" si="48">IF($A98="","",IFERROR($R98/$P98,0))</f>
        <v/>
      </c>
      <c r="T98" s="34" t="str">
        <f>IF($A98="","",SUMIFS(ODA!$R:$R,ODA!$B:$B,$A98))</f>
        <v/>
      </c>
      <c r="U98" s="34" t="str">
        <f>IF($A98="","",SUMIFS(ODA!$P:$P,ODA!$B:$B,$A98))</f>
        <v/>
      </c>
      <c r="V98" s="45" t="str">
        <f t="shared" ref="V98:V129" si="49">IF($A98="","",IFERROR($L98/$T98,0))</f>
        <v/>
      </c>
      <c r="W98" s="33" t="str">
        <f>IF($A98="","",SUMIFS(ORE!$F:$F,ORE!$B:$B,$A98))</f>
        <v/>
      </c>
      <c r="X98" s="33" t="str">
        <f>IF($A98="","",SUMIFS(PREVISIONE_ORE!$G:$G,PREVISIONE_ORE!$D:$D,$A98,PREVISIONE_ORE!$K:$K,"Sì"))</f>
        <v/>
      </c>
      <c r="Y98" s="33" t="str">
        <f>IF($A98="","",IF(COUNTIFS(ASSEGNAZIONI!$B:$B,$A98)&gt;0,SUMIFS(ASSEGNAZIONI!$N:$N,ASSEGNAZIONI!$B:$B,$A98),MAX($W98,0)))</f>
        <v/>
      </c>
      <c r="Z98" s="33" t="str">
        <f t="shared" ref="Z98:Z129" si="50">IF($A98="","",$Y98-$M98)</f>
        <v/>
      </c>
      <c r="AA98" s="34" t="str">
        <f>IF($A98="","",IF(COUNTIFS(ASSEGNAZIONI!$B:$B,$A98)&gt;0,SUMIFS(ASSEGNAZIONI!$P:$P,ASSEGNAZIONI!$B:$B,$A98),0))</f>
        <v/>
      </c>
      <c r="AB98" s="34" t="str">
        <f t="shared" ref="AB98:AB129" si="51">IF($A98="","",MAX($T98,$J98))</f>
        <v/>
      </c>
      <c r="AC98" s="34" t="str">
        <f t="shared" ref="AC98:AC129" si="52">IF($A98="","",$AA98+$AB98)</f>
        <v/>
      </c>
      <c r="AD98" s="34" t="str">
        <f t="shared" ref="AD98:AD129" si="53">IF($A98="","",IF($Q98="",0,$Q98-$AC98))</f>
        <v/>
      </c>
      <c r="AE98" s="35" t="str">
        <f t="shared" ref="AE98:AE129" si="54">IF($A98="","",IFERROR($AD98/$Q98,0))</f>
        <v/>
      </c>
      <c r="AF98" s="34" t="str">
        <f t="shared" ref="AF98:AF129" si="55">IF($A98="","",$N98-$AA98)</f>
        <v/>
      </c>
      <c r="AG98" s="34" t="str">
        <f t="shared" ref="AG98:AG129" si="56">IF($A98="","",$L98-$AB98)</f>
        <v/>
      </c>
      <c r="AH98" s="35" t="str">
        <f>IF($A98="","",IFERROR(AVERAGEIFS(FASI!$L:$L,FASI!$B:$B,$A98),0))</f>
        <v/>
      </c>
      <c r="AI98" s="35" t="str">
        <f t="shared" ref="AI98:AI129" si="57">IF($A98="","",IFERROR($W98/$M98,0))</f>
        <v/>
      </c>
      <c r="AJ98" s="34" t="str">
        <f>IF($A98="","",SUMIFS(SAL!$H:$H,SAL!$B:$B,$A98,SAL!$O:$O,"Emessa")+SUMIFS(SAL!$H:$H,SAL!$B:$B,$A98,SAL!$O:$O,"Incassata")+SUMIFS(SAL!$H:$H,SAL!$B:$B,$A98,SAL!$O:$O,"Scaduta"))</f>
        <v/>
      </c>
      <c r="AK98" s="34" t="str">
        <f>IF($A98="","",SUMIFS(SAL!$H:$H,SAL!$B:$B,$A98,SAL!$O:$O,"Incassata"))</f>
        <v/>
      </c>
      <c r="AL98" s="34" t="str">
        <f t="shared" ref="AL98:AL129" si="58">IF($A98="","",IF($Q98="",0,$Q98-$AJ98))</f>
        <v/>
      </c>
      <c r="AM98" s="34" t="str">
        <f t="shared" ref="AM98:AM129" si="59">IF($A98="","",$U98-$AK98)</f>
        <v/>
      </c>
      <c r="AN98" s="36" t="str">
        <f ca="1">IF($A98="","",IF($M98=0,"RISORSE NON ASSEGNATE",IF($AE98&lt;0.1,"MARGINE CRITICO",IF($S98&lt;-SCONTO_MAX,"SCONTO OLTRE SOGLIA",IF($Z98&gt;0,"ORE OLTRE LA STIMA",IF($AI98&gt;ALLERTA_ORE,"CONSUMO ORE ELEVATO",IF(COUNTIFS(SAL!$B:$B,$A98,SAL!$K:$K,"EMETTIBILE")&gt;0,"SAL DA EMETTERE",IF(COUNTIFS(FASI!$B:$B,$A98,FASI!$H:$H,"&lt;"&amp;TODAY(),FASI!$L:$L,"&lt;1")&gt;0,"FASI IN RITARDO","OK"))))))))</f>
        <v/>
      </c>
    </row>
    <row r="99" spans="1:40" x14ac:dyDescent="0.3">
      <c r="A99" s="42"/>
      <c r="B99" s="42"/>
      <c r="C99" s="42"/>
      <c r="D99" s="42"/>
      <c r="E99" s="42"/>
      <c r="F99" s="42"/>
      <c r="G99" s="43"/>
      <c r="H99" s="43"/>
      <c r="I99" s="42"/>
      <c r="J99" s="44"/>
      <c r="K99" s="46"/>
      <c r="L99" s="34" t="str">
        <f t="shared" si="45"/>
        <v/>
      </c>
      <c r="M99" s="33" t="str">
        <f>IF($A99="","",SUMIFS(ASSEGNAZIONI!$F:$F,ASSEGNAZIONI!$B:$B,$A99))</f>
        <v/>
      </c>
      <c r="N99" s="34" t="str">
        <f>IF($A99="","",SUMIFS(ASSEGNAZIONI!$I:$I,ASSEGNAZIONI!$B:$B,$A99))</f>
        <v/>
      </c>
      <c r="O99" s="34" t="str">
        <f>IF($A99="","",SUMIFS(ASSEGNAZIONI!$J:$J,ASSEGNAZIONI!$B:$B,$A99))</f>
        <v/>
      </c>
      <c r="P99" s="34" t="str">
        <f t="shared" si="46"/>
        <v/>
      </c>
      <c r="Q99" s="44"/>
      <c r="R99" s="34" t="str">
        <f t="shared" si="47"/>
        <v/>
      </c>
      <c r="S99" s="35" t="str">
        <f t="shared" si="48"/>
        <v/>
      </c>
      <c r="T99" s="34" t="str">
        <f>IF($A99="","",SUMIFS(ODA!$R:$R,ODA!$B:$B,$A99))</f>
        <v/>
      </c>
      <c r="U99" s="34" t="str">
        <f>IF($A99="","",SUMIFS(ODA!$P:$P,ODA!$B:$B,$A99))</f>
        <v/>
      </c>
      <c r="V99" s="45" t="str">
        <f t="shared" si="49"/>
        <v/>
      </c>
      <c r="W99" s="33" t="str">
        <f>IF($A99="","",SUMIFS(ORE!$F:$F,ORE!$B:$B,$A99))</f>
        <v/>
      </c>
      <c r="X99" s="33" t="str">
        <f>IF($A99="","",SUMIFS(PREVISIONE_ORE!$G:$G,PREVISIONE_ORE!$D:$D,$A99,PREVISIONE_ORE!$K:$K,"Sì"))</f>
        <v/>
      </c>
      <c r="Y99" s="33" t="str">
        <f>IF($A99="","",IF(COUNTIFS(ASSEGNAZIONI!$B:$B,$A99)&gt;0,SUMIFS(ASSEGNAZIONI!$N:$N,ASSEGNAZIONI!$B:$B,$A99),MAX($W99,0)))</f>
        <v/>
      </c>
      <c r="Z99" s="33" t="str">
        <f t="shared" si="50"/>
        <v/>
      </c>
      <c r="AA99" s="34" t="str">
        <f>IF($A99="","",IF(COUNTIFS(ASSEGNAZIONI!$B:$B,$A99)&gt;0,SUMIFS(ASSEGNAZIONI!$P:$P,ASSEGNAZIONI!$B:$B,$A99),0))</f>
        <v/>
      </c>
      <c r="AB99" s="34" t="str">
        <f t="shared" si="51"/>
        <v/>
      </c>
      <c r="AC99" s="34" t="str">
        <f t="shared" si="52"/>
        <v/>
      </c>
      <c r="AD99" s="34" t="str">
        <f t="shared" si="53"/>
        <v/>
      </c>
      <c r="AE99" s="35" t="str">
        <f t="shared" si="54"/>
        <v/>
      </c>
      <c r="AF99" s="34" t="str">
        <f t="shared" si="55"/>
        <v/>
      </c>
      <c r="AG99" s="34" t="str">
        <f t="shared" si="56"/>
        <v/>
      </c>
      <c r="AH99" s="35" t="str">
        <f>IF($A99="","",IFERROR(AVERAGEIFS(FASI!$L:$L,FASI!$B:$B,$A99),0))</f>
        <v/>
      </c>
      <c r="AI99" s="35" t="str">
        <f t="shared" si="57"/>
        <v/>
      </c>
      <c r="AJ99" s="34" t="str">
        <f>IF($A99="","",SUMIFS(SAL!$H:$H,SAL!$B:$B,$A99,SAL!$O:$O,"Emessa")+SUMIFS(SAL!$H:$H,SAL!$B:$B,$A99,SAL!$O:$O,"Incassata")+SUMIFS(SAL!$H:$H,SAL!$B:$B,$A99,SAL!$O:$O,"Scaduta"))</f>
        <v/>
      </c>
      <c r="AK99" s="34" t="str">
        <f>IF($A99="","",SUMIFS(SAL!$H:$H,SAL!$B:$B,$A99,SAL!$O:$O,"Incassata"))</f>
        <v/>
      </c>
      <c r="AL99" s="34" t="str">
        <f t="shared" si="58"/>
        <v/>
      </c>
      <c r="AM99" s="34" t="str">
        <f t="shared" si="59"/>
        <v/>
      </c>
      <c r="AN99" s="36" t="str">
        <f ca="1">IF($A99="","",IF($M99=0,"RISORSE NON ASSEGNATE",IF($AE99&lt;0.1,"MARGINE CRITICO",IF($S99&lt;-SCONTO_MAX,"SCONTO OLTRE SOGLIA",IF($Z99&gt;0,"ORE OLTRE LA STIMA",IF($AI99&gt;ALLERTA_ORE,"CONSUMO ORE ELEVATO",IF(COUNTIFS(SAL!$B:$B,$A99,SAL!$K:$K,"EMETTIBILE")&gt;0,"SAL DA EMETTERE",IF(COUNTIFS(FASI!$B:$B,$A99,FASI!$H:$H,"&lt;"&amp;TODAY(),FASI!$L:$L,"&lt;1")&gt;0,"FASI IN RITARDO","OK"))))))))</f>
        <v/>
      </c>
    </row>
    <row r="100" spans="1:40" x14ac:dyDescent="0.3">
      <c r="A100" s="42"/>
      <c r="B100" s="42"/>
      <c r="C100" s="42"/>
      <c r="D100" s="42"/>
      <c r="E100" s="42"/>
      <c r="F100" s="42"/>
      <c r="G100" s="43"/>
      <c r="H100" s="43"/>
      <c r="I100" s="42"/>
      <c r="J100" s="44"/>
      <c r="K100" s="46"/>
      <c r="L100" s="34" t="str">
        <f t="shared" si="45"/>
        <v/>
      </c>
      <c r="M100" s="33" t="str">
        <f>IF($A100="","",SUMIFS(ASSEGNAZIONI!$F:$F,ASSEGNAZIONI!$B:$B,$A100))</f>
        <v/>
      </c>
      <c r="N100" s="34" t="str">
        <f>IF($A100="","",SUMIFS(ASSEGNAZIONI!$I:$I,ASSEGNAZIONI!$B:$B,$A100))</f>
        <v/>
      </c>
      <c r="O100" s="34" t="str">
        <f>IF($A100="","",SUMIFS(ASSEGNAZIONI!$J:$J,ASSEGNAZIONI!$B:$B,$A100))</f>
        <v/>
      </c>
      <c r="P100" s="34" t="str">
        <f t="shared" si="46"/>
        <v/>
      </c>
      <c r="Q100" s="44"/>
      <c r="R100" s="34" t="str">
        <f t="shared" si="47"/>
        <v/>
      </c>
      <c r="S100" s="35" t="str">
        <f t="shared" si="48"/>
        <v/>
      </c>
      <c r="T100" s="34" t="str">
        <f>IF($A100="","",SUMIFS(ODA!$R:$R,ODA!$B:$B,$A100))</f>
        <v/>
      </c>
      <c r="U100" s="34" t="str">
        <f>IF($A100="","",SUMIFS(ODA!$P:$P,ODA!$B:$B,$A100))</f>
        <v/>
      </c>
      <c r="V100" s="45" t="str">
        <f t="shared" si="49"/>
        <v/>
      </c>
      <c r="W100" s="33" t="str">
        <f>IF($A100="","",SUMIFS(ORE!$F:$F,ORE!$B:$B,$A100))</f>
        <v/>
      </c>
      <c r="X100" s="33" t="str">
        <f>IF($A100="","",SUMIFS(PREVISIONE_ORE!$G:$G,PREVISIONE_ORE!$D:$D,$A100,PREVISIONE_ORE!$K:$K,"Sì"))</f>
        <v/>
      </c>
      <c r="Y100" s="33" t="str">
        <f>IF($A100="","",IF(COUNTIFS(ASSEGNAZIONI!$B:$B,$A100)&gt;0,SUMIFS(ASSEGNAZIONI!$N:$N,ASSEGNAZIONI!$B:$B,$A100),MAX($W100,0)))</f>
        <v/>
      </c>
      <c r="Z100" s="33" t="str">
        <f t="shared" si="50"/>
        <v/>
      </c>
      <c r="AA100" s="34" t="str">
        <f>IF($A100="","",IF(COUNTIFS(ASSEGNAZIONI!$B:$B,$A100)&gt;0,SUMIFS(ASSEGNAZIONI!$P:$P,ASSEGNAZIONI!$B:$B,$A100),0))</f>
        <v/>
      </c>
      <c r="AB100" s="34" t="str">
        <f t="shared" si="51"/>
        <v/>
      </c>
      <c r="AC100" s="34" t="str">
        <f t="shared" si="52"/>
        <v/>
      </c>
      <c r="AD100" s="34" t="str">
        <f t="shared" si="53"/>
        <v/>
      </c>
      <c r="AE100" s="35" t="str">
        <f t="shared" si="54"/>
        <v/>
      </c>
      <c r="AF100" s="34" t="str">
        <f t="shared" si="55"/>
        <v/>
      </c>
      <c r="AG100" s="34" t="str">
        <f t="shared" si="56"/>
        <v/>
      </c>
      <c r="AH100" s="35" t="str">
        <f>IF($A100="","",IFERROR(AVERAGEIFS(FASI!$L:$L,FASI!$B:$B,$A100),0))</f>
        <v/>
      </c>
      <c r="AI100" s="35" t="str">
        <f t="shared" si="57"/>
        <v/>
      </c>
      <c r="AJ100" s="34" t="str">
        <f>IF($A100="","",SUMIFS(SAL!$H:$H,SAL!$B:$B,$A100,SAL!$O:$O,"Emessa")+SUMIFS(SAL!$H:$H,SAL!$B:$B,$A100,SAL!$O:$O,"Incassata")+SUMIFS(SAL!$H:$H,SAL!$B:$B,$A100,SAL!$O:$O,"Scaduta"))</f>
        <v/>
      </c>
      <c r="AK100" s="34" t="str">
        <f>IF($A100="","",SUMIFS(SAL!$H:$H,SAL!$B:$B,$A100,SAL!$O:$O,"Incassata"))</f>
        <v/>
      </c>
      <c r="AL100" s="34" t="str">
        <f t="shared" si="58"/>
        <v/>
      </c>
      <c r="AM100" s="34" t="str">
        <f t="shared" si="59"/>
        <v/>
      </c>
      <c r="AN100" s="36" t="str">
        <f ca="1">IF($A100="","",IF($M100=0,"RISORSE NON ASSEGNATE",IF($AE100&lt;0.1,"MARGINE CRITICO",IF($S100&lt;-SCONTO_MAX,"SCONTO OLTRE SOGLIA",IF($Z100&gt;0,"ORE OLTRE LA STIMA",IF($AI100&gt;ALLERTA_ORE,"CONSUMO ORE ELEVATO",IF(COUNTIFS(SAL!$B:$B,$A100,SAL!$K:$K,"EMETTIBILE")&gt;0,"SAL DA EMETTERE",IF(COUNTIFS(FASI!$B:$B,$A100,FASI!$H:$H,"&lt;"&amp;TODAY(),FASI!$L:$L,"&lt;1")&gt;0,"FASI IN RITARDO","OK"))))))))</f>
        <v/>
      </c>
    </row>
    <row r="101" spans="1:40" x14ac:dyDescent="0.3">
      <c r="A101" s="42"/>
      <c r="B101" s="42"/>
      <c r="C101" s="42"/>
      <c r="D101" s="42"/>
      <c r="E101" s="42"/>
      <c r="F101" s="42"/>
      <c r="G101" s="43"/>
      <c r="H101" s="43"/>
      <c r="I101" s="42"/>
      <c r="J101" s="44"/>
      <c r="K101" s="46"/>
      <c r="L101" s="34" t="str">
        <f t="shared" si="45"/>
        <v/>
      </c>
      <c r="M101" s="33" t="str">
        <f>IF($A101="","",SUMIFS(ASSEGNAZIONI!$F:$F,ASSEGNAZIONI!$B:$B,$A101))</f>
        <v/>
      </c>
      <c r="N101" s="34" t="str">
        <f>IF($A101="","",SUMIFS(ASSEGNAZIONI!$I:$I,ASSEGNAZIONI!$B:$B,$A101))</f>
        <v/>
      </c>
      <c r="O101" s="34" t="str">
        <f>IF($A101="","",SUMIFS(ASSEGNAZIONI!$J:$J,ASSEGNAZIONI!$B:$B,$A101))</f>
        <v/>
      </c>
      <c r="P101" s="34" t="str">
        <f t="shared" si="46"/>
        <v/>
      </c>
      <c r="Q101" s="44"/>
      <c r="R101" s="34" t="str">
        <f t="shared" si="47"/>
        <v/>
      </c>
      <c r="S101" s="35" t="str">
        <f t="shared" si="48"/>
        <v/>
      </c>
      <c r="T101" s="34" t="str">
        <f>IF($A101="","",SUMIFS(ODA!$R:$R,ODA!$B:$B,$A101))</f>
        <v/>
      </c>
      <c r="U101" s="34" t="str">
        <f>IF($A101="","",SUMIFS(ODA!$P:$P,ODA!$B:$B,$A101))</f>
        <v/>
      </c>
      <c r="V101" s="45" t="str">
        <f t="shared" si="49"/>
        <v/>
      </c>
      <c r="W101" s="33" t="str">
        <f>IF($A101="","",SUMIFS(ORE!$F:$F,ORE!$B:$B,$A101))</f>
        <v/>
      </c>
      <c r="X101" s="33" t="str">
        <f>IF($A101="","",SUMIFS(PREVISIONE_ORE!$G:$G,PREVISIONE_ORE!$D:$D,$A101,PREVISIONE_ORE!$K:$K,"Sì"))</f>
        <v/>
      </c>
      <c r="Y101" s="33" t="str">
        <f>IF($A101="","",IF(COUNTIFS(ASSEGNAZIONI!$B:$B,$A101)&gt;0,SUMIFS(ASSEGNAZIONI!$N:$N,ASSEGNAZIONI!$B:$B,$A101),MAX($W101,0)))</f>
        <v/>
      </c>
      <c r="Z101" s="33" t="str">
        <f t="shared" si="50"/>
        <v/>
      </c>
      <c r="AA101" s="34" t="str">
        <f>IF($A101="","",IF(COUNTIFS(ASSEGNAZIONI!$B:$B,$A101)&gt;0,SUMIFS(ASSEGNAZIONI!$P:$P,ASSEGNAZIONI!$B:$B,$A101),0))</f>
        <v/>
      </c>
      <c r="AB101" s="34" t="str">
        <f t="shared" si="51"/>
        <v/>
      </c>
      <c r="AC101" s="34" t="str">
        <f t="shared" si="52"/>
        <v/>
      </c>
      <c r="AD101" s="34" t="str">
        <f t="shared" si="53"/>
        <v/>
      </c>
      <c r="AE101" s="35" t="str">
        <f t="shared" si="54"/>
        <v/>
      </c>
      <c r="AF101" s="34" t="str">
        <f t="shared" si="55"/>
        <v/>
      </c>
      <c r="AG101" s="34" t="str">
        <f t="shared" si="56"/>
        <v/>
      </c>
      <c r="AH101" s="35" t="str">
        <f>IF($A101="","",IFERROR(AVERAGEIFS(FASI!$L:$L,FASI!$B:$B,$A101),0))</f>
        <v/>
      </c>
      <c r="AI101" s="35" t="str">
        <f t="shared" si="57"/>
        <v/>
      </c>
      <c r="AJ101" s="34" t="str">
        <f>IF($A101="","",SUMIFS(SAL!$H:$H,SAL!$B:$B,$A101,SAL!$O:$O,"Emessa")+SUMIFS(SAL!$H:$H,SAL!$B:$B,$A101,SAL!$O:$O,"Incassata")+SUMIFS(SAL!$H:$H,SAL!$B:$B,$A101,SAL!$O:$O,"Scaduta"))</f>
        <v/>
      </c>
      <c r="AK101" s="34" t="str">
        <f>IF($A101="","",SUMIFS(SAL!$H:$H,SAL!$B:$B,$A101,SAL!$O:$O,"Incassata"))</f>
        <v/>
      </c>
      <c r="AL101" s="34" t="str">
        <f t="shared" si="58"/>
        <v/>
      </c>
      <c r="AM101" s="34" t="str">
        <f t="shared" si="59"/>
        <v/>
      </c>
      <c r="AN101" s="36" t="str">
        <f ca="1">IF($A101="","",IF($M101=0,"RISORSE NON ASSEGNATE",IF($AE101&lt;0.1,"MARGINE CRITICO",IF($S101&lt;-SCONTO_MAX,"SCONTO OLTRE SOGLIA",IF($Z101&gt;0,"ORE OLTRE LA STIMA",IF($AI101&gt;ALLERTA_ORE,"CONSUMO ORE ELEVATO",IF(COUNTIFS(SAL!$B:$B,$A101,SAL!$K:$K,"EMETTIBILE")&gt;0,"SAL DA EMETTERE",IF(COUNTIFS(FASI!$B:$B,$A101,FASI!$H:$H,"&lt;"&amp;TODAY(),FASI!$L:$L,"&lt;1")&gt;0,"FASI IN RITARDO","OK"))))))))</f>
        <v/>
      </c>
    </row>
    <row r="102" spans="1:40" x14ac:dyDescent="0.3">
      <c r="A102" s="42"/>
      <c r="B102" s="42"/>
      <c r="C102" s="42"/>
      <c r="D102" s="42"/>
      <c r="E102" s="42"/>
      <c r="F102" s="42"/>
      <c r="G102" s="43"/>
      <c r="H102" s="43"/>
      <c r="I102" s="42"/>
      <c r="J102" s="44"/>
      <c r="K102" s="46"/>
      <c r="L102" s="34" t="str">
        <f t="shared" si="45"/>
        <v/>
      </c>
      <c r="M102" s="33" t="str">
        <f>IF($A102="","",SUMIFS(ASSEGNAZIONI!$F:$F,ASSEGNAZIONI!$B:$B,$A102))</f>
        <v/>
      </c>
      <c r="N102" s="34" t="str">
        <f>IF($A102="","",SUMIFS(ASSEGNAZIONI!$I:$I,ASSEGNAZIONI!$B:$B,$A102))</f>
        <v/>
      </c>
      <c r="O102" s="34" t="str">
        <f>IF($A102="","",SUMIFS(ASSEGNAZIONI!$J:$J,ASSEGNAZIONI!$B:$B,$A102))</f>
        <v/>
      </c>
      <c r="P102" s="34" t="str">
        <f t="shared" si="46"/>
        <v/>
      </c>
      <c r="Q102" s="44"/>
      <c r="R102" s="34" t="str">
        <f t="shared" si="47"/>
        <v/>
      </c>
      <c r="S102" s="35" t="str">
        <f t="shared" si="48"/>
        <v/>
      </c>
      <c r="T102" s="34" t="str">
        <f>IF($A102="","",SUMIFS(ODA!$R:$R,ODA!$B:$B,$A102))</f>
        <v/>
      </c>
      <c r="U102" s="34" t="str">
        <f>IF($A102="","",SUMIFS(ODA!$P:$P,ODA!$B:$B,$A102))</f>
        <v/>
      </c>
      <c r="V102" s="45" t="str">
        <f t="shared" si="49"/>
        <v/>
      </c>
      <c r="W102" s="33" t="str">
        <f>IF($A102="","",SUMIFS(ORE!$F:$F,ORE!$B:$B,$A102))</f>
        <v/>
      </c>
      <c r="X102" s="33" t="str">
        <f>IF($A102="","",SUMIFS(PREVISIONE_ORE!$G:$G,PREVISIONE_ORE!$D:$D,$A102,PREVISIONE_ORE!$K:$K,"Sì"))</f>
        <v/>
      </c>
      <c r="Y102" s="33" t="str">
        <f>IF($A102="","",IF(COUNTIFS(ASSEGNAZIONI!$B:$B,$A102)&gt;0,SUMIFS(ASSEGNAZIONI!$N:$N,ASSEGNAZIONI!$B:$B,$A102),MAX($W102,0)))</f>
        <v/>
      </c>
      <c r="Z102" s="33" t="str">
        <f t="shared" si="50"/>
        <v/>
      </c>
      <c r="AA102" s="34" t="str">
        <f>IF($A102="","",IF(COUNTIFS(ASSEGNAZIONI!$B:$B,$A102)&gt;0,SUMIFS(ASSEGNAZIONI!$P:$P,ASSEGNAZIONI!$B:$B,$A102),0))</f>
        <v/>
      </c>
      <c r="AB102" s="34" t="str">
        <f t="shared" si="51"/>
        <v/>
      </c>
      <c r="AC102" s="34" t="str">
        <f t="shared" si="52"/>
        <v/>
      </c>
      <c r="AD102" s="34" t="str">
        <f t="shared" si="53"/>
        <v/>
      </c>
      <c r="AE102" s="35" t="str">
        <f t="shared" si="54"/>
        <v/>
      </c>
      <c r="AF102" s="34" t="str">
        <f t="shared" si="55"/>
        <v/>
      </c>
      <c r="AG102" s="34" t="str">
        <f t="shared" si="56"/>
        <v/>
      </c>
      <c r="AH102" s="35" t="str">
        <f>IF($A102="","",IFERROR(AVERAGEIFS(FASI!$L:$L,FASI!$B:$B,$A102),0))</f>
        <v/>
      </c>
      <c r="AI102" s="35" t="str">
        <f t="shared" si="57"/>
        <v/>
      </c>
      <c r="AJ102" s="34" t="str">
        <f>IF($A102="","",SUMIFS(SAL!$H:$H,SAL!$B:$B,$A102,SAL!$O:$O,"Emessa")+SUMIFS(SAL!$H:$H,SAL!$B:$B,$A102,SAL!$O:$O,"Incassata")+SUMIFS(SAL!$H:$H,SAL!$B:$B,$A102,SAL!$O:$O,"Scaduta"))</f>
        <v/>
      </c>
      <c r="AK102" s="34" t="str">
        <f>IF($A102="","",SUMIFS(SAL!$H:$H,SAL!$B:$B,$A102,SAL!$O:$O,"Incassata"))</f>
        <v/>
      </c>
      <c r="AL102" s="34" t="str">
        <f t="shared" si="58"/>
        <v/>
      </c>
      <c r="AM102" s="34" t="str">
        <f t="shared" si="59"/>
        <v/>
      </c>
      <c r="AN102" s="36" t="str">
        <f ca="1">IF($A102="","",IF($M102=0,"RISORSE NON ASSEGNATE",IF($AE102&lt;0.1,"MARGINE CRITICO",IF($S102&lt;-SCONTO_MAX,"SCONTO OLTRE SOGLIA",IF($Z102&gt;0,"ORE OLTRE LA STIMA",IF($AI102&gt;ALLERTA_ORE,"CONSUMO ORE ELEVATO",IF(COUNTIFS(SAL!$B:$B,$A102,SAL!$K:$K,"EMETTIBILE")&gt;0,"SAL DA EMETTERE",IF(COUNTIFS(FASI!$B:$B,$A102,FASI!$H:$H,"&lt;"&amp;TODAY(),FASI!$L:$L,"&lt;1")&gt;0,"FASI IN RITARDO","OK"))))))))</f>
        <v/>
      </c>
    </row>
    <row r="103" spans="1:40" x14ac:dyDescent="0.3">
      <c r="A103" s="42"/>
      <c r="B103" s="42"/>
      <c r="C103" s="42"/>
      <c r="D103" s="42"/>
      <c r="E103" s="42"/>
      <c r="F103" s="42"/>
      <c r="G103" s="43"/>
      <c r="H103" s="43"/>
      <c r="I103" s="42"/>
      <c r="J103" s="44"/>
      <c r="K103" s="46"/>
      <c r="L103" s="34" t="str">
        <f t="shared" si="45"/>
        <v/>
      </c>
      <c r="M103" s="33" t="str">
        <f>IF($A103="","",SUMIFS(ASSEGNAZIONI!$F:$F,ASSEGNAZIONI!$B:$B,$A103))</f>
        <v/>
      </c>
      <c r="N103" s="34" t="str">
        <f>IF($A103="","",SUMIFS(ASSEGNAZIONI!$I:$I,ASSEGNAZIONI!$B:$B,$A103))</f>
        <v/>
      </c>
      <c r="O103" s="34" t="str">
        <f>IF($A103="","",SUMIFS(ASSEGNAZIONI!$J:$J,ASSEGNAZIONI!$B:$B,$A103))</f>
        <v/>
      </c>
      <c r="P103" s="34" t="str">
        <f t="shared" si="46"/>
        <v/>
      </c>
      <c r="Q103" s="44"/>
      <c r="R103" s="34" t="str">
        <f t="shared" si="47"/>
        <v/>
      </c>
      <c r="S103" s="35" t="str">
        <f t="shared" si="48"/>
        <v/>
      </c>
      <c r="T103" s="34" t="str">
        <f>IF($A103="","",SUMIFS(ODA!$R:$R,ODA!$B:$B,$A103))</f>
        <v/>
      </c>
      <c r="U103" s="34" t="str">
        <f>IF($A103="","",SUMIFS(ODA!$P:$P,ODA!$B:$B,$A103))</f>
        <v/>
      </c>
      <c r="V103" s="45" t="str">
        <f t="shared" si="49"/>
        <v/>
      </c>
      <c r="W103" s="33" t="str">
        <f>IF($A103="","",SUMIFS(ORE!$F:$F,ORE!$B:$B,$A103))</f>
        <v/>
      </c>
      <c r="X103" s="33" t="str">
        <f>IF($A103="","",SUMIFS(PREVISIONE_ORE!$G:$G,PREVISIONE_ORE!$D:$D,$A103,PREVISIONE_ORE!$K:$K,"Sì"))</f>
        <v/>
      </c>
      <c r="Y103" s="33" t="str">
        <f>IF($A103="","",IF(COUNTIFS(ASSEGNAZIONI!$B:$B,$A103)&gt;0,SUMIFS(ASSEGNAZIONI!$N:$N,ASSEGNAZIONI!$B:$B,$A103),MAX($W103,0)))</f>
        <v/>
      </c>
      <c r="Z103" s="33" t="str">
        <f t="shared" si="50"/>
        <v/>
      </c>
      <c r="AA103" s="34" t="str">
        <f>IF($A103="","",IF(COUNTIFS(ASSEGNAZIONI!$B:$B,$A103)&gt;0,SUMIFS(ASSEGNAZIONI!$P:$P,ASSEGNAZIONI!$B:$B,$A103),0))</f>
        <v/>
      </c>
      <c r="AB103" s="34" t="str">
        <f t="shared" si="51"/>
        <v/>
      </c>
      <c r="AC103" s="34" t="str">
        <f t="shared" si="52"/>
        <v/>
      </c>
      <c r="AD103" s="34" t="str">
        <f t="shared" si="53"/>
        <v/>
      </c>
      <c r="AE103" s="35" t="str">
        <f t="shared" si="54"/>
        <v/>
      </c>
      <c r="AF103" s="34" t="str">
        <f t="shared" si="55"/>
        <v/>
      </c>
      <c r="AG103" s="34" t="str">
        <f t="shared" si="56"/>
        <v/>
      </c>
      <c r="AH103" s="35" t="str">
        <f>IF($A103="","",IFERROR(AVERAGEIFS(FASI!$L:$L,FASI!$B:$B,$A103),0))</f>
        <v/>
      </c>
      <c r="AI103" s="35" t="str">
        <f t="shared" si="57"/>
        <v/>
      </c>
      <c r="AJ103" s="34" t="str">
        <f>IF($A103="","",SUMIFS(SAL!$H:$H,SAL!$B:$B,$A103,SAL!$O:$O,"Emessa")+SUMIFS(SAL!$H:$H,SAL!$B:$B,$A103,SAL!$O:$O,"Incassata")+SUMIFS(SAL!$H:$H,SAL!$B:$B,$A103,SAL!$O:$O,"Scaduta"))</f>
        <v/>
      </c>
      <c r="AK103" s="34" t="str">
        <f>IF($A103="","",SUMIFS(SAL!$H:$H,SAL!$B:$B,$A103,SAL!$O:$O,"Incassata"))</f>
        <v/>
      </c>
      <c r="AL103" s="34" t="str">
        <f t="shared" si="58"/>
        <v/>
      </c>
      <c r="AM103" s="34" t="str">
        <f t="shared" si="59"/>
        <v/>
      </c>
      <c r="AN103" s="36" t="str">
        <f ca="1">IF($A103="","",IF($M103=0,"RISORSE NON ASSEGNATE",IF($AE103&lt;0.1,"MARGINE CRITICO",IF($S103&lt;-SCONTO_MAX,"SCONTO OLTRE SOGLIA",IF($Z103&gt;0,"ORE OLTRE LA STIMA",IF($AI103&gt;ALLERTA_ORE,"CONSUMO ORE ELEVATO",IF(COUNTIFS(SAL!$B:$B,$A103,SAL!$K:$K,"EMETTIBILE")&gt;0,"SAL DA EMETTERE",IF(COUNTIFS(FASI!$B:$B,$A103,FASI!$H:$H,"&lt;"&amp;TODAY(),FASI!$L:$L,"&lt;1")&gt;0,"FASI IN RITARDO","OK"))))))))</f>
        <v/>
      </c>
    </row>
    <row r="104" spans="1:40" x14ac:dyDescent="0.3">
      <c r="A104" s="42"/>
      <c r="B104" s="42"/>
      <c r="C104" s="42"/>
      <c r="D104" s="42"/>
      <c r="E104" s="42"/>
      <c r="F104" s="42"/>
      <c r="G104" s="43"/>
      <c r="H104" s="43"/>
      <c r="I104" s="42"/>
      <c r="J104" s="44"/>
      <c r="K104" s="46"/>
      <c r="L104" s="34" t="str">
        <f t="shared" si="45"/>
        <v/>
      </c>
      <c r="M104" s="33" t="str">
        <f>IF($A104="","",SUMIFS(ASSEGNAZIONI!$F:$F,ASSEGNAZIONI!$B:$B,$A104))</f>
        <v/>
      </c>
      <c r="N104" s="34" t="str">
        <f>IF($A104="","",SUMIFS(ASSEGNAZIONI!$I:$I,ASSEGNAZIONI!$B:$B,$A104))</f>
        <v/>
      </c>
      <c r="O104" s="34" t="str">
        <f>IF($A104="","",SUMIFS(ASSEGNAZIONI!$J:$J,ASSEGNAZIONI!$B:$B,$A104))</f>
        <v/>
      </c>
      <c r="P104" s="34" t="str">
        <f t="shared" si="46"/>
        <v/>
      </c>
      <c r="Q104" s="44"/>
      <c r="R104" s="34" t="str">
        <f t="shared" si="47"/>
        <v/>
      </c>
      <c r="S104" s="35" t="str">
        <f t="shared" si="48"/>
        <v/>
      </c>
      <c r="T104" s="34" t="str">
        <f>IF($A104="","",SUMIFS(ODA!$R:$R,ODA!$B:$B,$A104))</f>
        <v/>
      </c>
      <c r="U104" s="34" t="str">
        <f>IF($A104="","",SUMIFS(ODA!$P:$P,ODA!$B:$B,$A104))</f>
        <v/>
      </c>
      <c r="V104" s="45" t="str">
        <f t="shared" si="49"/>
        <v/>
      </c>
      <c r="W104" s="33" t="str">
        <f>IF($A104="","",SUMIFS(ORE!$F:$F,ORE!$B:$B,$A104))</f>
        <v/>
      </c>
      <c r="X104" s="33" t="str">
        <f>IF($A104="","",SUMIFS(PREVISIONE_ORE!$G:$G,PREVISIONE_ORE!$D:$D,$A104,PREVISIONE_ORE!$K:$K,"Sì"))</f>
        <v/>
      </c>
      <c r="Y104" s="33" t="str">
        <f>IF($A104="","",IF(COUNTIFS(ASSEGNAZIONI!$B:$B,$A104)&gt;0,SUMIFS(ASSEGNAZIONI!$N:$N,ASSEGNAZIONI!$B:$B,$A104),MAX($W104,0)))</f>
        <v/>
      </c>
      <c r="Z104" s="33" t="str">
        <f t="shared" si="50"/>
        <v/>
      </c>
      <c r="AA104" s="34" t="str">
        <f>IF($A104="","",IF(COUNTIFS(ASSEGNAZIONI!$B:$B,$A104)&gt;0,SUMIFS(ASSEGNAZIONI!$P:$P,ASSEGNAZIONI!$B:$B,$A104),0))</f>
        <v/>
      </c>
      <c r="AB104" s="34" t="str">
        <f t="shared" si="51"/>
        <v/>
      </c>
      <c r="AC104" s="34" t="str">
        <f t="shared" si="52"/>
        <v/>
      </c>
      <c r="AD104" s="34" t="str">
        <f t="shared" si="53"/>
        <v/>
      </c>
      <c r="AE104" s="35" t="str">
        <f t="shared" si="54"/>
        <v/>
      </c>
      <c r="AF104" s="34" t="str">
        <f t="shared" si="55"/>
        <v/>
      </c>
      <c r="AG104" s="34" t="str">
        <f t="shared" si="56"/>
        <v/>
      </c>
      <c r="AH104" s="35" t="str">
        <f>IF($A104="","",IFERROR(AVERAGEIFS(FASI!$L:$L,FASI!$B:$B,$A104),0))</f>
        <v/>
      </c>
      <c r="AI104" s="35" t="str">
        <f t="shared" si="57"/>
        <v/>
      </c>
      <c r="AJ104" s="34" t="str">
        <f>IF($A104="","",SUMIFS(SAL!$H:$H,SAL!$B:$B,$A104,SAL!$O:$O,"Emessa")+SUMIFS(SAL!$H:$H,SAL!$B:$B,$A104,SAL!$O:$O,"Incassata")+SUMIFS(SAL!$H:$H,SAL!$B:$B,$A104,SAL!$O:$O,"Scaduta"))</f>
        <v/>
      </c>
      <c r="AK104" s="34" t="str">
        <f>IF($A104="","",SUMIFS(SAL!$H:$H,SAL!$B:$B,$A104,SAL!$O:$O,"Incassata"))</f>
        <v/>
      </c>
      <c r="AL104" s="34" t="str">
        <f t="shared" si="58"/>
        <v/>
      </c>
      <c r="AM104" s="34" t="str">
        <f t="shared" si="59"/>
        <v/>
      </c>
      <c r="AN104" s="36" t="str">
        <f ca="1">IF($A104="","",IF($M104=0,"RISORSE NON ASSEGNATE",IF($AE104&lt;0.1,"MARGINE CRITICO",IF($S104&lt;-SCONTO_MAX,"SCONTO OLTRE SOGLIA",IF($Z104&gt;0,"ORE OLTRE LA STIMA",IF($AI104&gt;ALLERTA_ORE,"CONSUMO ORE ELEVATO",IF(COUNTIFS(SAL!$B:$B,$A104,SAL!$K:$K,"EMETTIBILE")&gt;0,"SAL DA EMETTERE",IF(COUNTIFS(FASI!$B:$B,$A104,FASI!$H:$H,"&lt;"&amp;TODAY(),FASI!$L:$L,"&lt;1")&gt;0,"FASI IN RITARDO","OK"))))))))</f>
        <v/>
      </c>
    </row>
    <row r="105" spans="1:40" x14ac:dyDescent="0.3">
      <c r="A105" s="42"/>
      <c r="B105" s="42"/>
      <c r="C105" s="42"/>
      <c r="D105" s="42"/>
      <c r="E105" s="42"/>
      <c r="F105" s="42"/>
      <c r="G105" s="43"/>
      <c r="H105" s="43"/>
      <c r="I105" s="42"/>
      <c r="J105" s="44"/>
      <c r="K105" s="46"/>
      <c r="L105" s="34" t="str">
        <f t="shared" si="45"/>
        <v/>
      </c>
      <c r="M105" s="33" t="str">
        <f>IF($A105="","",SUMIFS(ASSEGNAZIONI!$F:$F,ASSEGNAZIONI!$B:$B,$A105))</f>
        <v/>
      </c>
      <c r="N105" s="34" t="str">
        <f>IF($A105="","",SUMIFS(ASSEGNAZIONI!$I:$I,ASSEGNAZIONI!$B:$B,$A105))</f>
        <v/>
      </c>
      <c r="O105" s="34" t="str">
        <f>IF($A105="","",SUMIFS(ASSEGNAZIONI!$J:$J,ASSEGNAZIONI!$B:$B,$A105))</f>
        <v/>
      </c>
      <c r="P105" s="34" t="str">
        <f t="shared" si="46"/>
        <v/>
      </c>
      <c r="Q105" s="44"/>
      <c r="R105" s="34" t="str">
        <f t="shared" si="47"/>
        <v/>
      </c>
      <c r="S105" s="35" t="str">
        <f t="shared" si="48"/>
        <v/>
      </c>
      <c r="T105" s="34" t="str">
        <f>IF($A105="","",SUMIFS(ODA!$R:$R,ODA!$B:$B,$A105))</f>
        <v/>
      </c>
      <c r="U105" s="34" t="str">
        <f>IF($A105="","",SUMIFS(ODA!$P:$P,ODA!$B:$B,$A105))</f>
        <v/>
      </c>
      <c r="V105" s="45" t="str">
        <f t="shared" si="49"/>
        <v/>
      </c>
      <c r="W105" s="33" t="str">
        <f>IF($A105="","",SUMIFS(ORE!$F:$F,ORE!$B:$B,$A105))</f>
        <v/>
      </c>
      <c r="X105" s="33" t="str">
        <f>IF($A105="","",SUMIFS(PREVISIONE_ORE!$G:$G,PREVISIONE_ORE!$D:$D,$A105,PREVISIONE_ORE!$K:$K,"Sì"))</f>
        <v/>
      </c>
      <c r="Y105" s="33" t="str">
        <f>IF($A105="","",IF(COUNTIFS(ASSEGNAZIONI!$B:$B,$A105)&gt;0,SUMIFS(ASSEGNAZIONI!$N:$N,ASSEGNAZIONI!$B:$B,$A105),MAX($W105,0)))</f>
        <v/>
      </c>
      <c r="Z105" s="33" t="str">
        <f t="shared" si="50"/>
        <v/>
      </c>
      <c r="AA105" s="34" t="str">
        <f>IF($A105="","",IF(COUNTIFS(ASSEGNAZIONI!$B:$B,$A105)&gt;0,SUMIFS(ASSEGNAZIONI!$P:$P,ASSEGNAZIONI!$B:$B,$A105),0))</f>
        <v/>
      </c>
      <c r="AB105" s="34" t="str">
        <f t="shared" si="51"/>
        <v/>
      </c>
      <c r="AC105" s="34" t="str">
        <f t="shared" si="52"/>
        <v/>
      </c>
      <c r="AD105" s="34" t="str">
        <f t="shared" si="53"/>
        <v/>
      </c>
      <c r="AE105" s="35" t="str">
        <f t="shared" si="54"/>
        <v/>
      </c>
      <c r="AF105" s="34" t="str">
        <f t="shared" si="55"/>
        <v/>
      </c>
      <c r="AG105" s="34" t="str">
        <f t="shared" si="56"/>
        <v/>
      </c>
      <c r="AH105" s="35" t="str">
        <f>IF($A105="","",IFERROR(AVERAGEIFS(FASI!$L:$L,FASI!$B:$B,$A105),0))</f>
        <v/>
      </c>
      <c r="AI105" s="35" t="str">
        <f t="shared" si="57"/>
        <v/>
      </c>
      <c r="AJ105" s="34" t="str">
        <f>IF($A105="","",SUMIFS(SAL!$H:$H,SAL!$B:$B,$A105,SAL!$O:$O,"Emessa")+SUMIFS(SAL!$H:$H,SAL!$B:$B,$A105,SAL!$O:$O,"Incassata")+SUMIFS(SAL!$H:$H,SAL!$B:$B,$A105,SAL!$O:$O,"Scaduta"))</f>
        <v/>
      </c>
      <c r="AK105" s="34" t="str">
        <f>IF($A105="","",SUMIFS(SAL!$H:$H,SAL!$B:$B,$A105,SAL!$O:$O,"Incassata"))</f>
        <v/>
      </c>
      <c r="AL105" s="34" t="str">
        <f t="shared" si="58"/>
        <v/>
      </c>
      <c r="AM105" s="34" t="str">
        <f t="shared" si="59"/>
        <v/>
      </c>
      <c r="AN105" s="36" t="str">
        <f ca="1">IF($A105="","",IF($M105=0,"RISORSE NON ASSEGNATE",IF($AE105&lt;0.1,"MARGINE CRITICO",IF($S105&lt;-SCONTO_MAX,"SCONTO OLTRE SOGLIA",IF($Z105&gt;0,"ORE OLTRE LA STIMA",IF($AI105&gt;ALLERTA_ORE,"CONSUMO ORE ELEVATO",IF(COUNTIFS(SAL!$B:$B,$A105,SAL!$K:$K,"EMETTIBILE")&gt;0,"SAL DA EMETTERE",IF(COUNTIFS(FASI!$B:$B,$A105,FASI!$H:$H,"&lt;"&amp;TODAY(),FASI!$L:$L,"&lt;1")&gt;0,"FASI IN RITARDO","OK"))))))))</f>
        <v/>
      </c>
    </row>
    <row r="106" spans="1:40" x14ac:dyDescent="0.3">
      <c r="A106" s="42"/>
      <c r="B106" s="42"/>
      <c r="C106" s="42"/>
      <c r="D106" s="42"/>
      <c r="E106" s="42"/>
      <c r="F106" s="42"/>
      <c r="G106" s="43"/>
      <c r="H106" s="43"/>
      <c r="I106" s="42"/>
      <c r="J106" s="44"/>
      <c r="K106" s="46"/>
      <c r="L106" s="34" t="str">
        <f t="shared" si="45"/>
        <v/>
      </c>
      <c r="M106" s="33" t="str">
        <f>IF($A106="","",SUMIFS(ASSEGNAZIONI!$F:$F,ASSEGNAZIONI!$B:$B,$A106))</f>
        <v/>
      </c>
      <c r="N106" s="34" t="str">
        <f>IF($A106="","",SUMIFS(ASSEGNAZIONI!$I:$I,ASSEGNAZIONI!$B:$B,$A106))</f>
        <v/>
      </c>
      <c r="O106" s="34" t="str">
        <f>IF($A106="","",SUMIFS(ASSEGNAZIONI!$J:$J,ASSEGNAZIONI!$B:$B,$A106))</f>
        <v/>
      </c>
      <c r="P106" s="34" t="str">
        <f t="shared" si="46"/>
        <v/>
      </c>
      <c r="Q106" s="44"/>
      <c r="R106" s="34" t="str">
        <f t="shared" si="47"/>
        <v/>
      </c>
      <c r="S106" s="35" t="str">
        <f t="shared" si="48"/>
        <v/>
      </c>
      <c r="T106" s="34" t="str">
        <f>IF($A106="","",SUMIFS(ODA!$R:$R,ODA!$B:$B,$A106))</f>
        <v/>
      </c>
      <c r="U106" s="34" t="str">
        <f>IF($A106="","",SUMIFS(ODA!$P:$P,ODA!$B:$B,$A106))</f>
        <v/>
      </c>
      <c r="V106" s="45" t="str">
        <f t="shared" si="49"/>
        <v/>
      </c>
      <c r="W106" s="33" t="str">
        <f>IF($A106="","",SUMIFS(ORE!$F:$F,ORE!$B:$B,$A106))</f>
        <v/>
      </c>
      <c r="X106" s="33" t="str">
        <f>IF($A106="","",SUMIFS(PREVISIONE_ORE!$G:$G,PREVISIONE_ORE!$D:$D,$A106,PREVISIONE_ORE!$K:$K,"Sì"))</f>
        <v/>
      </c>
      <c r="Y106" s="33" t="str">
        <f>IF($A106="","",IF(COUNTIFS(ASSEGNAZIONI!$B:$B,$A106)&gt;0,SUMIFS(ASSEGNAZIONI!$N:$N,ASSEGNAZIONI!$B:$B,$A106),MAX($W106,0)))</f>
        <v/>
      </c>
      <c r="Z106" s="33" t="str">
        <f t="shared" si="50"/>
        <v/>
      </c>
      <c r="AA106" s="34" t="str">
        <f>IF($A106="","",IF(COUNTIFS(ASSEGNAZIONI!$B:$B,$A106)&gt;0,SUMIFS(ASSEGNAZIONI!$P:$P,ASSEGNAZIONI!$B:$B,$A106),0))</f>
        <v/>
      </c>
      <c r="AB106" s="34" t="str">
        <f t="shared" si="51"/>
        <v/>
      </c>
      <c r="AC106" s="34" t="str">
        <f t="shared" si="52"/>
        <v/>
      </c>
      <c r="AD106" s="34" t="str">
        <f t="shared" si="53"/>
        <v/>
      </c>
      <c r="AE106" s="35" t="str">
        <f t="shared" si="54"/>
        <v/>
      </c>
      <c r="AF106" s="34" t="str">
        <f t="shared" si="55"/>
        <v/>
      </c>
      <c r="AG106" s="34" t="str">
        <f t="shared" si="56"/>
        <v/>
      </c>
      <c r="AH106" s="35" t="str">
        <f>IF($A106="","",IFERROR(AVERAGEIFS(FASI!$L:$L,FASI!$B:$B,$A106),0))</f>
        <v/>
      </c>
      <c r="AI106" s="35" t="str">
        <f t="shared" si="57"/>
        <v/>
      </c>
      <c r="AJ106" s="34" t="str">
        <f>IF($A106="","",SUMIFS(SAL!$H:$H,SAL!$B:$B,$A106,SAL!$O:$O,"Emessa")+SUMIFS(SAL!$H:$H,SAL!$B:$B,$A106,SAL!$O:$O,"Incassata")+SUMIFS(SAL!$H:$H,SAL!$B:$B,$A106,SAL!$O:$O,"Scaduta"))</f>
        <v/>
      </c>
      <c r="AK106" s="34" t="str">
        <f>IF($A106="","",SUMIFS(SAL!$H:$H,SAL!$B:$B,$A106,SAL!$O:$O,"Incassata"))</f>
        <v/>
      </c>
      <c r="AL106" s="34" t="str">
        <f t="shared" si="58"/>
        <v/>
      </c>
      <c r="AM106" s="34" t="str">
        <f t="shared" si="59"/>
        <v/>
      </c>
      <c r="AN106" s="36" t="str">
        <f ca="1">IF($A106="","",IF($M106=0,"RISORSE NON ASSEGNATE",IF($AE106&lt;0.1,"MARGINE CRITICO",IF($S106&lt;-SCONTO_MAX,"SCONTO OLTRE SOGLIA",IF($Z106&gt;0,"ORE OLTRE LA STIMA",IF($AI106&gt;ALLERTA_ORE,"CONSUMO ORE ELEVATO",IF(COUNTIFS(SAL!$B:$B,$A106,SAL!$K:$K,"EMETTIBILE")&gt;0,"SAL DA EMETTERE",IF(COUNTIFS(FASI!$B:$B,$A106,FASI!$H:$H,"&lt;"&amp;TODAY(),FASI!$L:$L,"&lt;1")&gt;0,"FASI IN RITARDO","OK"))))))))</f>
        <v/>
      </c>
    </row>
    <row r="107" spans="1:40" x14ac:dyDescent="0.3">
      <c r="A107" s="42"/>
      <c r="B107" s="42"/>
      <c r="C107" s="42"/>
      <c r="D107" s="42"/>
      <c r="E107" s="42"/>
      <c r="F107" s="42"/>
      <c r="G107" s="43"/>
      <c r="H107" s="43"/>
      <c r="I107" s="42"/>
      <c r="J107" s="44"/>
      <c r="K107" s="46"/>
      <c r="L107" s="34" t="str">
        <f t="shared" si="45"/>
        <v/>
      </c>
      <c r="M107" s="33" t="str">
        <f>IF($A107="","",SUMIFS(ASSEGNAZIONI!$F:$F,ASSEGNAZIONI!$B:$B,$A107))</f>
        <v/>
      </c>
      <c r="N107" s="34" t="str">
        <f>IF($A107="","",SUMIFS(ASSEGNAZIONI!$I:$I,ASSEGNAZIONI!$B:$B,$A107))</f>
        <v/>
      </c>
      <c r="O107" s="34" t="str">
        <f>IF($A107="","",SUMIFS(ASSEGNAZIONI!$J:$J,ASSEGNAZIONI!$B:$B,$A107))</f>
        <v/>
      </c>
      <c r="P107" s="34" t="str">
        <f t="shared" si="46"/>
        <v/>
      </c>
      <c r="Q107" s="44"/>
      <c r="R107" s="34" t="str">
        <f t="shared" si="47"/>
        <v/>
      </c>
      <c r="S107" s="35" t="str">
        <f t="shared" si="48"/>
        <v/>
      </c>
      <c r="T107" s="34" t="str">
        <f>IF($A107="","",SUMIFS(ODA!$R:$R,ODA!$B:$B,$A107))</f>
        <v/>
      </c>
      <c r="U107" s="34" t="str">
        <f>IF($A107="","",SUMIFS(ODA!$P:$P,ODA!$B:$B,$A107))</f>
        <v/>
      </c>
      <c r="V107" s="45" t="str">
        <f t="shared" si="49"/>
        <v/>
      </c>
      <c r="W107" s="33" t="str">
        <f>IF($A107="","",SUMIFS(ORE!$F:$F,ORE!$B:$B,$A107))</f>
        <v/>
      </c>
      <c r="X107" s="33" t="str">
        <f>IF($A107="","",SUMIFS(PREVISIONE_ORE!$G:$G,PREVISIONE_ORE!$D:$D,$A107,PREVISIONE_ORE!$K:$K,"Sì"))</f>
        <v/>
      </c>
      <c r="Y107" s="33" t="str">
        <f>IF($A107="","",IF(COUNTIFS(ASSEGNAZIONI!$B:$B,$A107)&gt;0,SUMIFS(ASSEGNAZIONI!$N:$N,ASSEGNAZIONI!$B:$B,$A107),MAX($W107,0)))</f>
        <v/>
      </c>
      <c r="Z107" s="33" t="str">
        <f t="shared" si="50"/>
        <v/>
      </c>
      <c r="AA107" s="34" t="str">
        <f>IF($A107="","",IF(COUNTIFS(ASSEGNAZIONI!$B:$B,$A107)&gt;0,SUMIFS(ASSEGNAZIONI!$P:$P,ASSEGNAZIONI!$B:$B,$A107),0))</f>
        <v/>
      </c>
      <c r="AB107" s="34" t="str">
        <f t="shared" si="51"/>
        <v/>
      </c>
      <c r="AC107" s="34" t="str">
        <f t="shared" si="52"/>
        <v/>
      </c>
      <c r="AD107" s="34" t="str">
        <f t="shared" si="53"/>
        <v/>
      </c>
      <c r="AE107" s="35" t="str">
        <f t="shared" si="54"/>
        <v/>
      </c>
      <c r="AF107" s="34" t="str">
        <f t="shared" si="55"/>
        <v/>
      </c>
      <c r="AG107" s="34" t="str">
        <f t="shared" si="56"/>
        <v/>
      </c>
      <c r="AH107" s="35" t="str">
        <f>IF($A107="","",IFERROR(AVERAGEIFS(FASI!$L:$L,FASI!$B:$B,$A107),0))</f>
        <v/>
      </c>
      <c r="AI107" s="35" t="str">
        <f t="shared" si="57"/>
        <v/>
      </c>
      <c r="AJ107" s="34" t="str">
        <f>IF($A107="","",SUMIFS(SAL!$H:$H,SAL!$B:$B,$A107,SAL!$O:$O,"Emessa")+SUMIFS(SAL!$H:$H,SAL!$B:$B,$A107,SAL!$O:$O,"Incassata")+SUMIFS(SAL!$H:$H,SAL!$B:$B,$A107,SAL!$O:$O,"Scaduta"))</f>
        <v/>
      </c>
      <c r="AK107" s="34" t="str">
        <f>IF($A107="","",SUMIFS(SAL!$H:$H,SAL!$B:$B,$A107,SAL!$O:$O,"Incassata"))</f>
        <v/>
      </c>
      <c r="AL107" s="34" t="str">
        <f t="shared" si="58"/>
        <v/>
      </c>
      <c r="AM107" s="34" t="str">
        <f t="shared" si="59"/>
        <v/>
      </c>
      <c r="AN107" s="36" t="str">
        <f ca="1">IF($A107="","",IF($M107=0,"RISORSE NON ASSEGNATE",IF($AE107&lt;0.1,"MARGINE CRITICO",IF($S107&lt;-SCONTO_MAX,"SCONTO OLTRE SOGLIA",IF($Z107&gt;0,"ORE OLTRE LA STIMA",IF($AI107&gt;ALLERTA_ORE,"CONSUMO ORE ELEVATO",IF(COUNTIFS(SAL!$B:$B,$A107,SAL!$K:$K,"EMETTIBILE")&gt;0,"SAL DA EMETTERE",IF(COUNTIFS(FASI!$B:$B,$A107,FASI!$H:$H,"&lt;"&amp;TODAY(),FASI!$L:$L,"&lt;1")&gt;0,"FASI IN RITARDO","OK"))))))))</f>
        <v/>
      </c>
    </row>
    <row r="108" spans="1:40" x14ac:dyDescent="0.3">
      <c r="A108" s="42"/>
      <c r="B108" s="42"/>
      <c r="C108" s="42"/>
      <c r="D108" s="42"/>
      <c r="E108" s="42"/>
      <c r="F108" s="42"/>
      <c r="G108" s="43"/>
      <c r="H108" s="43"/>
      <c r="I108" s="42"/>
      <c r="J108" s="44"/>
      <c r="K108" s="46"/>
      <c r="L108" s="34" t="str">
        <f t="shared" si="45"/>
        <v/>
      </c>
      <c r="M108" s="33" t="str">
        <f>IF($A108="","",SUMIFS(ASSEGNAZIONI!$F:$F,ASSEGNAZIONI!$B:$B,$A108))</f>
        <v/>
      </c>
      <c r="N108" s="34" t="str">
        <f>IF($A108="","",SUMIFS(ASSEGNAZIONI!$I:$I,ASSEGNAZIONI!$B:$B,$A108))</f>
        <v/>
      </c>
      <c r="O108" s="34" t="str">
        <f>IF($A108="","",SUMIFS(ASSEGNAZIONI!$J:$J,ASSEGNAZIONI!$B:$B,$A108))</f>
        <v/>
      </c>
      <c r="P108" s="34" t="str">
        <f t="shared" si="46"/>
        <v/>
      </c>
      <c r="Q108" s="44"/>
      <c r="R108" s="34" t="str">
        <f t="shared" si="47"/>
        <v/>
      </c>
      <c r="S108" s="35" t="str">
        <f t="shared" si="48"/>
        <v/>
      </c>
      <c r="T108" s="34" t="str">
        <f>IF($A108="","",SUMIFS(ODA!$R:$R,ODA!$B:$B,$A108))</f>
        <v/>
      </c>
      <c r="U108" s="34" t="str">
        <f>IF($A108="","",SUMIFS(ODA!$P:$P,ODA!$B:$B,$A108))</f>
        <v/>
      </c>
      <c r="V108" s="45" t="str">
        <f t="shared" si="49"/>
        <v/>
      </c>
      <c r="W108" s="33" t="str">
        <f>IF($A108="","",SUMIFS(ORE!$F:$F,ORE!$B:$B,$A108))</f>
        <v/>
      </c>
      <c r="X108" s="33" t="str">
        <f>IF($A108="","",SUMIFS(PREVISIONE_ORE!$G:$G,PREVISIONE_ORE!$D:$D,$A108,PREVISIONE_ORE!$K:$K,"Sì"))</f>
        <v/>
      </c>
      <c r="Y108" s="33" t="str">
        <f>IF($A108="","",IF(COUNTIFS(ASSEGNAZIONI!$B:$B,$A108)&gt;0,SUMIFS(ASSEGNAZIONI!$N:$N,ASSEGNAZIONI!$B:$B,$A108),MAX($W108,0)))</f>
        <v/>
      </c>
      <c r="Z108" s="33" t="str">
        <f t="shared" si="50"/>
        <v/>
      </c>
      <c r="AA108" s="34" t="str">
        <f>IF($A108="","",IF(COUNTIFS(ASSEGNAZIONI!$B:$B,$A108)&gt;0,SUMIFS(ASSEGNAZIONI!$P:$P,ASSEGNAZIONI!$B:$B,$A108),0))</f>
        <v/>
      </c>
      <c r="AB108" s="34" t="str">
        <f t="shared" si="51"/>
        <v/>
      </c>
      <c r="AC108" s="34" t="str">
        <f t="shared" si="52"/>
        <v/>
      </c>
      <c r="AD108" s="34" t="str">
        <f t="shared" si="53"/>
        <v/>
      </c>
      <c r="AE108" s="35" t="str">
        <f t="shared" si="54"/>
        <v/>
      </c>
      <c r="AF108" s="34" t="str">
        <f t="shared" si="55"/>
        <v/>
      </c>
      <c r="AG108" s="34" t="str">
        <f t="shared" si="56"/>
        <v/>
      </c>
      <c r="AH108" s="35" t="str">
        <f>IF($A108="","",IFERROR(AVERAGEIFS(FASI!$L:$L,FASI!$B:$B,$A108),0))</f>
        <v/>
      </c>
      <c r="AI108" s="35" t="str">
        <f t="shared" si="57"/>
        <v/>
      </c>
      <c r="AJ108" s="34" t="str">
        <f>IF($A108="","",SUMIFS(SAL!$H:$H,SAL!$B:$B,$A108,SAL!$O:$O,"Emessa")+SUMIFS(SAL!$H:$H,SAL!$B:$B,$A108,SAL!$O:$O,"Incassata")+SUMIFS(SAL!$H:$H,SAL!$B:$B,$A108,SAL!$O:$O,"Scaduta"))</f>
        <v/>
      </c>
      <c r="AK108" s="34" t="str">
        <f>IF($A108="","",SUMIFS(SAL!$H:$H,SAL!$B:$B,$A108,SAL!$O:$O,"Incassata"))</f>
        <v/>
      </c>
      <c r="AL108" s="34" t="str">
        <f t="shared" si="58"/>
        <v/>
      </c>
      <c r="AM108" s="34" t="str">
        <f t="shared" si="59"/>
        <v/>
      </c>
      <c r="AN108" s="36" t="str">
        <f ca="1">IF($A108="","",IF($M108=0,"RISORSE NON ASSEGNATE",IF($AE108&lt;0.1,"MARGINE CRITICO",IF($S108&lt;-SCONTO_MAX,"SCONTO OLTRE SOGLIA",IF($Z108&gt;0,"ORE OLTRE LA STIMA",IF($AI108&gt;ALLERTA_ORE,"CONSUMO ORE ELEVATO",IF(COUNTIFS(SAL!$B:$B,$A108,SAL!$K:$K,"EMETTIBILE")&gt;0,"SAL DA EMETTERE",IF(COUNTIFS(FASI!$B:$B,$A108,FASI!$H:$H,"&lt;"&amp;TODAY(),FASI!$L:$L,"&lt;1")&gt;0,"FASI IN RITARDO","OK"))))))))</f>
        <v/>
      </c>
    </row>
    <row r="109" spans="1:40" x14ac:dyDescent="0.3">
      <c r="A109" s="42"/>
      <c r="B109" s="42"/>
      <c r="C109" s="42"/>
      <c r="D109" s="42"/>
      <c r="E109" s="42"/>
      <c r="F109" s="42"/>
      <c r="G109" s="43"/>
      <c r="H109" s="43"/>
      <c r="I109" s="42"/>
      <c r="J109" s="44"/>
      <c r="K109" s="46"/>
      <c r="L109" s="34" t="str">
        <f t="shared" si="45"/>
        <v/>
      </c>
      <c r="M109" s="33" t="str">
        <f>IF($A109="","",SUMIFS(ASSEGNAZIONI!$F:$F,ASSEGNAZIONI!$B:$B,$A109))</f>
        <v/>
      </c>
      <c r="N109" s="34" t="str">
        <f>IF($A109="","",SUMIFS(ASSEGNAZIONI!$I:$I,ASSEGNAZIONI!$B:$B,$A109))</f>
        <v/>
      </c>
      <c r="O109" s="34" t="str">
        <f>IF($A109="","",SUMIFS(ASSEGNAZIONI!$J:$J,ASSEGNAZIONI!$B:$B,$A109))</f>
        <v/>
      </c>
      <c r="P109" s="34" t="str">
        <f t="shared" si="46"/>
        <v/>
      </c>
      <c r="Q109" s="44"/>
      <c r="R109" s="34" t="str">
        <f t="shared" si="47"/>
        <v/>
      </c>
      <c r="S109" s="35" t="str">
        <f t="shared" si="48"/>
        <v/>
      </c>
      <c r="T109" s="34" t="str">
        <f>IF($A109="","",SUMIFS(ODA!$R:$R,ODA!$B:$B,$A109))</f>
        <v/>
      </c>
      <c r="U109" s="34" t="str">
        <f>IF($A109="","",SUMIFS(ODA!$P:$P,ODA!$B:$B,$A109))</f>
        <v/>
      </c>
      <c r="V109" s="45" t="str">
        <f t="shared" si="49"/>
        <v/>
      </c>
      <c r="W109" s="33" t="str">
        <f>IF($A109="","",SUMIFS(ORE!$F:$F,ORE!$B:$B,$A109))</f>
        <v/>
      </c>
      <c r="X109" s="33" t="str">
        <f>IF($A109="","",SUMIFS(PREVISIONE_ORE!$G:$G,PREVISIONE_ORE!$D:$D,$A109,PREVISIONE_ORE!$K:$K,"Sì"))</f>
        <v/>
      </c>
      <c r="Y109" s="33" t="str">
        <f>IF($A109="","",IF(COUNTIFS(ASSEGNAZIONI!$B:$B,$A109)&gt;0,SUMIFS(ASSEGNAZIONI!$N:$N,ASSEGNAZIONI!$B:$B,$A109),MAX($W109,0)))</f>
        <v/>
      </c>
      <c r="Z109" s="33" t="str">
        <f t="shared" si="50"/>
        <v/>
      </c>
      <c r="AA109" s="34" t="str">
        <f>IF($A109="","",IF(COUNTIFS(ASSEGNAZIONI!$B:$B,$A109)&gt;0,SUMIFS(ASSEGNAZIONI!$P:$P,ASSEGNAZIONI!$B:$B,$A109),0))</f>
        <v/>
      </c>
      <c r="AB109" s="34" t="str">
        <f t="shared" si="51"/>
        <v/>
      </c>
      <c r="AC109" s="34" t="str">
        <f t="shared" si="52"/>
        <v/>
      </c>
      <c r="AD109" s="34" t="str">
        <f t="shared" si="53"/>
        <v/>
      </c>
      <c r="AE109" s="35" t="str">
        <f t="shared" si="54"/>
        <v/>
      </c>
      <c r="AF109" s="34" t="str">
        <f t="shared" si="55"/>
        <v/>
      </c>
      <c r="AG109" s="34" t="str">
        <f t="shared" si="56"/>
        <v/>
      </c>
      <c r="AH109" s="35" t="str">
        <f>IF($A109="","",IFERROR(AVERAGEIFS(FASI!$L:$L,FASI!$B:$B,$A109),0))</f>
        <v/>
      </c>
      <c r="AI109" s="35" t="str">
        <f t="shared" si="57"/>
        <v/>
      </c>
      <c r="AJ109" s="34" t="str">
        <f>IF($A109="","",SUMIFS(SAL!$H:$H,SAL!$B:$B,$A109,SAL!$O:$O,"Emessa")+SUMIFS(SAL!$H:$H,SAL!$B:$B,$A109,SAL!$O:$O,"Incassata")+SUMIFS(SAL!$H:$H,SAL!$B:$B,$A109,SAL!$O:$O,"Scaduta"))</f>
        <v/>
      </c>
      <c r="AK109" s="34" t="str">
        <f>IF($A109="","",SUMIFS(SAL!$H:$H,SAL!$B:$B,$A109,SAL!$O:$O,"Incassata"))</f>
        <v/>
      </c>
      <c r="AL109" s="34" t="str">
        <f t="shared" si="58"/>
        <v/>
      </c>
      <c r="AM109" s="34" t="str">
        <f t="shared" si="59"/>
        <v/>
      </c>
      <c r="AN109" s="36" t="str">
        <f ca="1">IF($A109="","",IF($M109=0,"RISORSE NON ASSEGNATE",IF($AE109&lt;0.1,"MARGINE CRITICO",IF($S109&lt;-SCONTO_MAX,"SCONTO OLTRE SOGLIA",IF($Z109&gt;0,"ORE OLTRE LA STIMA",IF($AI109&gt;ALLERTA_ORE,"CONSUMO ORE ELEVATO",IF(COUNTIFS(SAL!$B:$B,$A109,SAL!$K:$K,"EMETTIBILE")&gt;0,"SAL DA EMETTERE",IF(COUNTIFS(FASI!$B:$B,$A109,FASI!$H:$H,"&lt;"&amp;TODAY(),FASI!$L:$L,"&lt;1")&gt;0,"FASI IN RITARDO","OK"))))))))</f>
        <v/>
      </c>
    </row>
    <row r="110" spans="1:40" x14ac:dyDescent="0.3">
      <c r="A110" s="42"/>
      <c r="B110" s="42"/>
      <c r="C110" s="42"/>
      <c r="D110" s="42"/>
      <c r="E110" s="42"/>
      <c r="F110" s="42"/>
      <c r="G110" s="43"/>
      <c r="H110" s="43"/>
      <c r="I110" s="42"/>
      <c r="J110" s="44"/>
      <c r="K110" s="46"/>
      <c r="L110" s="34" t="str">
        <f t="shared" si="45"/>
        <v/>
      </c>
      <c r="M110" s="33" t="str">
        <f>IF($A110="","",SUMIFS(ASSEGNAZIONI!$F:$F,ASSEGNAZIONI!$B:$B,$A110))</f>
        <v/>
      </c>
      <c r="N110" s="34" t="str">
        <f>IF($A110="","",SUMIFS(ASSEGNAZIONI!$I:$I,ASSEGNAZIONI!$B:$B,$A110))</f>
        <v/>
      </c>
      <c r="O110" s="34" t="str">
        <f>IF($A110="","",SUMIFS(ASSEGNAZIONI!$J:$J,ASSEGNAZIONI!$B:$B,$A110))</f>
        <v/>
      </c>
      <c r="P110" s="34" t="str">
        <f t="shared" si="46"/>
        <v/>
      </c>
      <c r="Q110" s="44"/>
      <c r="R110" s="34" t="str">
        <f t="shared" si="47"/>
        <v/>
      </c>
      <c r="S110" s="35" t="str">
        <f t="shared" si="48"/>
        <v/>
      </c>
      <c r="T110" s="34" t="str">
        <f>IF($A110="","",SUMIFS(ODA!$R:$R,ODA!$B:$B,$A110))</f>
        <v/>
      </c>
      <c r="U110" s="34" t="str">
        <f>IF($A110="","",SUMIFS(ODA!$P:$P,ODA!$B:$B,$A110))</f>
        <v/>
      </c>
      <c r="V110" s="45" t="str">
        <f t="shared" si="49"/>
        <v/>
      </c>
      <c r="W110" s="33" t="str">
        <f>IF($A110="","",SUMIFS(ORE!$F:$F,ORE!$B:$B,$A110))</f>
        <v/>
      </c>
      <c r="X110" s="33" t="str">
        <f>IF($A110="","",SUMIFS(PREVISIONE_ORE!$G:$G,PREVISIONE_ORE!$D:$D,$A110,PREVISIONE_ORE!$K:$K,"Sì"))</f>
        <v/>
      </c>
      <c r="Y110" s="33" t="str">
        <f>IF($A110="","",IF(COUNTIFS(ASSEGNAZIONI!$B:$B,$A110)&gt;0,SUMIFS(ASSEGNAZIONI!$N:$N,ASSEGNAZIONI!$B:$B,$A110),MAX($W110,0)))</f>
        <v/>
      </c>
      <c r="Z110" s="33" t="str">
        <f t="shared" si="50"/>
        <v/>
      </c>
      <c r="AA110" s="34" t="str">
        <f>IF($A110="","",IF(COUNTIFS(ASSEGNAZIONI!$B:$B,$A110)&gt;0,SUMIFS(ASSEGNAZIONI!$P:$P,ASSEGNAZIONI!$B:$B,$A110),0))</f>
        <v/>
      </c>
      <c r="AB110" s="34" t="str">
        <f t="shared" si="51"/>
        <v/>
      </c>
      <c r="AC110" s="34" t="str">
        <f t="shared" si="52"/>
        <v/>
      </c>
      <c r="AD110" s="34" t="str">
        <f t="shared" si="53"/>
        <v/>
      </c>
      <c r="AE110" s="35" t="str">
        <f t="shared" si="54"/>
        <v/>
      </c>
      <c r="AF110" s="34" t="str">
        <f t="shared" si="55"/>
        <v/>
      </c>
      <c r="AG110" s="34" t="str">
        <f t="shared" si="56"/>
        <v/>
      </c>
      <c r="AH110" s="35" t="str">
        <f>IF($A110="","",IFERROR(AVERAGEIFS(FASI!$L:$L,FASI!$B:$B,$A110),0))</f>
        <v/>
      </c>
      <c r="AI110" s="35" t="str">
        <f t="shared" si="57"/>
        <v/>
      </c>
      <c r="AJ110" s="34" t="str">
        <f>IF($A110="","",SUMIFS(SAL!$H:$H,SAL!$B:$B,$A110,SAL!$O:$O,"Emessa")+SUMIFS(SAL!$H:$H,SAL!$B:$B,$A110,SAL!$O:$O,"Incassata")+SUMIFS(SAL!$H:$H,SAL!$B:$B,$A110,SAL!$O:$O,"Scaduta"))</f>
        <v/>
      </c>
      <c r="AK110" s="34" t="str">
        <f>IF($A110="","",SUMIFS(SAL!$H:$H,SAL!$B:$B,$A110,SAL!$O:$O,"Incassata"))</f>
        <v/>
      </c>
      <c r="AL110" s="34" t="str">
        <f t="shared" si="58"/>
        <v/>
      </c>
      <c r="AM110" s="34" t="str">
        <f t="shared" si="59"/>
        <v/>
      </c>
      <c r="AN110" s="36" t="str">
        <f ca="1">IF($A110="","",IF($M110=0,"RISORSE NON ASSEGNATE",IF($AE110&lt;0.1,"MARGINE CRITICO",IF($S110&lt;-SCONTO_MAX,"SCONTO OLTRE SOGLIA",IF($Z110&gt;0,"ORE OLTRE LA STIMA",IF($AI110&gt;ALLERTA_ORE,"CONSUMO ORE ELEVATO",IF(COUNTIFS(SAL!$B:$B,$A110,SAL!$K:$K,"EMETTIBILE")&gt;0,"SAL DA EMETTERE",IF(COUNTIFS(FASI!$B:$B,$A110,FASI!$H:$H,"&lt;"&amp;TODAY(),FASI!$L:$L,"&lt;1")&gt;0,"FASI IN RITARDO","OK"))))))))</f>
        <v/>
      </c>
    </row>
    <row r="111" spans="1:40" x14ac:dyDescent="0.3">
      <c r="A111" s="42"/>
      <c r="B111" s="42"/>
      <c r="C111" s="42"/>
      <c r="D111" s="42"/>
      <c r="E111" s="42"/>
      <c r="F111" s="42"/>
      <c r="G111" s="43"/>
      <c r="H111" s="43"/>
      <c r="I111" s="42"/>
      <c r="J111" s="44"/>
      <c r="K111" s="46"/>
      <c r="L111" s="34" t="str">
        <f t="shared" si="45"/>
        <v/>
      </c>
      <c r="M111" s="33" t="str">
        <f>IF($A111="","",SUMIFS(ASSEGNAZIONI!$F:$F,ASSEGNAZIONI!$B:$B,$A111))</f>
        <v/>
      </c>
      <c r="N111" s="34" t="str">
        <f>IF($A111="","",SUMIFS(ASSEGNAZIONI!$I:$I,ASSEGNAZIONI!$B:$B,$A111))</f>
        <v/>
      </c>
      <c r="O111" s="34" t="str">
        <f>IF($A111="","",SUMIFS(ASSEGNAZIONI!$J:$J,ASSEGNAZIONI!$B:$B,$A111))</f>
        <v/>
      </c>
      <c r="P111" s="34" t="str">
        <f t="shared" si="46"/>
        <v/>
      </c>
      <c r="Q111" s="44"/>
      <c r="R111" s="34" t="str">
        <f t="shared" si="47"/>
        <v/>
      </c>
      <c r="S111" s="35" t="str">
        <f t="shared" si="48"/>
        <v/>
      </c>
      <c r="T111" s="34" t="str">
        <f>IF($A111="","",SUMIFS(ODA!$R:$R,ODA!$B:$B,$A111))</f>
        <v/>
      </c>
      <c r="U111" s="34" t="str">
        <f>IF($A111="","",SUMIFS(ODA!$P:$P,ODA!$B:$B,$A111))</f>
        <v/>
      </c>
      <c r="V111" s="45" t="str">
        <f t="shared" si="49"/>
        <v/>
      </c>
      <c r="W111" s="33" t="str">
        <f>IF($A111="","",SUMIFS(ORE!$F:$F,ORE!$B:$B,$A111))</f>
        <v/>
      </c>
      <c r="X111" s="33" t="str">
        <f>IF($A111="","",SUMIFS(PREVISIONE_ORE!$G:$G,PREVISIONE_ORE!$D:$D,$A111,PREVISIONE_ORE!$K:$K,"Sì"))</f>
        <v/>
      </c>
      <c r="Y111" s="33" t="str">
        <f>IF($A111="","",IF(COUNTIFS(ASSEGNAZIONI!$B:$B,$A111)&gt;0,SUMIFS(ASSEGNAZIONI!$N:$N,ASSEGNAZIONI!$B:$B,$A111),MAX($W111,0)))</f>
        <v/>
      </c>
      <c r="Z111" s="33" t="str">
        <f t="shared" si="50"/>
        <v/>
      </c>
      <c r="AA111" s="34" t="str">
        <f>IF($A111="","",IF(COUNTIFS(ASSEGNAZIONI!$B:$B,$A111)&gt;0,SUMIFS(ASSEGNAZIONI!$P:$P,ASSEGNAZIONI!$B:$B,$A111),0))</f>
        <v/>
      </c>
      <c r="AB111" s="34" t="str">
        <f t="shared" si="51"/>
        <v/>
      </c>
      <c r="AC111" s="34" t="str">
        <f t="shared" si="52"/>
        <v/>
      </c>
      <c r="AD111" s="34" t="str">
        <f t="shared" si="53"/>
        <v/>
      </c>
      <c r="AE111" s="35" t="str">
        <f t="shared" si="54"/>
        <v/>
      </c>
      <c r="AF111" s="34" t="str">
        <f t="shared" si="55"/>
        <v/>
      </c>
      <c r="AG111" s="34" t="str">
        <f t="shared" si="56"/>
        <v/>
      </c>
      <c r="AH111" s="35" t="str">
        <f>IF($A111="","",IFERROR(AVERAGEIFS(FASI!$L:$L,FASI!$B:$B,$A111),0))</f>
        <v/>
      </c>
      <c r="AI111" s="35" t="str">
        <f t="shared" si="57"/>
        <v/>
      </c>
      <c r="AJ111" s="34" t="str">
        <f>IF($A111="","",SUMIFS(SAL!$H:$H,SAL!$B:$B,$A111,SAL!$O:$O,"Emessa")+SUMIFS(SAL!$H:$H,SAL!$B:$B,$A111,SAL!$O:$O,"Incassata")+SUMIFS(SAL!$H:$H,SAL!$B:$B,$A111,SAL!$O:$O,"Scaduta"))</f>
        <v/>
      </c>
      <c r="AK111" s="34" t="str">
        <f>IF($A111="","",SUMIFS(SAL!$H:$H,SAL!$B:$B,$A111,SAL!$O:$O,"Incassata"))</f>
        <v/>
      </c>
      <c r="AL111" s="34" t="str">
        <f t="shared" si="58"/>
        <v/>
      </c>
      <c r="AM111" s="34" t="str">
        <f t="shared" si="59"/>
        <v/>
      </c>
      <c r="AN111" s="36" t="str">
        <f ca="1">IF($A111="","",IF($M111=0,"RISORSE NON ASSEGNATE",IF($AE111&lt;0.1,"MARGINE CRITICO",IF($S111&lt;-SCONTO_MAX,"SCONTO OLTRE SOGLIA",IF($Z111&gt;0,"ORE OLTRE LA STIMA",IF($AI111&gt;ALLERTA_ORE,"CONSUMO ORE ELEVATO",IF(COUNTIFS(SAL!$B:$B,$A111,SAL!$K:$K,"EMETTIBILE")&gt;0,"SAL DA EMETTERE",IF(COUNTIFS(FASI!$B:$B,$A111,FASI!$H:$H,"&lt;"&amp;TODAY(),FASI!$L:$L,"&lt;1")&gt;0,"FASI IN RITARDO","OK"))))))))</f>
        <v/>
      </c>
    </row>
    <row r="112" spans="1:40" x14ac:dyDescent="0.3">
      <c r="A112" s="42"/>
      <c r="B112" s="42"/>
      <c r="C112" s="42"/>
      <c r="D112" s="42"/>
      <c r="E112" s="42"/>
      <c r="F112" s="42"/>
      <c r="G112" s="43"/>
      <c r="H112" s="43"/>
      <c r="I112" s="42"/>
      <c r="J112" s="44"/>
      <c r="K112" s="46"/>
      <c r="L112" s="34" t="str">
        <f t="shared" si="45"/>
        <v/>
      </c>
      <c r="M112" s="33" t="str">
        <f>IF($A112="","",SUMIFS(ASSEGNAZIONI!$F:$F,ASSEGNAZIONI!$B:$B,$A112))</f>
        <v/>
      </c>
      <c r="N112" s="34" t="str">
        <f>IF($A112="","",SUMIFS(ASSEGNAZIONI!$I:$I,ASSEGNAZIONI!$B:$B,$A112))</f>
        <v/>
      </c>
      <c r="O112" s="34" t="str">
        <f>IF($A112="","",SUMIFS(ASSEGNAZIONI!$J:$J,ASSEGNAZIONI!$B:$B,$A112))</f>
        <v/>
      </c>
      <c r="P112" s="34" t="str">
        <f t="shared" si="46"/>
        <v/>
      </c>
      <c r="Q112" s="44"/>
      <c r="R112" s="34" t="str">
        <f t="shared" si="47"/>
        <v/>
      </c>
      <c r="S112" s="35" t="str">
        <f t="shared" si="48"/>
        <v/>
      </c>
      <c r="T112" s="34" t="str">
        <f>IF($A112="","",SUMIFS(ODA!$R:$R,ODA!$B:$B,$A112))</f>
        <v/>
      </c>
      <c r="U112" s="34" t="str">
        <f>IF($A112="","",SUMIFS(ODA!$P:$P,ODA!$B:$B,$A112))</f>
        <v/>
      </c>
      <c r="V112" s="45" t="str">
        <f t="shared" si="49"/>
        <v/>
      </c>
      <c r="W112" s="33" t="str">
        <f>IF($A112="","",SUMIFS(ORE!$F:$F,ORE!$B:$B,$A112))</f>
        <v/>
      </c>
      <c r="X112" s="33" t="str">
        <f>IF($A112="","",SUMIFS(PREVISIONE_ORE!$G:$G,PREVISIONE_ORE!$D:$D,$A112,PREVISIONE_ORE!$K:$K,"Sì"))</f>
        <v/>
      </c>
      <c r="Y112" s="33" t="str">
        <f>IF($A112="","",IF(COUNTIFS(ASSEGNAZIONI!$B:$B,$A112)&gt;0,SUMIFS(ASSEGNAZIONI!$N:$N,ASSEGNAZIONI!$B:$B,$A112),MAX($W112,0)))</f>
        <v/>
      </c>
      <c r="Z112" s="33" t="str">
        <f t="shared" si="50"/>
        <v/>
      </c>
      <c r="AA112" s="34" t="str">
        <f>IF($A112="","",IF(COUNTIFS(ASSEGNAZIONI!$B:$B,$A112)&gt;0,SUMIFS(ASSEGNAZIONI!$P:$P,ASSEGNAZIONI!$B:$B,$A112),0))</f>
        <v/>
      </c>
      <c r="AB112" s="34" t="str">
        <f t="shared" si="51"/>
        <v/>
      </c>
      <c r="AC112" s="34" t="str">
        <f t="shared" si="52"/>
        <v/>
      </c>
      <c r="AD112" s="34" t="str">
        <f t="shared" si="53"/>
        <v/>
      </c>
      <c r="AE112" s="35" t="str">
        <f t="shared" si="54"/>
        <v/>
      </c>
      <c r="AF112" s="34" t="str">
        <f t="shared" si="55"/>
        <v/>
      </c>
      <c r="AG112" s="34" t="str">
        <f t="shared" si="56"/>
        <v/>
      </c>
      <c r="AH112" s="35" t="str">
        <f>IF($A112="","",IFERROR(AVERAGEIFS(FASI!$L:$L,FASI!$B:$B,$A112),0))</f>
        <v/>
      </c>
      <c r="AI112" s="35" t="str">
        <f t="shared" si="57"/>
        <v/>
      </c>
      <c r="AJ112" s="34" t="str">
        <f>IF($A112="","",SUMIFS(SAL!$H:$H,SAL!$B:$B,$A112,SAL!$O:$O,"Emessa")+SUMIFS(SAL!$H:$H,SAL!$B:$B,$A112,SAL!$O:$O,"Incassata")+SUMIFS(SAL!$H:$H,SAL!$B:$B,$A112,SAL!$O:$O,"Scaduta"))</f>
        <v/>
      </c>
      <c r="AK112" s="34" t="str">
        <f>IF($A112="","",SUMIFS(SAL!$H:$H,SAL!$B:$B,$A112,SAL!$O:$O,"Incassata"))</f>
        <v/>
      </c>
      <c r="AL112" s="34" t="str">
        <f t="shared" si="58"/>
        <v/>
      </c>
      <c r="AM112" s="34" t="str">
        <f t="shared" si="59"/>
        <v/>
      </c>
      <c r="AN112" s="36" t="str">
        <f ca="1">IF($A112="","",IF($M112=0,"RISORSE NON ASSEGNATE",IF($AE112&lt;0.1,"MARGINE CRITICO",IF($S112&lt;-SCONTO_MAX,"SCONTO OLTRE SOGLIA",IF($Z112&gt;0,"ORE OLTRE LA STIMA",IF($AI112&gt;ALLERTA_ORE,"CONSUMO ORE ELEVATO",IF(COUNTIFS(SAL!$B:$B,$A112,SAL!$K:$K,"EMETTIBILE")&gt;0,"SAL DA EMETTERE",IF(COUNTIFS(FASI!$B:$B,$A112,FASI!$H:$H,"&lt;"&amp;TODAY(),FASI!$L:$L,"&lt;1")&gt;0,"FASI IN RITARDO","OK"))))))))</f>
        <v/>
      </c>
    </row>
    <row r="113" spans="1:40" x14ac:dyDescent="0.3">
      <c r="A113" s="42"/>
      <c r="B113" s="42"/>
      <c r="C113" s="42"/>
      <c r="D113" s="42"/>
      <c r="E113" s="42"/>
      <c r="F113" s="42"/>
      <c r="G113" s="43"/>
      <c r="H113" s="43"/>
      <c r="I113" s="42"/>
      <c r="J113" s="44"/>
      <c r="K113" s="46"/>
      <c r="L113" s="34" t="str">
        <f t="shared" si="45"/>
        <v/>
      </c>
      <c r="M113" s="33" t="str">
        <f>IF($A113="","",SUMIFS(ASSEGNAZIONI!$F:$F,ASSEGNAZIONI!$B:$B,$A113))</f>
        <v/>
      </c>
      <c r="N113" s="34" t="str">
        <f>IF($A113="","",SUMIFS(ASSEGNAZIONI!$I:$I,ASSEGNAZIONI!$B:$B,$A113))</f>
        <v/>
      </c>
      <c r="O113" s="34" t="str">
        <f>IF($A113="","",SUMIFS(ASSEGNAZIONI!$J:$J,ASSEGNAZIONI!$B:$B,$A113))</f>
        <v/>
      </c>
      <c r="P113" s="34" t="str">
        <f t="shared" si="46"/>
        <v/>
      </c>
      <c r="Q113" s="44"/>
      <c r="R113" s="34" t="str">
        <f t="shared" si="47"/>
        <v/>
      </c>
      <c r="S113" s="35" t="str">
        <f t="shared" si="48"/>
        <v/>
      </c>
      <c r="T113" s="34" t="str">
        <f>IF($A113="","",SUMIFS(ODA!$R:$R,ODA!$B:$B,$A113))</f>
        <v/>
      </c>
      <c r="U113" s="34" t="str">
        <f>IF($A113="","",SUMIFS(ODA!$P:$P,ODA!$B:$B,$A113))</f>
        <v/>
      </c>
      <c r="V113" s="45" t="str">
        <f t="shared" si="49"/>
        <v/>
      </c>
      <c r="W113" s="33" t="str">
        <f>IF($A113="","",SUMIFS(ORE!$F:$F,ORE!$B:$B,$A113))</f>
        <v/>
      </c>
      <c r="X113" s="33" t="str">
        <f>IF($A113="","",SUMIFS(PREVISIONE_ORE!$G:$G,PREVISIONE_ORE!$D:$D,$A113,PREVISIONE_ORE!$K:$K,"Sì"))</f>
        <v/>
      </c>
      <c r="Y113" s="33" t="str">
        <f>IF($A113="","",IF(COUNTIFS(ASSEGNAZIONI!$B:$B,$A113)&gt;0,SUMIFS(ASSEGNAZIONI!$N:$N,ASSEGNAZIONI!$B:$B,$A113),MAX($W113,0)))</f>
        <v/>
      </c>
      <c r="Z113" s="33" t="str">
        <f t="shared" si="50"/>
        <v/>
      </c>
      <c r="AA113" s="34" t="str">
        <f>IF($A113="","",IF(COUNTIFS(ASSEGNAZIONI!$B:$B,$A113)&gt;0,SUMIFS(ASSEGNAZIONI!$P:$P,ASSEGNAZIONI!$B:$B,$A113),0))</f>
        <v/>
      </c>
      <c r="AB113" s="34" t="str">
        <f t="shared" si="51"/>
        <v/>
      </c>
      <c r="AC113" s="34" t="str">
        <f t="shared" si="52"/>
        <v/>
      </c>
      <c r="AD113" s="34" t="str">
        <f t="shared" si="53"/>
        <v/>
      </c>
      <c r="AE113" s="35" t="str">
        <f t="shared" si="54"/>
        <v/>
      </c>
      <c r="AF113" s="34" t="str">
        <f t="shared" si="55"/>
        <v/>
      </c>
      <c r="AG113" s="34" t="str">
        <f t="shared" si="56"/>
        <v/>
      </c>
      <c r="AH113" s="35" t="str">
        <f>IF($A113="","",IFERROR(AVERAGEIFS(FASI!$L:$L,FASI!$B:$B,$A113),0))</f>
        <v/>
      </c>
      <c r="AI113" s="35" t="str">
        <f t="shared" si="57"/>
        <v/>
      </c>
      <c r="AJ113" s="34" t="str">
        <f>IF($A113="","",SUMIFS(SAL!$H:$H,SAL!$B:$B,$A113,SAL!$O:$O,"Emessa")+SUMIFS(SAL!$H:$H,SAL!$B:$B,$A113,SAL!$O:$O,"Incassata")+SUMIFS(SAL!$H:$H,SAL!$B:$B,$A113,SAL!$O:$O,"Scaduta"))</f>
        <v/>
      </c>
      <c r="AK113" s="34" t="str">
        <f>IF($A113="","",SUMIFS(SAL!$H:$H,SAL!$B:$B,$A113,SAL!$O:$O,"Incassata"))</f>
        <v/>
      </c>
      <c r="AL113" s="34" t="str">
        <f t="shared" si="58"/>
        <v/>
      </c>
      <c r="AM113" s="34" t="str">
        <f t="shared" si="59"/>
        <v/>
      </c>
      <c r="AN113" s="36" t="str">
        <f ca="1">IF($A113="","",IF($M113=0,"RISORSE NON ASSEGNATE",IF($AE113&lt;0.1,"MARGINE CRITICO",IF($S113&lt;-SCONTO_MAX,"SCONTO OLTRE SOGLIA",IF($Z113&gt;0,"ORE OLTRE LA STIMA",IF($AI113&gt;ALLERTA_ORE,"CONSUMO ORE ELEVATO",IF(COUNTIFS(SAL!$B:$B,$A113,SAL!$K:$K,"EMETTIBILE")&gt;0,"SAL DA EMETTERE",IF(COUNTIFS(FASI!$B:$B,$A113,FASI!$H:$H,"&lt;"&amp;TODAY(),FASI!$L:$L,"&lt;1")&gt;0,"FASI IN RITARDO","OK"))))))))</f>
        <v/>
      </c>
    </row>
    <row r="114" spans="1:40" x14ac:dyDescent="0.3">
      <c r="A114" s="42"/>
      <c r="B114" s="42"/>
      <c r="C114" s="42"/>
      <c r="D114" s="42"/>
      <c r="E114" s="42"/>
      <c r="F114" s="42"/>
      <c r="G114" s="43"/>
      <c r="H114" s="43"/>
      <c r="I114" s="42"/>
      <c r="J114" s="44"/>
      <c r="K114" s="46"/>
      <c r="L114" s="34" t="str">
        <f t="shared" si="45"/>
        <v/>
      </c>
      <c r="M114" s="33" t="str">
        <f>IF($A114="","",SUMIFS(ASSEGNAZIONI!$F:$F,ASSEGNAZIONI!$B:$B,$A114))</f>
        <v/>
      </c>
      <c r="N114" s="34" t="str">
        <f>IF($A114="","",SUMIFS(ASSEGNAZIONI!$I:$I,ASSEGNAZIONI!$B:$B,$A114))</f>
        <v/>
      </c>
      <c r="O114" s="34" t="str">
        <f>IF($A114="","",SUMIFS(ASSEGNAZIONI!$J:$J,ASSEGNAZIONI!$B:$B,$A114))</f>
        <v/>
      </c>
      <c r="P114" s="34" t="str">
        <f t="shared" si="46"/>
        <v/>
      </c>
      <c r="Q114" s="44"/>
      <c r="R114" s="34" t="str">
        <f t="shared" si="47"/>
        <v/>
      </c>
      <c r="S114" s="35" t="str">
        <f t="shared" si="48"/>
        <v/>
      </c>
      <c r="T114" s="34" t="str">
        <f>IF($A114="","",SUMIFS(ODA!$R:$R,ODA!$B:$B,$A114))</f>
        <v/>
      </c>
      <c r="U114" s="34" t="str">
        <f>IF($A114="","",SUMIFS(ODA!$P:$P,ODA!$B:$B,$A114))</f>
        <v/>
      </c>
      <c r="V114" s="45" t="str">
        <f t="shared" si="49"/>
        <v/>
      </c>
      <c r="W114" s="33" t="str">
        <f>IF($A114="","",SUMIFS(ORE!$F:$F,ORE!$B:$B,$A114))</f>
        <v/>
      </c>
      <c r="X114" s="33" t="str">
        <f>IF($A114="","",SUMIFS(PREVISIONE_ORE!$G:$G,PREVISIONE_ORE!$D:$D,$A114,PREVISIONE_ORE!$K:$K,"Sì"))</f>
        <v/>
      </c>
      <c r="Y114" s="33" t="str">
        <f>IF($A114="","",IF(COUNTIFS(ASSEGNAZIONI!$B:$B,$A114)&gt;0,SUMIFS(ASSEGNAZIONI!$N:$N,ASSEGNAZIONI!$B:$B,$A114),MAX($W114,0)))</f>
        <v/>
      </c>
      <c r="Z114" s="33" t="str">
        <f t="shared" si="50"/>
        <v/>
      </c>
      <c r="AA114" s="34" t="str">
        <f>IF($A114="","",IF(COUNTIFS(ASSEGNAZIONI!$B:$B,$A114)&gt;0,SUMIFS(ASSEGNAZIONI!$P:$P,ASSEGNAZIONI!$B:$B,$A114),0))</f>
        <v/>
      </c>
      <c r="AB114" s="34" t="str">
        <f t="shared" si="51"/>
        <v/>
      </c>
      <c r="AC114" s="34" t="str">
        <f t="shared" si="52"/>
        <v/>
      </c>
      <c r="AD114" s="34" t="str">
        <f t="shared" si="53"/>
        <v/>
      </c>
      <c r="AE114" s="35" t="str">
        <f t="shared" si="54"/>
        <v/>
      </c>
      <c r="AF114" s="34" t="str">
        <f t="shared" si="55"/>
        <v/>
      </c>
      <c r="AG114" s="34" t="str">
        <f t="shared" si="56"/>
        <v/>
      </c>
      <c r="AH114" s="35" t="str">
        <f>IF($A114="","",IFERROR(AVERAGEIFS(FASI!$L:$L,FASI!$B:$B,$A114),0))</f>
        <v/>
      </c>
      <c r="AI114" s="35" t="str">
        <f t="shared" si="57"/>
        <v/>
      </c>
      <c r="AJ114" s="34" t="str">
        <f>IF($A114="","",SUMIFS(SAL!$H:$H,SAL!$B:$B,$A114,SAL!$O:$O,"Emessa")+SUMIFS(SAL!$H:$H,SAL!$B:$B,$A114,SAL!$O:$O,"Incassata")+SUMIFS(SAL!$H:$H,SAL!$B:$B,$A114,SAL!$O:$O,"Scaduta"))</f>
        <v/>
      </c>
      <c r="AK114" s="34" t="str">
        <f>IF($A114="","",SUMIFS(SAL!$H:$H,SAL!$B:$B,$A114,SAL!$O:$O,"Incassata"))</f>
        <v/>
      </c>
      <c r="AL114" s="34" t="str">
        <f t="shared" si="58"/>
        <v/>
      </c>
      <c r="AM114" s="34" t="str">
        <f t="shared" si="59"/>
        <v/>
      </c>
      <c r="AN114" s="36" t="str">
        <f ca="1">IF($A114="","",IF($M114=0,"RISORSE NON ASSEGNATE",IF($AE114&lt;0.1,"MARGINE CRITICO",IF($S114&lt;-SCONTO_MAX,"SCONTO OLTRE SOGLIA",IF($Z114&gt;0,"ORE OLTRE LA STIMA",IF($AI114&gt;ALLERTA_ORE,"CONSUMO ORE ELEVATO",IF(COUNTIFS(SAL!$B:$B,$A114,SAL!$K:$K,"EMETTIBILE")&gt;0,"SAL DA EMETTERE",IF(COUNTIFS(FASI!$B:$B,$A114,FASI!$H:$H,"&lt;"&amp;TODAY(),FASI!$L:$L,"&lt;1")&gt;0,"FASI IN RITARDO","OK"))))))))</f>
        <v/>
      </c>
    </row>
    <row r="115" spans="1:40" x14ac:dyDescent="0.3">
      <c r="A115" s="42"/>
      <c r="B115" s="42"/>
      <c r="C115" s="42"/>
      <c r="D115" s="42"/>
      <c r="E115" s="42"/>
      <c r="F115" s="42"/>
      <c r="G115" s="43"/>
      <c r="H115" s="43"/>
      <c r="I115" s="42"/>
      <c r="J115" s="44"/>
      <c r="K115" s="46"/>
      <c r="L115" s="34" t="str">
        <f t="shared" si="45"/>
        <v/>
      </c>
      <c r="M115" s="33" t="str">
        <f>IF($A115="","",SUMIFS(ASSEGNAZIONI!$F:$F,ASSEGNAZIONI!$B:$B,$A115))</f>
        <v/>
      </c>
      <c r="N115" s="34" t="str">
        <f>IF($A115="","",SUMIFS(ASSEGNAZIONI!$I:$I,ASSEGNAZIONI!$B:$B,$A115))</f>
        <v/>
      </c>
      <c r="O115" s="34" t="str">
        <f>IF($A115="","",SUMIFS(ASSEGNAZIONI!$J:$J,ASSEGNAZIONI!$B:$B,$A115))</f>
        <v/>
      </c>
      <c r="P115" s="34" t="str">
        <f t="shared" si="46"/>
        <v/>
      </c>
      <c r="Q115" s="44"/>
      <c r="R115" s="34" t="str">
        <f t="shared" si="47"/>
        <v/>
      </c>
      <c r="S115" s="35" t="str">
        <f t="shared" si="48"/>
        <v/>
      </c>
      <c r="T115" s="34" t="str">
        <f>IF($A115="","",SUMIFS(ODA!$R:$R,ODA!$B:$B,$A115))</f>
        <v/>
      </c>
      <c r="U115" s="34" t="str">
        <f>IF($A115="","",SUMIFS(ODA!$P:$P,ODA!$B:$B,$A115))</f>
        <v/>
      </c>
      <c r="V115" s="45" t="str">
        <f t="shared" si="49"/>
        <v/>
      </c>
      <c r="W115" s="33" t="str">
        <f>IF($A115="","",SUMIFS(ORE!$F:$F,ORE!$B:$B,$A115))</f>
        <v/>
      </c>
      <c r="X115" s="33" t="str">
        <f>IF($A115="","",SUMIFS(PREVISIONE_ORE!$G:$G,PREVISIONE_ORE!$D:$D,$A115,PREVISIONE_ORE!$K:$K,"Sì"))</f>
        <v/>
      </c>
      <c r="Y115" s="33" t="str">
        <f>IF($A115="","",IF(COUNTIFS(ASSEGNAZIONI!$B:$B,$A115)&gt;0,SUMIFS(ASSEGNAZIONI!$N:$N,ASSEGNAZIONI!$B:$B,$A115),MAX($W115,0)))</f>
        <v/>
      </c>
      <c r="Z115" s="33" t="str">
        <f t="shared" si="50"/>
        <v/>
      </c>
      <c r="AA115" s="34" t="str">
        <f>IF($A115="","",IF(COUNTIFS(ASSEGNAZIONI!$B:$B,$A115)&gt;0,SUMIFS(ASSEGNAZIONI!$P:$P,ASSEGNAZIONI!$B:$B,$A115),0))</f>
        <v/>
      </c>
      <c r="AB115" s="34" t="str">
        <f t="shared" si="51"/>
        <v/>
      </c>
      <c r="AC115" s="34" t="str">
        <f t="shared" si="52"/>
        <v/>
      </c>
      <c r="AD115" s="34" t="str">
        <f t="shared" si="53"/>
        <v/>
      </c>
      <c r="AE115" s="35" t="str">
        <f t="shared" si="54"/>
        <v/>
      </c>
      <c r="AF115" s="34" t="str">
        <f t="shared" si="55"/>
        <v/>
      </c>
      <c r="AG115" s="34" t="str">
        <f t="shared" si="56"/>
        <v/>
      </c>
      <c r="AH115" s="35" t="str">
        <f>IF($A115="","",IFERROR(AVERAGEIFS(FASI!$L:$L,FASI!$B:$B,$A115),0))</f>
        <v/>
      </c>
      <c r="AI115" s="35" t="str">
        <f t="shared" si="57"/>
        <v/>
      </c>
      <c r="AJ115" s="34" t="str">
        <f>IF($A115="","",SUMIFS(SAL!$H:$H,SAL!$B:$B,$A115,SAL!$O:$O,"Emessa")+SUMIFS(SAL!$H:$H,SAL!$B:$B,$A115,SAL!$O:$O,"Incassata")+SUMIFS(SAL!$H:$H,SAL!$B:$B,$A115,SAL!$O:$O,"Scaduta"))</f>
        <v/>
      </c>
      <c r="AK115" s="34" t="str">
        <f>IF($A115="","",SUMIFS(SAL!$H:$H,SAL!$B:$B,$A115,SAL!$O:$O,"Incassata"))</f>
        <v/>
      </c>
      <c r="AL115" s="34" t="str">
        <f t="shared" si="58"/>
        <v/>
      </c>
      <c r="AM115" s="34" t="str">
        <f t="shared" si="59"/>
        <v/>
      </c>
      <c r="AN115" s="36" t="str">
        <f ca="1">IF($A115="","",IF($M115=0,"RISORSE NON ASSEGNATE",IF($AE115&lt;0.1,"MARGINE CRITICO",IF($S115&lt;-SCONTO_MAX,"SCONTO OLTRE SOGLIA",IF($Z115&gt;0,"ORE OLTRE LA STIMA",IF($AI115&gt;ALLERTA_ORE,"CONSUMO ORE ELEVATO",IF(COUNTIFS(SAL!$B:$B,$A115,SAL!$K:$K,"EMETTIBILE")&gt;0,"SAL DA EMETTERE",IF(COUNTIFS(FASI!$B:$B,$A115,FASI!$H:$H,"&lt;"&amp;TODAY(),FASI!$L:$L,"&lt;1")&gt;0,"FASI IN RITARDO","OK"))))))))</f>
        <v/>
      </c>
    </row>
    <row r="116" spans="1:40" x14ac:dyDescent="0.3">
      <c r="A116" s="42"/>
      <c r="B116" s="42"/>
      <c r="C116" s="42"/>
      <c r="D116" s="42"/>
      <c r="E116" s="42"/>
      <c r="F116" s="42"/>
      <c r="G116" s="43"/>
      <c r="H116" s="43"/>
      <c r="I116" s="42"/>
      <c r="J116" s="44"/>
      <c r="K116" s="46"/>
      <c r="L116" s="34" t="str">
        <f t="shared" si="45"/>
        <v/>
      </c>
      <c r="M116" s="33" t="str">
        <f>IF($A116="","",SUMIFS(ASSEGNAZIONI!$F:$F,ASSEGNAZIONI!$B:$B,$A116))</f>
        <v/>
      </c>
      <c r="N116" s="34" t="str">
        <f>IF($A116="","",SUMIFS(ASSEGNAZIONI!$I:$I,ASSEGNAZIONI!$B:$B,$A116))</f>
        <v/>
      </c>
      <c r="O116" s="34" t="str">
        <f>IF($A116="","",SUMIFS(ASSEGNAZIONI!$J:$J,ASSEGNAZIONI!$B:$B,$A116))</f>
        <v/>
      </c>
      <c r="P116" s="34" t="str">
        <f t="shared" si="46"/>
        <v/>
      </c>
      <c r="Q116" s="44"/>
      <c r="R116" s="34" t="str">
        <f t="shared" si="47"/>
        <v/>
      </c>
      <c r="S116" s="35" t="str">
        <f t="shared" si="48"/>
        <v/>
      </c>
      <c r="T116" s="34" t="str">
        <f>IF($A116="","",SUMIFS(ODA!$R:$R,ODA!$B:$B,$A116))</f>
        <v/>
      </c>
      <c r="U116" s="34" t="str">
        <f>IF($A116="","",SUMIFS(ODA!$P:$P,ODA!$B:$B,$A116))</f>
        <v/>
      </c>
      <c r="V116" s="45" t="str">
        <f t="shared" si="49"/>
        <v/>
      </c>
      <c r="W116" s="33" t="str">
        <f>IF($A116="","",SUMIFS(ORE!$F:$F,ORE!$B:$B,$A116))</f>
        <v/>
      </c>
      <c r="X116" s="33" t="str">
        <f>IF($A116="","",SUMIFS(PREVISIONE_ORE!$G:$G,PREVISIONE_ORE!$D:$D,$A116,PREVISIONE_ORE!$K:$K,"Sì"))</f>
        <v/>
      </c>
      <c r="Y116" s="33" t="str">
        <f>IF($A116="","",IF(COUNTIFS(ASSEGNAZIONI!$B:$B,$A116)&gt;0,SUMIFS(ASSEGNAZIONI!$N:$N,ASSEGNAZIONI!$B:$B,$A116),MAX($W116,0)))</f>
        <v/>
      </c>
      <c r="Z116" s="33" t="str">
        <f t="shared" si="50"/>
        <v/>
      </c>
      <c r="AA116" s="34" t="str">
        <f>IF($A116="","",IF(COUNTIFS(ASSEGNAZIONI!$B:$B,$A116)&gt;0,SUMIFS(ASSEGNAZIONI!$P:$P,ASSEGNAZIONI!$B:$B,$A116),0))</f>
        <v/>
      </c>
      <c r="AB116" s="34" t="str">
        <f t="shared" si="51"/>
        <v/>
      </c>
      <c r="AC116" s="34" t="str">
        <f t="shared" si="52"/>
        <v/>
      </c>
      <c r="AD116" s="34" t="str">
        <f t="shared" si="53"/>
        <v/>
      </c>
      <c r="AE116" s="35" t="str">
        <f t="shared" si="54"/>
        <v/>
      </c>
      <c r="AF116" s="34" t="str">
        <f t="shared" si="55"/>
        <v/>
      </c>
      <c r="AG116" s="34" t="str">
        <f t="shared" si="56"/>
        <v/>
      </c>
      <c r="AH116" s="35" t="str">
        <f>IF($A116="","",IFERROR(AVERAGEIFS(FASI!$L:$L,FASI!$B:$B,$A116),0))</f>
        <v/>
      </c>
      <c r="AI116" s="35" t="str">
        <f t="shared" si="57"/>
        <v/>
      </c>
      <c r="AJ116" s="34" t="str">
        <f>IF($A116="","",SUMIFS(SAL!$H:$H,SAL!$B:$B,$A116,SAL!$O:$O,"Emessa")+SUMIFS(SAL!$H:$H,SAL!$B:$B,$A116,SAL!$O:$O,"Incassata")+SUMIFS(SAL!$H:$H,SAL!$B:$B,$A116,SAL!$O:$O,"Scaduta"))</f>
        <v/>
      </c>
      <c r="AK116" s="34" t="str">
        <f>IF($A116="","",SUMIFS(SAL!$H:$H,SAL!$B:$B,$A116,SAL!$O:$O,"Incassata"))</f>
        <v/>
      </c>
      <c r="AL116" s="34" t="str">
        <f t="shared" si="58"/>
        <v/>
      </c>
      <c r="AM116" s="34" t="str">
        <f t="shared" si="59"/>
        <v/>
      </c>
      <c r="AN116" s="36" t="str">
        <f ca="1">IF($A116="","",IF($M116=0,"RISORSE NON ASSEGNATE",IF($AE116&lt;0.1,"MARGINE CRITICO",IF($S116&lt;-SCONTO_MAX,"SCONTO OLTRE SOGLIA",IF($Z116&gt;0,"ORE OLTRE LA STIMA",IF($AI116&gt;ALLERTA_ORE,"CONSUMO ORE ELEVATO",IF(COUNTIFS(SAL!$B:$B,$A116,SAL!$K:$K,"EMETTIBILE")&gt;0,"SAL DA EMETTERE",IF(COUNTIFS(FASI!$B:$B,$A116,FASI!$H:$H,"&lt;"&amp;TODAY(),FASI!$L:$L,"&lt;1")&gt;0,"FASI IN RITARDO","OK"))))))))</f>
        <v/>
      </c>
    </row>
    <row r="117" spans="1:40" x14ac:dyDescent="0.3">
      <c r="A117" s="42"/>
      <c r="B117" s="42"/>
      <c r="C117" s="42"/>
      <c r="D117" s="42"/>
      <c r="E117" s="42"/>
      <c r="F117" s="42"/>
      <c r="G117" s="43"/>
      <c r="H117" s="43"/>
      <c r="I117" s="42"/>
      <c r="J117" s="44"/>
      <c r="K117" s="46"/>
      <c r="L117" s="34" t="str">
        <f t="shared" si="45"/>
        <v/>
      </c>
      <c r="M117" s="33" t="str">
        <f>IF($A117="","",SUMIFS(ASSEGNAZIONI!$F:$F,ASSEGNAZIONI!$B:$B,$A117))</f>
        <v/>
      </c>
      <c r="N117" s="34" t="str">
        <f>IF($A117="","",SUMIFS(ASSEGNAZIONI!$I:$I,ASSEGNAZIONI!$B:$B,$A117))</f>
        <v/>
      </c>
      <c r="O117" s="34" t="str">
        <f>IF($A117="","",SUMIFS(ASSEGNAZIONI!$J:$J,ASSEGNAZIONI!$B:$B,$A117))</f>
        <v/>
      </c>
      <c r="P117" s="34" t="str">
        <f t="shared" si="46"/>
        <v/>
      </c>
      <c r="Q117" s="44"/>
      <c r="R117" s="34" t="str">
        <f t="shared" si="47"/>
        <v/>
      </c>
      <c r="S117" s="35" t="str">
        <f t="shared" si="48"/>
        <v/>
      </c>
      <c r="T117" s="34" t="str">
        <f>IF($A117="","",SUMIFS(ODA!$R:$R,ODA!$B:$B,$A117))</f>
        <v/>
      </c>
      <c r="U117" s="34" t="str">
        <f>IF($A117="","",SUMIFS(ODA!$P:$P,ODA!$B:$B,$A117))</f>
        <v/>
      </c>
      <c r="V117" s="45" t="str">
        <f t="shared" si="49"/>
        <v/>
      </c>
      <c r="W117" s="33" t="str">
        <f>IF($A117="","",SUMIFS(ORE!$F:$F,ORE!$B:$B,$A117))</f>
        <v/>
      </c>
      <c r="X117" s="33" t="str">
        <f>IF($A117="","",SUMIFS(PREVISIONE_ORE!$G:$G,PREVISIONE_ORE!$D:$D,$A117,PREVISIONE_ORE!$K:$K,"Sì"))</f>
        <v/>
      </c>
      <c r="Y117" s="33" t="str">
        <f>IF($A117="","",IF(COUNTIFS(ASSEGNAZIONI!$B:$B,$A117)&gt;0,SUMIFS(ASSEGNAZIONI!$N:$N,ASSEGNAZIONI!$B:$B,$A117),MAX($W117,0)))</f>
        <v/>
      </c>
      <c r="Z117" s="33" t="str">
        <f t="shared" si="50"/>
        <v/>
      </c>
      <c r="AA117" s="34" t="str">
        <f>IF($A117="","",IF(COUNTIFS(ASSEGNAZIONI!$B:$B,$A117)&gt;0,SUMIFS(ASSEGNAZIONI!$P:$P,ASSEGNAZIONI!$B:$B,$A117),0))</f>
        <v/>
      </c>
      <c r="AB117" s="34" t="str">
        <f t="shared" si="51"/>
        <v/>
      </c>
      <c r="AC117" s="34" t="str">
        <f t="shared" si="52"/>
        <v/>
      </c>
      <c r="AD117" s="34" t="str">
        <f t="shared" si="53"/>
        <v/>
      </c>
      <c r="AE117" s="35" t="str">
        <f t="shared" si="54"/>
        <v/>
      </c>
      <c r="AF117" s="34" t="str">
        <f t="shared" si="55"/>
        <v/>
      </c>
      <c r="AG117" s="34" t="str">
        <f t="shared" si="56"/>
        <v/>
      </c>
      <c r="AH117" s="35" t="str">
        <f>IF($A117="","",IFERROR(AVERAGEIFS(FASI!$L:$L,FASI!$B:$B,$A117),0))</f>
        <v/>
      </c>
      <c r="AI117" s="35" t="str">
        <f t="shared" si="57"/>
        <v/>
      </c>
      <c r="AJ117" s="34" t="str">
        <f>IF($A117="","",SUMIFS(SAL!$H:$H,SAL!$B:$B,$A117,SAL!$O:$O,"Emessa")+SUMIFS(SAL!$H:$H,SAL!$B:$B,$A117,SAL!$O:$O,"Incassata")+SUMIFS(SAL!$H:$H,SAL!$B:$B,$A117,SAL!$O:$O,"Scaduta"))</f>
        <v/>
      </c>
      <c r="AK117" s="34" t="str">
        <f>IF($A117="","",SUMIFS(SAL!$H:$H,SAL!$B:$B,$A117,SAL!$O:$O,"Incassata"))</f>
        <v/>
      </c>
      <c r="AL117" s="34" t="str">
        <f t="shared" si="58"/>
        <v/>
      </c>
      <c r="AM117" s="34" t="str">
        <f t="shared" si="59"/>
        <v/>
      </c>
      <c r="AN117" s="36" t="str">
        <f ca="1">IF($A117="","",IF($M117=0,"RISORSE NON ASSEGNATE",IF($AE117&lt;0.1,"MARGINE CRITICO",IF($S117&lt;-SCONTO_MAX,"SCONTO OLTRE SOGLIA",IF($Z117&gt;0,"ORE OLTRE LA STIMA",IF($AI117&gt;ALLERTA_ORE,"CONSUMO ORE ELEVATO",IF(COUNTIFS(SAL!$B:$B,$A117,SAL!$K:$K,"EMETTIBILE")&gt;0,"SAL DA EMETTERE",IF(COUNTIFS(FASI!$B:$B,$A117,FASI!$H:$H,"&lt;"&amp;TODAY(),FASI!$L:$L,"&lt;1")&gt;0,"FASI IN RITARDO","OK"))))))))</f>
        <v/>
      </c>
    </row>
    <row r="118" spans="1:40" x14ac:dyDescent="0.3">
      <c r="A118" s="42"/>
      <c r="B118" s="42"/>
      <c r="C118" s="42"/>
      <c r="D118" s="42"/>
      <c r="E118" s="42"/>
      <c r="F118" s="42"/>
      <c r="G118" s="43"/>
      <c r="H118" s="43"/>
      <c r="I118" s="42"/>
      <c r="J118" s="44"/>
      <c r="K118" s="46"/>
      <c r="L118" s="34" t="str">
        <f t="shared" si="45"/>
        <v/>
      </c>
      <c r="M118" s="33" t="str">
        <f>IF($A118="","",SUMIFS(ASSEGNAZIONI!$F:$F,ASSEGNAZIONI!$B:$B,$A118))</f>
        <v/>
      </c>
      <c r="N118" s="34" t="str">
        <f>IF($A118="","",SUMIFS(ASSEGNAZIONI!$I:$I,ASSEGNAZIONI!$B:$B,$A118))</f>
        <v/>
      </c>
      <c r="O118" s="34" t="str">
        <f>IF($A118="","",SUMIFS(ASSEGNAZIONI!$J:$J,ASSEGNAZIONI!$B:$B,$A118))</f>
        <v/>
      </c>
      <c r="P118" s="34" t="str">
        <f t="shared" si="46"/>
        <v/>
      </c>
      <c r="Q118" s="44"/>
      <c r="R118" s="34" t="str">
        <f t="shared" si="47"/>
        <v/>
      </c>
      <c r="S118" s="35" t="str">
        <f t="shared" si="48"/>
        <v/>
      </c>
      <c r="T118" s="34" t="str">
        <f>IF($A118="","",SUMIFS(ODA!$R:$R,ODA!$B:$B,$A118))</f>
        <v/>
      </c>
      <c r="U118" s="34" t="str">
        <f>IF($A118="","",SUMIFS(ODA!$P:$P,ODA!$B:$B,$A118))</f>
        <v/>
      </c>
      <c r="V118" s="45" t="str">
        <f t="shared" si="49"/>
        <v/>
      </c>
      <c r="W118" s="33" t="str">
        <f>IF($A118="","",SUMIFS(ORE!$F:$F,ORE!$B:$B,$A118))</f>
        <v/>
      </c>
      <c r="X118" s="33" t="str">
        <f>IF($A118="","",SUMIFS(PREVISIONE_ORE!$G:$G,PREVISIONE_ORE!$D:$D,$A118,PREVISIONE_ORE!$K:$K,"Sì"))</f>
        <v/>
      </c>
      <c r="Y118" s="33" t="str">
        <f>IF($A118="","",IF(COUNTIFS(ASSEGNAZIONI!$B:$B,$A118)&gt;0,SUMIFS(ASSEGNAZIONI!$N:$N,ASSEGNAZIONI!$B:$B,$A118),MAX($W118,0)))</f>
        <v/>
      </c>
      <c r="Z118" s="33" t="str">
        <f t="shared" si="50"/>
        <v/>
      </c>
      <c r="AA118" s="34" t="str">
        <f>IF($A118="","",IF(COUNTIFS(ASSEGNAZIONI!$B:$B,$A118)&gt;0,SUMIFS(ASSEGNAZIONI!$P:$P,ASSEGNAZIONI!$B:$B,$A118),0))</f>
        <v/>
      </c>
      <c r="AB118" s="34" t="str">
        <f t="shared" si="51"/>
        <v/>
      </c>
      <c r="AC118" s="34" t="str">
        <f t="shared" si="52"/>
        <v/>
      </c>
      <c r="AD118" s="34" t="str">
        <f t="shared" si="53"/>
        <v/>
      </c>
      <c r="AE118" s="35" t="str">
        <f t="shared" si="54"/>
        <v/>
      </c>
      <c r="AF118" s="34" t="str">
        <f t="shared" si="55"/>
        <v/>
      </c>
      <c r="AG118" s="34" t="str">
        <f t="shared" si="56"/>
        <v/>
      </c>
      <c r="AH118" s="35" t="str">
        <f>IF($A118="","",IFERROR(AVERAGEIFS(FASI!$L:$L,FASI!$B:$B,$A118),0))</f>
        <v/>
      </c>
      <c r="AI118" s="35" t="str">
        <f t="shared" si="57"/>
        <v/>
      </c>
      <c r="AJ118" s="34" t="str">
        <f>IF($A118="","",SUMIFS(SAL!$H:$H,SAL!$B:$B,$A118,SAL!$O:$O,"Emessa")+SUMIFS(SAL!$H:$H,SAL!$B:$B,$A118,SAL!$O:$O,"Incassata")+SUMIFS(SAL!$H:$H,SAL!$B:$B,$A118,SAL!$O:$O,"Scaduta"))</f>
        <v/>
      </c>
      <c r="AK118" s="34" t="str">
        <f>IF($A118="","",SUMIFS(SAL!$H:$H,SAL!$B:$B,$A118,SAL!$O:$O,"Incassata"))</f>
        <v/>
      </c>
      <c r="AL118" s="34" t="str">
        <f t="shared" si="58"/>
        <v/>
      </c>
      <c r="AM118" s="34" t="str">
        <f t="shared" si="59"/>
        <v/>
      </c>
      <c r="AN118" s="36" t="str">
        <f ca="1">IF($A118="","",IF($M118=0,"RISORSE NON ASSEGNATE",IF($AE118&lt;0.1,"MARGINE CRITICO",IF($S118&lt;-SCONTO_MAX,"SCONTO OLTRE SOGLIA",IF($Z118&gt;0,"ORE OLTRE LA STIMA",IF($AI118&gt;ALLERTA_ORE,"CONSUMO ORE ELEVATO",IF(COUNTIFS(SAL!$B:$B,$A118,SAL!$K:$K,"EMETTIBILE")&gt;0,"SAL DA EMETTERE",IF(COUNTIFS(FASI!$B:$B,$A118,FASI!$H:$H,"&lt;"&amp;TODAY(),FASI!$L:$L,"&lt;1")&gt;0,"FASI IN RITARDO","OK"))))))))</f>
        <v/>
      </c>
    </row>
    <row r="119" spans="1:40" x14ac:dyDescent="0.3">
      <c r="A119" s="42"/>
      <c r="B119" s="42"/>
      <c r="C119" s="42"/>
      <c r="D119" s="42"/>
      <c r="E119" s="42"/>
      <c r="F119" s="42"/>
      <c r="G119" s="43"/>
      <c r="H119" s="43"/>
      <c r="I119" s="42"/>
      <c r="J119" s="44"/>
      <c r="K119" s="46"/>
      <c r="L119" s="34" t="str">
        <f t="shared" si="45"/>
        <v/>
      </c>
      <c r="M119" s="33" t="str">
        <f>IF($A119="","",SUMIFS(ASSEGNAZIONI!$F:$F,ASSEGNAZIONI!$B:$B,$A119))</f>
        <v/>
      </c>
      <c r="N119" s="34" t="str">
        <f>IF($A119="","",SUMIFS(ASSEGNAZIONI!$I:$I,ASSEGNAZIONI!$B:$B,$A119))</f>
        <v/>
      </c>
      <c r="O119" s="34" t="str">
        <f>IF($A119="","",SUMIFS(ASSEGNAZIONI!$J:$J,ASSEGNAZIONI!$B:$B,$A119))</f>
        <v/>
      </c>
      <c r="P119" s="34" t="str">
        <f t="shared" si="46"/>
        <v/>
      </c>
      <c r="Q119" s="44"/>
      <c r="R119" s="34" t="str">
        <f t="shared" si="47"/>
        <v/>
      </c>
      <c r="S119" s="35" t="str">
        <f t="shared" si="48"/>
        <v/>
      </c>
      <c r="T119" s="34" t="str">
        <f>IF($A119="","",SUMIFS(ODA!$R:$R,ODA!$B:$B,$A119))</f>
        <v/>
      </c>
      <c r="U119" s="34" t="str">
        <f>IF($A119="","",SUMIFS(ODA!$P:$P,ODA!$B:$B,$A119))</f>
        <v/>
      </c>
      <c r="V119" s="45" t="str">
        <f t="shared" si="49"/>
        <v/>
      </c>
      <c r="W119" s="33" t="str">
        <f>IF($A119="","",SUMIFS(ORE!$F:$F,ORE!$B:$B,$A119))</f>
        <v/>
      </c>
      <c r="X119" s="33" t="str">
        <f>IF($A119="","",SUMIFS(PREVISIONE_ORE!$G:$G,PREVISIONE_ORE!$D:$D,$A119,PREVISIONE_ORE!$K:$K,"Sì"))</f>
        <v/>
      </c>
      <c r="Y119" s="33" t="str">
        <f>IF($A119="","",IF(COUNTIFS(ASSEGNAZIONI!$B:$B,$A119)&gt;0,SUMIFS(ASSEGNAZIONI!$N:$N,ASSEGNAZIONI!$B:$B,$A119),MAX($W119,0)))</f>
        <v/>
      </c>
      <c r="Z119" s="33" t="str">
        <f t="shared" si="50"/>
        <v/>
      </c>
      <c r="AA119" s="34" t="str">
        <f>IF($A119="","",IF(COUNTIFS(ASSEGNAZIONI!$B:$B,$A119)&gt;0,SUMIFS(ASSEGNAZIONI!$P:$P,ASSEGNAZIONI!$B:$B,$A119),0))</f>
        <v/>
      </c>
      <c r="AB119" s="34" t="str">
        <f t="shared" si="51"/>
        <v/>
      </c>
      <c r="AC119" s="34" t="str">
        <f t="shared" si="52"/>
        <v/>
      </c>
      <c r="AD119" s="34" t="str">
        <f t="shared" si="53"/>
        <v/>
      </c>
      <c r="AE119" s="35" t="str">
        <f t="shared" si="54"/>
        <v/>
      </c>
      <c r="AF119" s="34" t="str">
        <f t="shared" si="55"/>
        <v/>
      </c>
      <c r="AG119" s="34" t="str">
        <f t="shared" si="56"/>
        <v/>
      </c>
      <c r="AH119" s="35" t="str">
        <f>IF($A119="","",IFERROR(AVERAGEIFS(FASI!$L:$L,FASI!$B:$B,$A119),0))</f>
        <v/>
      </c>
      <c r="AI119" s="35" t="str">
        <f t="shared" si="57"/>
        <v/>
      </c>
      <c r="AJ119" s="34" t="str">
        <f>IF($A119="","",SUMIFS(SAL!$H:$H,SAL!$B:$B,$A119,SAL!$O:$O,"Emessa")+SUMIFS(SAL!$H:$H,SAL!$B:$B,$A119,SAL!$O:$O,"Incassata")+SUMIFS(SAL!$H:$H,SAL!$B:$B,$A119,SAL!$O:$O,"Scaduta"))</f>
        <v/>
      </c>
      <c r="AK119" s="34" t="str">
        <f>IF($A119="","",SUMIFS(SAL!$H:$H,SAL!$B:$B,$A119,SAL!$O:$O,"Incassata"))</f>
        <v/>
      </c>
      <c r="AL119" s="34" t="str">
        <f t="shared" si="58"/>
        <v/>
      </c>
      <c r="AM119" s="34" t="str">
        <f t="shared" si="59"/>
        <v/>
      </c>
      <c r="AN119" s="36" t="str">
        <f ca="1">IF($A119="","",IF($M119=0,"RISORSE NON ASSEGNATE",IF($AE119&lt;0.1,"MARGINE CRITICO",IF($S119&lt;-SCONTO_MAX,"SCONTO OLTRE SOGLIA",IF($Z119&gt;0,"ORE OLTRE LA STIMA",IF($AI119&gt;ALLERTA_ORE,"CONSUMO ORE ELEVATO",IF(COUNTIFS(SAL!$B:$B,$A119,SAL!$K:$K,"EMETTIBILE")&gt;0,"SAL DA EMETTERE",IF(COUNTIFS(FASI!$B:$B,$A119,FASI!$H:$H,"&lt;"&amp;TODAY(),FASI!$L:$L,"&lt;1")&gt;0,"FASI IN RITARDO","OK"))))))))</f>
        <v/>
      </c>
    </row>
    <row r="120" spans="1:40" x14ac:dyDescent="0.3">
      <c r="A120" s="42"/>
      <c r="B120" s="42"/>
      <c r="C120" s="42"/>
      <c r="D120" s="42"/>
      <c r="E120" s="42"/>
      <c r="F120" s="42"/>
      <c r="G120" s="43"/>
      <c r="H120" s="43"/>
      <c r="I120" s="42"/>
      <c r="J120" s="44"/>
      <c r="K120" s="46"/>
      <c r="L120" s="34" t="str">
        <f t="shared" si="45"/>
        <v/>
      </c>
      <c r="M120" s="33" t="str">
        <f>IF($A120="","",SUMIFS(ASSEGNAZIONI!$F:$F,ASSEGNAZIONI!$B:$B,$A120))</f>
        <v/>
      </c>
      <c r="N120" s="34" t="str">
        <f>IF($A120="","",SUMIFS(ASSEGNAZIONI!$I:$I,ASSEGNAZIONI!$B:$B,$A120))</f>
        <v/>
      </c>
      <c r="O120" s="34" t="str">
        <f>IF($A120="","",SUMIFS(ASSEGNAZIONI!$J:$J,ASSEGNAZIONI!$B:$B,$A120))</f>
        <v/>
      </c>
      <c r="P120" s="34" t="str">
        <f t="shared" si="46"/>
        <v/>
      </c>
      <c r="Q120" s="44"/>
      <c r="R120" s="34" t="str">
        <f t="shared" si="47"/>
        <v/>
      </c>
      <c r="S120" s="35" t="str">
        <f t="shared" si="48"/>
        <v/>
      </c>
      <c r="T120" s="34" t="str">
        <f>IF($A120="","",SUMIFS(ODA!$R:$R,ODA!$B:$B,$A120))</f>
        <v/>
      </c>
      <c r="U120" s="34" t="str">
        <f>IF($A120="","",SUMIFS(ODA!$P:$P,ODA!$B:$B,$A120))</f>
        <v/>
      </c>
      <c r="V120" s="45" t="str">
        <f t="shared" si="49"/>
        <v/>
      </c>
      <c r="W120" s="33" t="str">
        <f>IF($A120="","",SUMIFS(ORE!$F:$F,ORE!$B:$B,$A120))</f>
        <v/>
      </c>
      <c r="X120" s="33" t="str">
        <f>IF($A120="","",SUMIFS(PREVISIONE_ORE!$G:$G,PREVISIONE_ORE!$D:$D,$A120,PREVISIONE_ORE!$K:$K,"Sì"))</f>
        <v/>
      </c>
      <c r="Y120" s="33" t="str">
        <f>IF($A120="","",IF(COUNTIFS(ASSEGNAZIONI!$B:$B,$A120)&gt;0,SUMIFS(ASSEGNAZIONI!$N:$N,ASSEGNAZIONI!$B:$B,$A120),MAX($W120,0)))</f>
        <v/>
      </c>
      <c r="Z120" s="33" t="str">
        <f t="shared" si="50"/>
        <v/>
      </c>
      <c r="AA120" s="34" t="str">
        <f>IF($A120="","",IF(COUNTIFS(ASSEGNAZIONI!$B:$B,$A120)&gt;0,SUMIFS(ASSEGNAZIONI!$P:$P,ASSEGNAZIONI!$B:$B,$A120),0))</f>
        <v/>
      </c>
      <c r="AB120" s="34" t="str">
        <f t="shared" si="51"/>
        <v/>
      </c>
      <c r="AC120" s="34" t="str">
        <f t="shared" si="52"/>
        <v/>
      </c>
      <c r="AD120" s="34" t="str">
        <f t="shared" si="53"/>
        <v/>
      </c>
      <c r="AE120" s="35" t="str">
        <f t="shared" si="54"/>
        <v/>
      </c>
      <c r="AF120" s="34" t="str">
        <f t="shared" si="55"/>
        <v/>
      </c>
      <c r="AG120" s="34" t="str">
        <f t="shared" si="56"/>
        <v/>
      </c>
      <c r="AH120" s="35" t="str">
        <f>IF($A120="","",IFERROR(AVERAGEIFS(FASI!$L:$L,FASI!$B:$B,$A120),0))</f>
        <v/>
      </c>
      <c r="AI120" s="35" t="str">
        <f t="shared" si="57"/>
        <v/>
      </c>
      <c r="AJ120" s="34" t="str">
        <f>IF($A120="","",SUMIFS(SAL!$H:$H,SAL!$B:$B,$A120,SAL!$O:$O,"Emessa")+SUMIFS(SAL!$H:$H,SAL!$B:$B,$A120,SAL!$O:$O,"Incassata")+SUMIFS(SAL!$H:$H,SAL!$B:$B,$A120,SAL!$O:$O,"Scaduta"))</f>
        <v/>
      </c>
      <c r="AK120" s="34" t="str">
        <f>IF($A120="","",SUMIFS(SAL!$H:$H,SAL!$B:$B,$A120,SAL!$O:$O,"Incassata"))</f>
        <v/>
      </c>
      <c r="AL120" s="34" t="str">
        <f t="shared" si="58"/>
        <v/>
      </c>
      <c r="AM120" s="34" t="str">
        <f t="shared" si="59"/>
        <v/>
      </c>
      <c r="AN120" s="36" t="str">
        <f ca="1">IF($A120="","",IF($M120=0,"RISORSE NON ASSEGNATE",IF($AE120&lt;0.1,"MARGINE CRITICO",IF($S120&lt;-SCONTO_MAX,"SCONTO OLTRE SOGLIA",IF($Z120&gt;0,"ORE OLTRE LA STIMA",IF($AI120&gt;ALLERTA_ORE,"CONSUMO ORE ELEVATO",IF(COUNTIFS(SAL!$B:$B,$A120,SAL!$K:$K,"EMETTIBILE")&gt;0,"SAL DA EMETTERE",IF(COUNTIFS(FASI!$B:$B,$A120,FASI!$H:$H,"&lt;"&amp;TODAY(),FASI!$L:$L,"&lt;1")&gt;0,"FASI IN RITARDO","OK"))))))))</f>
        <v/>
      </c>
    </row>
    <row r="121" spans="1:40" x14ac:dyDescent="0.3">
      <c r="A121" s="42"/>
      <c r="B121" s="42"/>
      <c r="C121" s="42"/>
      <c r="D121" s="42"/>
      <c r="E121" s="42"/>
      <c r="F121" s="42"/>
      <c r="G121" s="43"/>
      <c r="H121" s="43"/>
      <c r="I121" s="42"/>
      <c r="J121" s="44"/>
      <c r="K121" s="46"/>
      <c r="L121" s="34" t="str">
        <f t="shared" si="45"/>
        <v/>
      </c>
      <c r="M121" s="33" t="str">
        <f>IF($A121="","",SUMIFS(ASSEGNAZIONI!$F:$F,ASSEGNAZIONI!$B:$B,$A121))</f>
        <v/>
      </c>
      <c r="N121" s="34" t="str">
        <f>IF($A121="","",SUMIFS(ASSEGNAZIONI!$I:$I,ASSEGNAZIONI!$B:$B,$A121))</f>
        <v/>
      </c>
      <c r="O121" s="34" t="str">
        <f>IF($A121="","",SUMIFS(ASSEGNAZIONI!$J:$J,ASSEGNAZIONI!$B:$B,$A121))</f>
        <v/>
      </c>
      <c r="P121" s="34" t="str">
        <f t="shared" si="46"/>
        <v/>
      </c>
      <c r="Q121" s="44"/>
      <c r="R121" s="34" t="str">
        <f t="shared" si="47"/>
        <v/>
      </c>
      <c r="S121" s="35" t="str">
        <f t="shared" si="48"/>
        <v/>
      </c>
      <c r="T121" s="34" t="str">
        <f>IF($A121="","",SUMIFS(ODA!$R:$R,ODA!$B:$B,$A121))</f>
        <v/>
      </c>
      <c r="U121" s="34" t="str">
        <f>IF($A121="","",SUMIFS(ODA!$P:$P,ODA!$B:$B,$A121))</f>
        <v/>
      </c>
      <c r="V121" s="45" t="str">
        <f t="shared" si="49"/>
        <v/>
      </c>
      <c r="W121" s="33" t="str">
        <f>IF($A121="","",SUMIFS(ORE!$F:$F,ORE!$B:$B,$A121))</f>
        <v/>
      </c>
      <c r="X121" s="33" t="str">
        <f>IF($A121="","",SUMIFS(PREVISIONE_ORE!$G:$G,PREVISIONE_ORE!$D:$D,$A121,PREVISIONE_ORE!$K:$K,"Sì"))</f>
        <v/>
      </c>
      <c r="Y121" s="33" t="str">
        <f>IF($A121="","",IF(COUNTIFS(ASSEGNAZIONI!$B:$B,$A121)&gt;0,SUMIFS(ASSEGNAZIONI!$N:$N,ASSEGNAZIONI!$B:$B,$A121),MAX($W121,0)))</f>
        <v/>
      </c>
      <c r="Z121" s="33" t="str">
        <f t="shared" si="50"/>
        <v/>
      </c>
      <c r="AA121" s="34" t="str">
        <f>IF($A121="","",IF(COUNTIFS(ASSEGNAZIONI!$B:$B,$A121)&gt;0,SUMIFS(ASSEGNAZIONI!$P:$P,ASSEGNAZIONI!$B:$B,$A121),0))</f>
        <v/>
      </c>
      <c r="AB121" s="34" t="str">
        <f t="shared" si="51"/>
        <v/>
      </c>
      <c r="AC121" s="34" t="str">
        <f t="shared" si="52"/>
        <v/>
      </c>
      <c r="AD121" s="34" t="str">
        <f t="shared" si="53"/>
        <v/>
      </c>
      <c r="AE121" s="35" t="str">
        <f t="shared" si="54"/>
        <v/>
      </c>
      <c r="AF121" s="34" t="str">
        <f t="shared" si="55"/>
        <v/>
      </c>
      <c r="AG121" s="34" t="str">
        <f t="shared" si="56"/>
        <v/>
      </c>
      <c r="AH121" s="35" t="str">
        <f>IF($A121="","",IFERROR(AVERAGEIFS(FASI!$L:$L,FASI!$B:$B,$A121),0))</f>
        <v/>
      </c>
      <c r="AI121" s="35" t="str">
        <f t="shared" si="57"/>
        <v/>
      </c>
      <c r="AJ121" s="34" t="str">
        <f>IF($A121="","",SUMIFS(SAL!$H:$H,SAL!$B:$B,$A121,SAL!$O:$O,"Emessa")+SUMIFS(SAL!$H:$H,SAL!$B:$B,$A121,SAL!$O:$O,"Incassata")+SUMIFS(SAL!$H:$H,SAL!$B:$B,$A121,SAL!$O:$O,"Scaduta"))</f>
        <v/>
      </c>
      <c r="AK121" s="34" t="str">
        <f>IF($A121="","",SUMIFS(SAL!$H:$H,SAL!$B:$B,$A121,SAL!$O:$O,"Incassata"))</f>
        <v/>
      </c>
      <c r="AL121" s="34" t="str">
        <f t="shared" si="58"/>
        <v/>
      </c>
      <c r="AM121" s="34" t="str">
        <f t="shared" si="59"/>
        <v/>
      </c>
      <c r="AN121" s="36" t="str">
        <f ca="1">IF($A121="","",IF($M121=0,"RISORSE NON ASSEGNATE",IF($AE121&lt;0.1,"MARGINE CRITICO",IF($S121&lt;-SCONTO_MAX,"SCONTO OLTRE SOGLIA",IF($Z121&gt;0,"ORE OLTRE LA STIMA",IF($AI121&gt;ALLERTA_ORE,"CONSUMO ORE ELEVATO",IF(COUNTIFS(SAL!$B:$B,$A121,SAL!$K:$K,"EMETTIBILE")&gt;0,"SAL DA EMETTERE",IF(COUNTIFS(FASI!$B:$B,$A121,FASI!$H:$H,"&lt;"&amp;TODAY(),FASI!$L:$L,"&lt;1")&gt;0,"FASI IN RITARDO","OK"))))))))</f>
        <v/>
      </c>
    </row>
    <row r="122" spans="1:40" x14ac:dyDescent="0.3">
      <c r="A122" s="42"/>
      <c r="B122" s="42"/>
      <c r="C122" s="42"/>
      <c r="D122" s="42"/>
      <c r="E122" s="42"/>
      <c r="F122" s="42"/>
      <c r="G122" s="43"/>
      <c r="H122" s="43"/>
      <c r="I122" s="42"/>
      <c r="J122" s="44"/>
      <c r="K122" s="46"/>
      <c r="L122" s="34" t="str">
        <f t="shared" si="45"/>
        <v/>
      </c>
      <c r="M122" s="33" t="str">
        <f>IF($A122="","",SUMIFS(ASSEGNAZIONI!$F:$F,ASSEGNAZIONI!$B:$B,$A122))</f>
        <v/>
      </c>
      <c r="N122" s="34" t="str">
        <f>IF($A122="","",SUMIFS(ASSEGNAZIONI!$I:$I,ASSEGNAZIONI!$B:$B,$A122))</f>
        <v/>
      </c>
      <c r="O122" s="34" t="str">
        <f>IF($A122="","",SUMIFS(ASSEGNAZIONI!$J:$J,ASSEGNAZIONI!$B:$B,$A122))</f>
        <v/>
      </c>
      <c r="P122" s="34" t="str">
        <f t="shared" si="46"/>
        <v/>
      </c>
      <c r="Q122" s="44"/>
      <c r="R122" s="34" t="str">
        <f t="shared" si="47"/>
        <v/>
      </c>
      <c r="S122" s="35" t="str">
        <f t="shared" si="48"/>
        <v/>
      </c>
      <c r="T122" s="34" t="str">
        <f>IF($A122="","",SUMIFS(ODA!$R:$R,ODA!$B:$B,$A122))</f>
        <v/>
      </c>
      <c r="U122" s="34" t="str">
        <f>IF($A122="","",SUMIFS(ODA!$P:$P,ODA!$B:$B,$A122))</f>
        <v/>
      </c>
      <c r="V122" s="45" t="str">
        <f t="shared" si="49"/>
        <v/>
      </c>
      <c r="W122" s="33" t="str">
        <f>IF($A122="","",SUMIFS(ORE!$F:$F,ORE!$B:$B,$A122))</f>
        <v/>
      </c>
      <c r="X122" s="33" t="str">
        <f>IF($A122="","",SUMIFS(PREVISIONE_ORE!$G:$G,PREVISIONE_ORE!$D:$D,$A122,PREVISIONE_ORE!$K:$K,"Sì"))</f>
        <v/>
      </c>
      <c r="Y122" s="33" t="str">
        <f>IF($A122="","",IF(COUNTIFS(ASSEGNAZIONI!$B:$B,$A122)&gt;0,SUMIFS(ASSEGNAZIONI!$N:$N,ASSEGNAZIONI!$B:$B,$A122),MAX($W122,0)))</f>
        <v/>
      </c>
      <c r="Z122" s="33" t="str">
        <f t="shared" si="50"/>
        <v/>
      </c>
      <c r="AA122" s="34" t="str">
        <f>IF($A122="","",IF(COUNTIFS(ASSEGNAZIONI!$B:$B,$A122)&gt;0,SUMIFS(ASSEGNAZIONI!$P:$P,ASSEGNAZIONI!$B:$B,$A122),0))</f>
        <v/>
      </c>
      <c r="AB122" s="34" t="str">
        <f t="shared" si="51"/>
        <v/>
      </c>
      <c r="AC122" s="34" t="str">
        <f t="shared" si="52"/>
        <v/>
      </c>
      <c r="AD122" s="34" t="str">
        <f t="shared" si="53"/>
        <v/>
      </c>
      <c r="AE122" s="35" t="str">
        <f t="shared" si="54"/>
        <v/>
      </c>
      <c r="AF122" s="34" t="str">
        <f t="shared" si="55"/>
        <v/>
      </c>
      <c r="AG122" s="34" t="str">
        <f t="shared" si="56"/>
        <v/>
      </c>
      <c r="AH122" s="35" t="str">
        <f>IF($A122="","",IFERROR(AVERAGEIFS(FASI!$L:$L,FASI!$B:$B,$A122),0))</f>
        <v/>
      </c>
      <c r="AI122" s="35" t="str">
        <f t="shared" si="57"/>
        <v/>
      </c>
      <c r="AJ122" s="34" t="str">
        <f>IF($A122="","",SUMIFS(SAL!$H:$H,SAL!$B:$B,$A122,SAL!$O:$O,"Emessa")+SUMIFS(SAL!$H:$H,SAL!$B:$B,$A122,SAL!$O:$O,"Incassata")+SUMIFS(SAL!$H:$H,SAL!$B:$B,$A122,SAL!$O:$O,"Scaduta"))</f>
        <v/>
      </c>
      <c r="AK122" s="34" t="str">
        <f>IF($A122="","",SUMIFS(SAL!$H:$H,SAL!$B:$B,$A122,SAL!$O:$O,"Incassata"))</f>
        <v/>
      </c>
      <c r="AL122" s="34" t="str">
        <f t="shared" si="58"/>
        <v/>
      </c>
      <c r="AM122" s="34" t="str">
        <f t="shared" si="59"/>
        <v/>
      </c>
      <c r="AN122" s="36" t="str">
        <f ca="1">IF($A122="","",IF($M122=0,"RISORSE NON ASSEGNATE",IF($AE122&lt;0.1,"MARGINE CRITICO",IF($S122&lt;-SCONTO_MAX,"SCONTO OLTRE SOGLIA",IF($Z122&gt;0,"ORE OLTRE LA STIMA",IF($AI122&gt;ALLERTA_ORE,"CONSUMO ORE ELEVATO",IF(COUNTIFS(SAL!$B:$B,$A122,SAL!$K:$K,"EMETTIBILE")&gt;0,"SAL DA EMETTERE",IF(COUNTIFS(FASI!$B:$B,$A122,FASI!$H:$H,"&lt;"&amp;TODAY(),FASI!$L:$L,"&lt;1")&gt;0,"FASI IN RITARDO","OK"))))))))</f>
        <v/>
      </c>
    </row>
    <row r="123" spans="1:40" x14ac:dyDescent="0.3">
      <c r="A123" s="42"/>
      <c r="B123" s="42"/>
      <c r="C123" s="42"/>
      <c r="D123" s="42"/>
      <c r="E123" s="42"/>
      <c r="F123" s="42"/>
      <c r="G123" s="43"/>
      <c r="H123" s="43"/>
      <c r="I123" s="42"/>
      <c r="J123" s="44"/>
      <c r="K123" s="46"/>
      <c r="L123" s="34" t="str">
        <f t="shared" si="45"/>
        <v/>
      </c>
      <c r="M123" s="33" t="str">
        <f>IF($A123="","",SUMIFS(ASSEGNAZIONI!$F:$F,ASSEGNAZIONI!$B:$B,$A123))</f>
        <v/>
      </c>
      <c r="N123" s="34" t="str">
        <f>IF($A123="","",SUMIFS(ASSEGNAZIONI!$I:$I,ASSEGNAZIONI!$B:$B,$A123))</f>
        <v/>
      </c>
      <c r="O123" s="34" t="str">
        <f>IF($A123="","",SUMIFS(ASSEGNAZIONI!$J:$J,ASSEGNAZIONI!$B:$B,$A123))</f>
        <v/>
      </c>
      <c r="P123" s="34" t="str">
        <f t="shared" si="46"/>
        <v/>
      </c>
      <c r="Q123" s="44"/>
      <c r="R123" s="34" t="str">
        <f t="shared" si="47"/>
        <v/>
      </c>
      <c r="S123" s="35" t="str">
        <f t="shared" si="48"/>
        <v/>
      </c>
      <c r="T123" s="34" t="str">
        <f>IF($A123="","",SUMIFS(ODA!$R:$R,ODA!$B:$B,$A123))</f>
        <v/>
      </c>
      <c r="U123" s="34" t="str">
        <f>IF($A123="","",SUMIFS(ODA!$P:$P,ODA!$B:$B,$A123))</f>
        <v/>
      </c>
      <c r="V123" s="45" t="str">
        <f t="shared" si="49"/>
        <v/>
      </c>
      <c r="W123" s="33" t="str">
        <f>IF($A123="","",SUMIFS(ORE!$F:$F,ORE!$B:$B,$A123))</f>
        <v/>
      </c>
      <c r="X123" s="33" t="str">
        <f>IF($A123="","",SUMIFS(PREVISIONE_ORE!$G:$G,PREVISIONE_ORE!$D:$D,$A123,PREVISIONE_ORE!$K:$K,"Sì"))</f>
        <v/>
      </c>
      <c r="Y123" s="33" t="str">
        <f>IF($A123="","",IF(COUNTIFS(ASSEGNAZIONI!$B:$B,$A123)&gt;0,SUMIFS(ASSEGNAZIONI!$N:$N,ASSEGNAZIONI!$B:$B,$A123),MAX($W123,0)))</f>
        <v/>
      </c>
      <c r="Z123" s="33" t="str">
        <f t="shared" si="50"/>
        <v/>
      </c>
      <c r="AA123" s="34" t="str">
        <f>IF($A123="","",IF(COUNTIFS(ASSEGNAZIONI!$B:$B,$A123)&gt;0,SUMIFS(ASSEGNAZIONI!$P:$P,ASSEGNAZIONI!$B:$B,$A123),0))</f>
        <v/>
      </c>
      <c r="AB123" s="34" t="str">
        <f t="shared" si="51"/>
        <v/>
      </c>
      <c r="AC123" s="34" t="str">
        <f t="shared" si="52"/>
        <v/>
      </c>
      <c r="AD123" s="34" t="str">
        <f t="shared" si="53"/>
        <v/>
      </c>
      <c r="AE123" s="35" t="str">
        <f t="shared" si="54"/>
        <v/>
      </c>
      <c r="AF123" s="34" t="str">
        <f t="shared" si="55"/>
        <v/>
      </c>
      <c r="AG123" s="34" t="str">
        <f t="shared" si="56"/>
        <v/>
      </c>
      <c r="AH123" s="35" t="str">
        <f>IF($A123="","",IFERROR(AVERAGEIFS(FASI!$L:$L,FASI!$B:$B,$A123),0))</f>
        <v/>
      </c>
      <c r="AI123" s="35" t="str">
        <f t="shared" si="57"/>
        <v/>
      </c>
      <c r="AJ123" s="34" t="str">
        <f>IF($A123="","",SUMIFS(SAL!$H:$H,SAL!$B:$B,$A123,SAL!$O:$O,"Emessa")+SUMIFS(SAL!$H:$H,SAL!$B:$B,$A123,SAL!$O:$O,"Incassata")+SUMIFS(SAL!$H:$H,SAL!$B:$B,$A123,SAL!$O:$O,"Scaduta"))</f>
        <v/>
      </c>
      <c r="AK123" s="34" t="str">
        <f>IF($A123="","",SUMIFS(SAL!$H:$H,SAL!$B:$B,$A123,SAL!$O:$O,"Incassata"))</f>
        <v/>
      </c>
      <c r="AL123" s="34" t="str">
        <f t="shared" si="58"/>
        <v/>
      </c>
      <c r="AM123" s="34" t="str">
        <f t="shared" si="59"/>
        <v/>
      </c>
      <c r="AN123" s="36" t="str">
        <f ca="1">IF($A123="","",IF($M123=0,"RISORSE NON ASSEGNATE",IF($AE123&lt;0.1,"MARGINE CRITICO",IF($S123&lt;-SCONTO_MAX,"SCONTO OLTRE SOGLIA",IF($Z123&gt;0,"ORE OLTRE LA STIMA",IF($AI123&gt;ALLERTA_ORE,"CONSUMO ORE ELEVATO",IF(COUNTIFS(SAL!$B:$B,$A123,SAL!$K:$K,"EMETTIBILE")&gt;0,"SAL DA EMETTERE",IF(COUNTIFS(FASI!$B:$B,$A123,FASI!$H:$H,"&lt;"&amp;TODAY(),FASI!$L:$L,"&lt;1")&gt;0,"FASI IN RITARDO","OK"))))))))</f>
        <v/>
      </c>
    </row>
    <row r="124" spans="1:40" x14ac:dyDescent="0.3">
      <c r="A124" s="42"/>
      <c r="B124" s="42"/>
      <c r="C124" s="42"/>
      <c r="D124" s="42"/>
      <c r="E124" s="42"/>
      <c r="F124" s="42"/>
      <c r="G124" s="43"/>
      <c r="H124" s="43"/>
      <c r="I124" s="42"/>
      <c r="J124" s="44"/>
      <c r="K124" s="46"/>
      <c r="L124" s="34" t="str">
        <f t="shared" si="45"/>
        <v/>
      </c>
      <c r="M124" s="33" t="str">
        <f>IF($A124="","",SUMIFS(ASSEGNAZIONI!$F:$F,ASSEGNAZIONI!$B:$B,$A124))</f>
        <v/>
      </c>
      <c r="N124" s="34" t="str">
        <f>IF($A124="","",SUMIFS(ASSEGNAZIONI!$I:$I,ASSEGNAZIONI!$B:$B,$A124))</f>
        <v/>
      </c>
      <c r="O124" s="34" t="str">
        <f>IF($A124="","",SUMIFS(ASSEGNAZIONI!$J:$J,ASSEGNAZIONI!$B:$B,$A124))</f>
        <v/>
      </c>
      <c r="P124" s="34" t="str">
        <f t="shared" si="46"/>
        <v/>
      </c>
      <c r="Q124" s="44"/>
      <c r="R124" s="34" t="str">
        <f t="shared" si="47"/>
        <v/>
      </c>
      <c r="S124" s="35" t="str">
        <f t="shared" si="48"/>
        <v/>
      </c>
      <c r="T124" s="34" t="str">
        <f>IF($A124="","",SUMIFS(ODA!$R:$R,ODA!$B:$B,$A124))</f>
        <v/>
      </c>
      <c r="U124" s="34" t="str">
        <f>IF($A124="","",SUMIFS(ODA!$P:$P,ODA!$B:$B,$A124))</f>
        <v/>
      </c>
      <c r="V124" s="45" t="str">
        <f t="shared" si="49"/>
        <v/>
      </c>
      <c r="W124" s="33" t="str">
        <f>IF($A124="","",SUMIFS(ORE!$F:$F,ORE!$B:$B,$A124))</f>
        <v/>
      </c>
      <c r="X124" s="33" t="str">
        <f>IF($A124="","",SUMIFS(PREVISIONE_ORE!$G:$G,PREVISIONE_ORE!$D:$D,$A124,PREVISIONE_ORE!$K:$K,"Sì"))</f>
        <v/>
      </c>
      <c r="Y124" s="33" t="str">
        <f>IF($A124="","",IF(COUNTIFS(ASSEGNAZIONI!$B:$B,$A124)&gt;0,SUMIFS(ASSEGNAZIONI!$N:$N,ASSEGNAZIONI!$B:$B,$A124),MAX($W124,0)))</f>
        <v/>
      </c>
      <c r="Z124" s="33" t="str">
        <f t="shared" si="50"/>
        <v/>
      </c>
      <c r="AA124" s="34" t="str">
        <f>IF($A124="","",IF(COUNTIFS(ASSEGNAZIONI!$B:$B,$A124)&gt;0,SUMIFS(ASSEGNAZIONI!$P:$P,ASSEGNAZIONI!$B:$B,$A124),0))</f>
        <v/>
      </c>
      <c r="AB124" s="34" t="str">
        <f t="shared" si="51"/>
        <v/>
      </c>
      <c r="AC124" s="34" t="str">
        <f t="shared" si="52"/>
        <v/>
      </c>
      <c r="AD124" s="34" t="str">
        <f t="shared" si="53"/>
        <v/>
      </c>
      <c r="AE124" s="35" t="str">
        <f t="shared" si="54"/>
        <v/>
      </c>
      <c r="AF124" s="34" t="str">
        <f t="shared" si="55"/>
        <v/>
      </c>
      <c r="AG124" s="34" t="str">
        <f t="shared" si="56"/>
        <v/>
      </c>
      <c r="AH124" s="35" t="str">
        <f>IF($A124="","",IFERROR(AVERAGEIFS(FASI!$L:$L,FASI!$B:$B,$A124),0))</f>
        <v/>
      </c>
      <c r="AI124" s="35" t="str">
        <f t="shared" si="57"/>
        <v/>
      </c>
      <c r="AJ124" s="34" t="str">
        <f>IF($A124="","",SUMIFS(SAL!$H:$H,SAL!$B:$B,$A124,SAL!$O:$O,"Emessa")+SUMIFS(SAL!$H:$H,SAL!$B:$B,$A124,SAL!$O:$O,"Incassata")+SUMIFS(SAL!$H:$H,SAL!$B:$B,$A124,SAL!$O:$O,"Scaduta"))</f>
        <v/>
      </c>
      <c r="AK124" s="34" t="str">
        <f>IF($A124="","",SUMIFS(SAL!$H:$H,SAL!$B:$B,$A124,SAL!$O:$O,"Incassata"))</f>
        <v/>
      </c>
      <c r="AL124" s="34" t="str">
        <f t="shared" si="58"/>
        <v/>
      </c>
      <c r="AM124" s="34" t="str">
        <f t="shared" si="59"/>
        <v/>
      </c>
      <c r="AN124" s="36" t="str">
        <f ca="1">IF($A124="","",IF($M124=0,"RISORSE NON ASSEGNATE",IF($AE124&lt;0.1,"MARGINE CRITICO",IF($S124&lt;-SCONTO_MAX,"SCONTO OLTRE SOGLIA",IF($Z124&gt;0,"ORE OLTRE LA STIMA",IF($AI124&gt;ALLERTA_ORE,"CONSUMO ORE ELEVATO",IF(COUNTIFS(SAL!$B:$B,$A124,SAL!$K:$K,"EMETTIBILE")&gt;0,"SAL DA EMETTERE",IF(COUNTIFS(FASI!$B:$B,$A124,FASI!$H:$H,"&lt;"&amp;TODAY(),FASI!$L:$L,"&lt;1")&gt;0,"FASI IN RITARDO","OK"))))))))</f>
        <v/>
      </c>
    </row>
    <row r="125" spans="1:40" x14ac:dyDescent="0.3">
      <c r="A125" s="42"/>
      <c r="B125" s="42"/>
      <c r="C125" s="42"/>
      <c r="D125" s="42"/>
      <c r="E125" s="42"/>
      <c r="F125" s="42"/>
      <c r="G125" s="43"/>
      <c r="H125" s="43"/>
      <c r="I125" s="42"/>
      <c r="J125" s="44"/>
      <c r="K125" s="46"/>
      <c r="L125" s="34" t="str">
        <f t="shared" si="45"/>
        <v/>
      </c>
      <c r="M125" s="33" t="str">
        <f>IF($A125="","",SUMIFS(ASSEGNAZIONI!$F:$F,ASSEGNAZIONI!$B:$B,$A125))</f>
        <v/>
      </c>
      <c r="N125" s="34" t="str">
        <f>IF($A125="","",SUMIFS(ASSEGNAZIONI!$I:$I,ASSEGNAZIONI!$B:$B,$A125))</f>
        <v/>
      </c>
      <c r="O125" s="34" t="str">
        <f>IF($A125="","",SUMIFS(ASSEGNAZIONI!$J:$J,ASSEGNAZIONI!$B:$B,$A125))</f>
        <v/>
      </c>
      <c r="P125" s="34" t="str">
        <f t="shared" si="46"/>
        <v/>
      </c>
      <c r="Q125" s="44"/>
      <c r="R125" s="34" t="str">
        <f t="shared" si="47"/>
        <v/>
      </c>
      <c r="S125" s="35" t="str">
        <f t="shared" si="48"/>
        <v/>
      </c>
      <c r="T125" s="34" t="str">
        <f>IF($A125="","",SUMIFS(ODA!$R:$R,ODA!$B:$B,$A125))</f>
        <v/>
      </c>
      <c r="U125" s="34" t="str">
        <f>IF($A125="","",SUMIFS(ODA!$P:$P,ODA!$B:$B,$A125))</f>
        <v/>
      </c>
      <c r="V125" s="45" t="str">
        <f t="shared" si="49"/>
        <v/>
      </c>
      <c r="W125" s="33" t="str">
        <f>IF($A125="","",SUMIFS(ORE!$F:$F,ORE!$B:$B,$A125))</f>
        <v/>
      </c>
      <c r="X125" s="33" t="str">
        <f>IF($A125="","",SUMIFS(PREVISIONE_ORE!$G:$G,PREVISIONE_ORE!$D:$D,$A125,PREVISIONE_ORE!$K:$K,"Sì"))</f>
        <v/>
      </c>
      <c r="Y125" s="33" t="str">
        <f>IF($A125="","",IF(COUNTIFS(ASSEGNAZIONI!$B:$B,$A125)&gt;0,SUMIFS(ASSEGNAZIONI!$N:$N,ASSEGNAZIONI!$B:$B,$A125),MAX($W125,0)))</f>
        <v/>
      </c>
      <c r="Z125" s="33" t="str">
        <f t="shared" si="50"/>
        <v/>
      </c>
      <c r="AA125" s="34" t="str">
        <f>IF($A125="","",IF(COUNTIFS(ASSEGNAZIONI!$B:$B,$A125)&gt;0,SUMIFS(ASSEGNAZIONI!$P:$P,ASSEGNAZIONI!$B:$B,$A125),0))</f>
        <v/>
      </c>
      <c r="AB125" s="34" t="str">
        <f t="shared" si="51"/>
        <v/>
      </c>
      <c r="AC125" s="34" t="str">
        <f t="shared" si="52"/>
        <v/>
      </c>
      <c r="AD125" s="34" t="str">
        <f t="shared" si="53"/>
        <v/>
      </c>
      <c r="AE125" s="35" t="str">
        <f t="shared" si="54"/>
        <v/>
      </c>
      <c r="AF125" s="34" t="str">
        <f t="shared" si="55"/>
        <v/>
      </c>
      <c r="AG125" s="34" t="str">
        <f t="shared" si="56"/>
        <v/>
      </c>
      <c r="AH125" s="35" t="str">
        <f>IF($A125="","",IFERROR(AVERAGEIFS(FASI!$L:$L,FASI!$B:$B,$A125),0))</f>
        <v/>
      </c>
      <c r="AI125" s="35" t="str">
        <f t="shared" si="57"/>
        <v/>
      </c>
      <c r="AJ125" s="34" t="str">
        <f>IF($A125="","",SUMIFS(SAL!$H:$H,SAL!$B:$B,$A125,SAL!$O:$O,"Emessa")+SUMIFS(SAL!$H:$H,SAL!$B:$B,$A125,SAL!$O:$O,"Incassata")+SUMIFS(SAL!$H:$H,SAL!$B:$B,$A125,SAL!$O:$O,"Scaduta"))</f>
        <v/>
      </c>
      <c r="AK125" s="34" t="str">
        <f>IF($A125="","",SUMIFS(SAL!$H:$H,SAL!$B:$B,$A125,SAL!$O:$O,"Incassata"))</f>
        <v/>
      </c>
      <c r="AL125" s="34" t="str">
        <f t="shared" si="58"/>
        <v/>
      </c>
      <c r="AM125" s="34" t="str">
        <f t="shared" si="59"/>
        <v/>
      </c>
      <c r="AN125" s="36" t="str">
        <f ca="1">IF($A125="","",IF($M125=0,"RISORSE NON ASSEGNATE",IF($AE125&lt;0.1,"MARGINE CRITICO",IF($S125&lt;-SCONTO_MAX,"SCONTO OLTRE SOGLIA",IF($Z125&gt;0,"ORE OLTRE LA STIMA",IF($AI125&gt;ALLERTA_ORE,"CONSUMO ORE ELEVATO",IF(COUNTIFS(SAL!$B:$B,$A125,SAL!$K:$K,"EMETTIBILE")&gt;0,"SAL DA EMETTERE",IF(COUNTIFS(FASI!$B:$B,$A125,FASI!$H:$H,"&lt;"&amp;TODAY(),FASI!$L:$L,"&lt;1")&gt;0,"FASI IN RITARDO","OK"))))))))</f>
        <v/>
      </c>
    </row>
    <row r="126" spans="1:40" x14ac:dyDescent="0.3">
      <c r="A126" s="42"/>
      <c r="B126" s="42"/>
      <c r="C126" s="42"/>
      <c r="D126" s="42"/>
      <c r="E126" s="42"/>
      <c r="F126" s="42"/>
      <c r="G126" s="43"/>
      <c r="H126" s="43"/>
      <c r="I126" s="42"/>
      <c r="J126" s="44"/>
      <c r="K126" s="46"/>
      <c r="L126" s="34" t="str">
        <f t="shared" si="45"/>
        <v/>
      </c>
      <c r="M126" s="33" t="str">
        <f>IF($A126="","",SUMIFS(ASSEGNAZIONI!$F:$F,ASSEGNAZIONI!$B:$B,$A126))</f>
        <v/>
      </c>
      <c r="N126" s="34" t="str">
        <f>IF($A126="","",SUMIFS(ASSEGNAZIONI!$I:$I,ASSEGNAZIONI!$B:$B,$A126))</f>
        <v/>
      </c>
      <c r="O126" s="34" t="str">
        <f>IF($A126="","",SUMIFS(ASSEGNAZIONI!$J:$J,ASSEGNAZIONI!$B:$B,$A126))</f>
        <v/>
      </c>
      <c r="P126" s="34" t="str">
        <f t="shared" si="46"/>
        <v/>
      </c>
      <c r="Q126" s="44"/>
      <c r="R126" s="34" t="str">
        <f t="shared" si="47"/>
        <v/>
      </c>
      <c r="S126" s="35" t="str">
        <f t="shared" si="48"/>
        <v/>
      </c>
      <c r="T126" s="34" t="str">
        <f>IF($A126="","",SUMIFS(ODA!$R:$R,ODA!$B:$B,$A126))</f>
        <v/>
      </c>
      <c r="U126" s="34" t="str">
        <f>IF($A126="","",SUMIFS(ODA!$P:$P,ODA!$B:$B,$A126))</f>
        <v/>
      </c>
      <c r="V126" s="45" t="str">
        <f t="shared" si="49"/>
        <v/>
      </c>
      <c r="W126" s="33" t="str">
        <f>IF($A126="","",SUMIFS(ORE!$F:$F,ORE!$B:$B,$A126))</f>
        <v/>
      </c>
      <c r="X126" s="33" t="str">
        <f>IF($A126="","",SUMIFS(PREVISIONE_ORE!$G:$G,PREVISIONE_ORE!$D:$D,$A126,PREVISIONE_ORE!$K:$K,"Sì"))</f>
        <v/>
      </c>
      <c r="Y126" s="33" t="str">
        <f>IF($A126="","",IF(COUNTIFS(ASSEGNAZIONI!$B:$B,$A126)&gt;0,SUMIFS(ASSEGNAZIONI!$N:$N,ASSEGNAZIONI!$B:$B,$A126),MAX($W126,0)))</f>
        <v/>
      </c>
      <c r="Z126" s="33" t="str">
        <f t="shared" si="50"/>
        <v/>
      </c>
      <c r="AA126" s="34" t="str">
        <f>IF($A126="","",IF(COUNTIFS(ASSEGNAZIONI!$B:$B,$A126)&gt;0,SUMIFS(ASSEGNAZIONI!$P:$P,ASSEGNAZIONI!$B:$B,$A126),0))</f>
        <v/>
      </c>
      <c r="AB126" s="34" t="str">
        <f t="shared" si="51"/>
        <v/>
      </c>
      <c r="AC126" s="34" t="str">
        <f t="shared" si="52"/>
        <v/>
      </c>
      <c r="AD126" s="34" t="str">
        <f t="shared" si="53"/>
        <v/>
      </c>
      <c r="AE126" s="35" t="str">
        <f t="shared" si="54"/>
        <v/>
      </c>
      <c r="AF126" s="34" t="str">
        <f t="shared" si="55"/>
        <v/>
      </c>
      <c r="AG126" s="34" t="str">
        <f t="shared" si="56"/>
        <v/>
      </c>
      <c r="AH126" s="35" t="str">
        <f>IF($A126="","",IFERROR(AVERAGEIFS(FASI!$L:$L,FASI!$B:$B,$A126),0))</f>
        <v/>
      </c>
      <c r="AI126" s="35" t="str">
        <f t="shared" si="57"/>
        <v/>
      </c>
      <c r="AJ126" s="34" t="str">
        <f>IF($A126="","",SUMIFS(SAL!$H:$H,SAL!$B:$B,$A126,SAL!$O:$O,"Emessa")+SUMIFS(SAL!$H:$H,SAL!$B:$B,$A126,SAL!$O:$O,"Incassata")+SUMIFS(SAL!$H:$H,SAL!$B:$B,$A126,SAL!$O:$O,"Scaduta"))</f>
        <v/>
      </c>
      <c r="AK126" s="34" t="str">
        <f>IF($A126="","",SUMIFS(SAL!$H:$H,SAL!$B:$B,$A126,SAL!$O:$O,"Incassata"))</f>
        <v/>
      </c>
      <c r="AL126" s="34" t="str">
        <f t="shared" si="58"/>
        <v/>
      </c>
      <c r="AM126" s="34" t="str">
        <f t="shared" si="59"/>
        <v/>
      </c>
      <c r="AN126" s="36" t="str">
        <f ca="1">IF($A126="","",IF($M126=0,"RISORSE NON ASSEGNATE",IF($AE126&lt;0.1,"MARGINE CRITICO",IF($S126&lt;-SCONTO_MAX,"SCONTO OLTRE SOGLIA",IF($Z126&gt;0,"ORE OLTRE LA STIMA",IF($AI126&gt;ALLERTA_ORE,"CONSUMO ORE ELEVATO",IF(COUNTIFS(SAL!$B:$B,$A126,SAL!$K:$K,"EMETTIBILE")&gt;0,"SAL DA EMETTERE",IF(COUNTIFS(FASI!$B:$B,$A126,FASI!$H:$H,"&lt;"&amp;TODAY(),FASI!$L:$L,"&lt;1")&gt;0,"FASI IN RITARDO","OK"))))))))</f>
        <v/>
      </c>
    </row>
    <row r="127" spans="1:40" x14ac:dyDescent="0.3">
      <c r="A127" s="42"/>
      <c r="B127" s="42"/>
      <c r="C127" s="42"/>
      <c r="D127" s="42"/>
      <c r="E127" s="42"/>
      <c r="F127" s="42"/>
      <c r="G127" s="43"/>
      <c r="H127" s="43"/>
      <c r="I127" s="42"/>
      <c r="J127" s="44"/>
      <c r="K127" s="46"/>
      <c r="L127" s="34" t="str">
        <f t="shared" si="45"/>
        <v/>
      </c>
      <c r="M127" s="33" t="str">
        <f>IF($A127="","",SUMIFS(ASSEGNAZIONI!$F:$F,ASSEGNAZIONI!$B:$B,$A127))</f>
        <v/>
      </c>
      <c r="N127" s="34" t="str">
        <f>IF($A127="","",SUMIFS(ASSEGNAZIONI!$I:$I,ASSEGNAZIONI!$B:$B,$A127))</f>
        <v/>
      </c>
      <c r="O127" s="34" t="str">
        <f>IF($A127="","",SUMIFS(ASSEGNAZIONI!$J:$J,ASSEGNAZIONI!$B:$B,$A127))</f>
        <v/>
      </c>
      <c r="P127" s="34" t="str">
        <f t="shared" si="46"/>
        <v/>
      </c>
      <c r="Q127" s="44"/>
      <c r="R127" s="34" t="str">
        <f t="shared" si="47"/>
        <v/>
      </c>
      <c r="S127" s="35" t="str">
        <f t="shared" si="48"/>
        <v/>
      </c>
      <c r="T127" s="34" t="str">
        <f>IF($A127="","",SUMIFS(ODA!$R:$R,ODA!$B:$B,$A127))</f>
        <v/>
      </c>
      <c r="U127" s="34" t="str">
        <f>IF($A127="","",SUMIFS(ODA!$P:$P,ODA!$B:$B,$A127))</f>
        <v/>
      </c>
      <c r="V127" s="45" t="str">
        <f t="shared" si="49"/>
        <v/>
      </c>
      <c r="W127" s="33" t="str">
        <f>IF($A127="","",SUMIFS(ORE!$F:$F,ORE!$B:$B,$A127))</f>
        <v/>
      </c>
      <c r="X127" s="33" t="str">
        <f>IF($A127="","",SUMIFS(PREVISIONE_ORE!$G:$G,PREVISIONE_ORE!$D:$D,$A127,PREVISIONE_ORE!$K:$K,"Sì"))</f>
        <v/>
      </c>
      <c r="Y127" s="33" t="str">
        <f>IF($A127="","",IF(COUNTIFS(ASSEGNAZIONI!$B:$B,$A127)&gt;0,SUMIFS(ASSEGNAZIONI!$N:$N,ASSEGNAZIONI!$B:$B,$A127),MAX($W127,0)))</f>
        <v/>
      </c>
      <c r="Z127" s="33" t="str">
        <f t="shared" si="50"/>
        <v/>
      </c>
      <c r="AA127" s="34" t="str">
        <f>IF($A127="","",IF(COUNTIFS(ASSEGNAZIONI!$B:$B,$A127)&gt;0,SUMIFS(ASSEGNAZIONI!$P:$P,ASSEGNAZIONI!$B:$B,$A127),0))</f>
        <v/>
      </c>
      <c r="AB127" s="34" t="str">
        <f t="shared" si="51"/>
        <v/>
      </c>
      <c r="AC127" s="34" t="str">
        <f t="shared" si="52"/>
        <v/>
      </c>
      <c r="AD127" s="34" t="str">
        <f t="shared" si="53"/>
        <v/>
      </c>
      <c r="AE127" s="35" t="str">
        <f t="shared" si="54"/>
        <v/>
      </c>
      <c r="AF127" s="34" t="str">
        <f t="shared" si="55"/>
        <v/>
      </c>
      <c r="AG127" s="34" t="str">
        <f t="shared" si="56"/>
        <v/>
      </c>
      <c r="AH127" s="35" t="str">
        <f>IF($A127="","",IFERROR(AVERAGEIFS(FASI!$L:$L,FASI!$B:$B,$A127),0))</f>
        <v/>
      </c>
      <c r="AI127" s="35" t="str">
        <f t="shared" si="57"/>
        <v/>
      </c>
      <c r="AJ127" s="34" t="str">
        <f>IF($A127="","",SUMIFS(SAL!$H:$H,SAL!$B:$B,$A127,SAL!$O:$O,"Emessa")+SUMIFS(SAL!$H:$H,SAL!$B:$B,$A127,SAL!$O:$O,"Incassata")+SUMIFS(SAL!$H:$H,SAL!$B:$B,$A127,SAL!$O:$O,"Scaduta"))</f>
        <v/>
      </c>
      <c r="AK127" s="34" t="str">
        <f>IF($A127="","",SUMIFS(SAL!$H:$H,SAL!$B:$B,$A127,SAL!$O:$O,"Incassata"))</f>
        <v/>
      </c>
      <c r="AL127" s="34" t="str">
        <f t="shared" si="58"/>
        <v/>
      </c>
      <c r="AM127" s="34" t="str">
        <f t="shared" si="59"/>
        <v/>
      </c>
      <c r="AN127" s="36" t="str">
        <f ca="1">IF($A127="","",IF($M127=0,"RISORSE NON ASSEGNATE",IF($AE127&lt;0.1,"MARGINE CRITICO",IF($S127&lt;-SCONTO_MAX,"SCONTO OLTRE SOGLIA",IF($Z127&gt;0,"ORE OLTRE LA STIMA",IF($AI127&gt;ALLERTA_ORE,"CONSUMO ORE ELEVATO",IF(COUNTIFS(SAL!$B:$B,$A127,SAL!$K:$K,"EMETTIBILE")&gt;0,"SAL DA EMETTERE",IF(COUNTIFS(FASI!$B:$B,$A127,FASI!$H:$H,"&lt;"&amp;TODAY(),FASI!$L:$L,"&lt;1")&gt;0,"FASI IN RITARDO","OK"))))))))</f>
        <v/>
      </c>
    </row>
    <row r="128" spans="1:40" x14ac:dyDescent="0.3">
      <c r="A128" s="42"/>
      <c r="B128" s="42"/>
      <c r="C128" s="42"/>
      <c r="D128" s="42"/>
      <c r="E128" s="42"/>
      <c r="F128" s="42"/>
      <c r="G128" s="43"/>
      <c r="H128" s="43"/>
      <c r="I128" s="42"/>
      <c r="J128" s="44"/>
      <c r="K128" s="46"/>
      <c r="L128" s="34" t="str">
        <f t="shared" si="45"/>
        <v/>
      </c>
      <c r="M128" s="33" t="str">
        <f>IF($A128="","",SUMIFS(ASSEGNAZIONI!$F:$F,ASSEGNAZIONI!$B:$B,$A128))</f>
        <v/>
      </c>
      <c r="N128" s="34" t="str">
        <f>IF($A128="","",SUMIFS(ASSEGNAZIONI!$I:$I,ASSEGNAZIONI!$B:$B,$A128))</f>
        <v/>
      </c>
      <c r="O128" s="34" t="str">
        <f>IF($A128="","",SUMIFS(ASSEGNAZIONI!$J:$J,ASSEGNAZIONI!$B:$B,$A128))</f>
        <v/>
      </c>
      <c r="P128" s="34" t="str">
        <f t="shared" si="46"/>
        <v/>
      </c>
      <c r="Q128" s="44"/>
      <c r="R128" s="34" t="str">
        <f t="shared" si="47"/>
        <v/>
      </c>
      <c r="S128" s="35" t="str">
        <f t="shared" si="48"/>
        <v/>
      </c>
      <c r="T128" s="34" t="str">
        <f>IF($A128="","",SUMIFS(ODA!$R:$R,ODA!$B:$B,$A128))</f>
        <v/>
      </c>
      <c r="U128" s="34" t="str">
        <f>IF($A128="","",SUMIFS(ODA!$P:$P,ODA!$B:$B,$A128))</f>
        <v/>
      </c>
      <c r="V128" s="45" t="str">
        <f t="shared" si="49"/>
        <v/>
      </c>
      <c r="W128" s="33" t="str">
        <f>IF($A128="","",SUMIFS(ORE!$F:$F,ORE!$B:$B,$A128))</f>
        <v/>
      </c>
      <c r="X128" s="33" t="str">
        <f>IF($A128="","",SUMIFS(PREVISIONE_ORE!$G:$G,PREVISIONE_ORE!$D:$D,$A128,PREVISIONE_ORE!$K:$K,"Sì"))</f>
        <v/>
      </c>
      <c r="Y128" s="33" t="str">
        <f>IF($A128="","",IF(COUNTIFS(ASSEGNAZIONI!$B:$B,$A128)&gt;0,SUMIFS(ASSEGNAZIONI!$N:$N,ASSEGNAZIONI!$B:$B,$A128),MAX($W128,0)))</f>
        <v/>
      </c>
      <c r="Z128" s="33" t="str">
        <f t="shared" si="50"/>
        <v/>
      </c>
      <c r="AA128" s="34" t="str">
        <f>IF($A128="","",IF(COUNTIFS(ASSEGNAZIONI!$B:$B,$A128)&gt;0,SUMIFS(ASSEGNAZIONI!$P:$P,ASSEGNAZIONI!$B:$B,$A128),0))</f>
        <v/>
      </c>
      <c r="AB128" s="34" t="str">
        <f t="shared" si="51"/>
        <v/>
      </c>
      <c r="AC128" s="34" t="str">
        <f t="shared" si="52"/>
        <v/>
      </c>
      <c r="AD128" s="34" t="str">
        <f t="shared" si="53"/>
        <v/>
      </c>
      <c r="AE128" s="35" t="str">
        <f t="shared" si="54"/>
        <v/>
      </c>
      <c r="AF128" s="34" t="str">
        <f t="shared" si="55"/>
        <v/>
      </c>
      <c r="AG128" s="34" t="str">
        <f t="shared" si="56"/>
        <v/>
      </c>
      <c r="AH128" s="35" t="str">
        <f>IF($A128="","",IFERROR(AVERAGEIFS(FASI!$L:$L,FASI!$B:$B,$A128),0))</f>
        <v/>
      </c>
      <c r="AI128" s="35" t="str">
        <f t="shared" si="57"/>
        <v/>
      </c>
      <c r="AJ128" s="34" t="str">
        <f>IF($A128="","",SUMIFS(SAL!$H:$H,SAL!$B:$B,$A128,SAL!$O:$O,"Emessa")+SUMIFS(SAL!$H:$H,SAL!$B:$B,$A128,SAL!$O:$O,"Incassata")+SUMIFS(SAL!$H:$H,SAL!$B:$B,$A128,SAL!$O:$O,"Scaduta"))</f>
        <v/>
      </c>
      <c r="AK128" s="34" t="str">
        <f>IF($A128="","",SUMIFS(SAL!$H:$H,SAL!$B:$B,$A128,SAL!$O:$O,"Incassata"))</f>
        <v/>
      </c>
      <c r="AL128" s="34" t="str">
        <f t="shared" si="58"/>
        <v/>
      </c>
      <c r="AM128" s="34" t="str">
        <f t="shared" si="59"/>
        <v/>
      </c>
      <c r="AN128" s="36" t="str">
        <f ca="1">IF($A128="","",IF($M128=0,"RISORSE NON ASSEGNATE",IF($AE128&lt;0.1,"MARGINE CRITICO",IF($S128&lt;-SCONTO_MAX,"SCONTO OLTRE SOGLIA",IF($Z128&gt;0,"ORE OLTRE LA STIMA",IF($AI128&gt;ALLERTA_ORE,"CONSUMO ORE ELEVATO",IF(COUNTIFS(SAL!$B:$B,$A128,SAL!$K:$K,"EMETTIBILE")&gt;0,"SAL DA EMETTERE",IF(COUNTIFS(FASI!$B:$B,$A128,FASI!$H:$H,"&lt;"&amp;TODAY(),FASI!$L:$L,"&lt;1")&gt;0,"FASI IN RITARDO","OK"))))))))</f>
        <v/>
      </c>
    </row>
    <row r="129" spans="1:40" x14ac:dyDescent="0.3">
      <c r="A129" s="42"/>
      <c r="B129" s="42"/>
      <c r="C129" s="42"/>
      <c r="D129" s="42"/>
      <c r="E129" s="42"/>
      <c r="F129" s="42"/>
      <c r="G129" s="43"/>
      <c r="H129" s="43"/>
      <c r="I129" s="42"/>
      <c r="J129" s="44"/>
      <c r="K129" s="46"/>
      <c r="L129" s="34" t="str">
        <f t="shared" si="45"/>
        <v/>
      </c>
      <c r="M129" s="33" t="str">
        <f>IF($A129="","",SUMIFS(ASSEGNAZIONI!$F:$F,ASSEGNAZIONI!$B:$B,$A129))</f>
        <v/>
      </c>
      <c r="N129" s="34" t="str">
        <f>IF($A129="","",SUMIFS(ASSEGNAZIONI!$I:$I,ASSEGNAZIONI!$B:$B,$A129))</f>
        <v/>
      </c>
      <c r="O129" s="34" t="str">
        <f>IF($A129="","",SUMIFS(ASSEGNAZIONI!$J:$J,ASSEGNAZIONI!$B:$B,$A129))</f>
        <v/>
      </c>
      <c r="P129" s="34" t="str">
        <f t="shared" si="46"/>
        <v/>
      </c>
      <c r="Q129" s="44"/>
      <c r="R129" s="34" t="str">
        <f t="shared" si="47"/>
        <v/>
      </c>
      <c r="S129" s="35" t="str">
        <f t="shared" si="48"/>
        <v/>
      </c>
      <c r="T129" s="34" t="str">
        <f>IF($A129="","",SUMIFS(ODA!$R:$R,ODA!$B:$B,$A129))</f>
        <v/>
      </c>
      <c r="U129" s="34" t="str">
        <f>IF($A129="","",SUMIFS(ODA!$P:$P,ODA!$B:$B,$A129))</f>
        <v/>
      </c>
      <c r="V129" s="45" t="str">
        <f t="shared" si="49"/>
        <v/>
      </c>
      <c r="W129" s="33" t="str">
        <f>IF($A129="","",SUMIFS(ORE!$F:$F,ORE!$B:$B,$A129))</f>
        <v/>
      </c>
      <c r="X129" s="33" t="str">
        <f>IF($A129="","",SUMIFS(PREVISIONE_ORE!$G:$G,PREVISIONE_ORE!$D:$D,$A129,PREVISIONE_ORE!$K:$K,"Sì"))</f>
        <v/>
      </c>
      <c r="Y129" s="33" t="str">
        <f>IF($A129="","",IF(COUNTIFS(ASSEGNAZIONI!$B:$B,$A129)&gt;0,SUMIFS(ASSEGNAZIONI!$N:$N,ASSEGNAZIONI!$B:$B,$A129),MAX($W129,0)))</f>
        <v/>
      </c>
      <c r="Z129" s="33" t="str">
        <f t="shared" si="50"/>
        <v/>
      </c>
      <c r="AA129" s="34" t="str">
        <f>IF($A129="","",IF(COUNTIFS(ASSEGNAZIONI!$B:$B,$A129)&gt;0,SUMIFS(ASSEGNAZIONI!$P:$P,ASSEGNAZIONI!$B:$B,$A129),0))</f>
        <v/>
      </c>
      <c r="AB129" s="34" t="str">
        <f t="shared" si="51"/>
        <v/>
      </c>
      <c r="AC129" s="34" t="str">
        <f t="shared" si="52"/>
        <v/>
      </c>
      <c r="AD129" s="34" t="str">
        <f t="shared" si="53"/>
        <v/>
      </c>
      <c r="AE129" s="35" t="str">
        <f t="shared" si="54"/>
        <v/>
      </c>
      <c r="AF129" s="34" t="str">
        <f t="shared" si="55"/>
        <v/>
      </c>
      <c r="AG129" s="34" t="str">
        <f t="shared" si="56"/>
        <v/>
      </c>
      <c r="AH129" s="35" t="str">
        <f>IF($A129="","",IFERROR(AVERAGEIFS(FASI!$L:$L,FASI!$B:$B,$A129),0))</f>
        <v/>
      </c>
      <c r="AI129" s="35" t="str">
        <f t="shared" si="57"/>
        <v/>
      </c>
      <c r="AJ129" s="34" t="str">
        <f>IF($A129="","",SUMIFS(SAL!$H:$H,SAL!$B:$B,$A129,SAL!$O:$O,"Emessa")+SUMIFS(SAL!$H:$H,SAL!$B:$B,$A129,SAL!$O:$O,"Incassata")+SUMIFS(SAL!$H:$H,SAL!$B:$B,$A129,SAL!$O:$O,"Scaduta"))</f>
        <v/>
      </c>
      <c r="AK129" s="34" t="str">
        <f>IF($A129="","",SUMIFS(SAL!$H:$H,SAL!$B:$B,$A129,SAL!$O:$O,"Incassata"))</f>
        <v/>
      </c>
      <c r="AL129" s="34" t="str">
        <f t="shared" si="58"/>
        <v/>
      </c>
      <c r="AM129" s="34" t="str">
        <f t="shared" si="59"/>
        <v/>
      </c>
      <c r="AN129" s="36" t="str">
        <f ca="1">IF($A129="","",IF($M129=0,"RISORSE NON ASSEGNATE",IF($AE129&lt;0.1,"MARGINE CRITICO",IF($S129&lt;-SCONTO_MAX,"SCONTO OLTRE SOGLIA",IF($Z129&gt;0,"ORE OLTRE LA STIMA",IF($AI129&gt;ALLERTA_ORE,"CONSUMO ORE ELEVATO",IF(COUNTIFS(SAL!$B:$B,$A129,SAL!$K:$K,"EMETTIBILE")&gt;0,"SAL DA EMETTERE",IF(COUNTIFS(FASI!$B:$B,$A129,FASI!$H:$H,"&lt;"&amp;TODAY(),FASI!$L:$L,"&lt;1")&gt;0,"FASI IN RITARDO","OK"))))))))</f>
        <v/>
      </c>
    </row>
    <row r="130" spans="1:40" x14ac:dyDescent="0.3">
      <c r="A130" s="42"/>
      <c r="B130" s="42"/>
      <c r="C130" s="42"/>
      <c r="D130" s="42"/>
      <c r="E130" s="42"/>
      <c r="F130" s="42"/>
      <c r="G130" s="43"/>
      <c r="H130" s="43"/>
      <c r="I130" s="42"/>
      <c r="J130" s="44"/>
      <c r="K130" s="46"/>
      <c r="L130" s="34" t="str">
        <f t="shared" ref="L130:L161" si="60">IF($A130="","",$J130*IF($K130="",MARKUP_DEF,$K130))</f>
        <v/>
      </c>
      <c r="M130" s="33" t="str">
        <f>IF($A130="","",SUMIFS(ASSEGNAZIONI!$F:$F,ASSEGNAZIONI!$B:$B,$A130))</f>
        <v/>
      </c>
      <c r="N130" s="34" t="str">
        <f>IF($A130="","",SUMIFS(ASSEGNAZIONI!$I:$I,ASSEGNAZIONI!$B:$B,$A130))</f>
        <v/>
      </c>
      <c r="O130" s="34" t="str">
        <f>IF($A130="","",SUMIFS(ASSEGNAZIONI!$J:$J,ASSEGNAZIONI!$B:$B,$A130))</f>
        <v/>
      </c>
      <c r="P130" s="34" t="str">
        <f t="shared" ref="P130:P161" si="61">IF($A130="","",$L130+$N130)</f>
        <v/>
      </c>
      <c r="Q130" s="44"/>
      <c r="R130" s="34" t="str">
        <f t="shared" ref="R130:R161" si="62">IF($A130="","",IF($Q130="",0,$Q130-$P130))</f>
        <v/>
      </c>
      <c r="S130" s="35" t="str">
        <f t="shared" ref="S130:S161" si="63">IF($A130="","",IFERROR($R130/$P130,0))</f>
        <v/>
      </c>
      <c r="T130" s="34" t="str">
        <f>IF($A130="","",SUMIFS(ODA!$R:$R,ODA!$B:$B,$A130))</f>
        <v/>
      </c>
      <c r="U130" s="34" t="str">
        <f>IF($A130="","",SUMIFS(ODA!$P:$P,ODA!$B:$B,$A130))</f>
        <v/>
      </c>
      <c r="V130" s="45" t="str">
        <f t="shared" ref="V130:V161" si="64">IF($A130="","",IFERROR($L130/$T130,0))</f>
        <v/>
      </c>
      <c r="W130" s="33" t="str">
        <f>IF($A130="","",SUMIFS(ORE!$F:$F,ORE!$B:$B,$A130))</f>
        <v/>
      </c>
      <c r="X130" s="33" t="str">
        <f>IF($A130="","",SUMIFS(PREVISIONE_ORE!$G:$G,PREVISIONE_ORE!$D:$D,$A130,PREVISIONE_ORE!$K:$K,"Sì"))</f>
        <v/>
      </c>
      <c r="Y130" s="33" t="str">
        <f>IF($A130="","",IF(COUNTIFS(ASSEGNAZIONI!$B:$B,$A130)&gt;0,SUMIFS(ASSEGNAZIONI!$N:$N,ASSEGNAZIONI!$B:$B,$A130),MAX($W130,0)))</f>
        <v/>
      </c>
      <c r="Z130" s="33" t="str">
        <f t="shared" ref="Z130:Z161" si="65">IF($A130="","",$Y130-$M130)</f>
        <v/>
      </c>
      <c r="AA130" s="34" t="str">
        <f>IF($A130="","",IF(COUNTIFS(ASSEGNAZIONI!$B:$B,$A130)&gt;0,SUMIFS(ASSEGNAZIONI!$P:$P,ASSEGNAZIONI!$B:$B,$A130),0))</f>
        <v/>
      </c>
      <c r="AB130" s="34" t="str">
        <f t="shared" ref="AB130:AB161" si="66">IF($A130="","",MAX($T130,$J130))</f>
        <v/>
      </c>
      <c r="AC130" s="34" t="str">
        <f t="shared" ref="AC130:AC161" si="67">IF($A130="","",$AA130+$AB130)</f>
        <v/>
      </c>
      <c r="AD130" s="34" t="str">
        <f t="shared" ref="AD130:AD161" si="68">IF($A130="","",IF($Q130="",0,$Q130-$AC130))</f>
        <v/>
      </c>
      <c r="AE130" s="35" t="str">
        <f t="shared" ref="AE130:AE161" si="69">IF($A130="","",IFERROR($AD130/$Q130,0))</f>
        <v/>
      </c>
      <c r="AF130" s="34" t="str">
        <f t="shared" ref="AF130:AF161" si="70">IF($A130="","",$N130-$AA130)</f>
        <v/>
      </c>
      <c r="AG130" s="34" t="str">
        <f t="shared" ref="AG130:AG161" si="71">IF($A130="","",$L130-$AB130)</f>
        <v/>
      </c>
      <c r="AH130" s="35" t="str">
        <f>IF($A130="","",IFERROR(AVERAGEIFS(FASI!$L:$L,FASI!$B:$B,$A130),0))</f>
        <v/>
      </c>
      <c r="AI130" s="35" t="str">
        <f t="shared" ref="AI130:AI161" si="72">IF($A130="","",IFERROR($W130/$M130,0))</f>
        <v/>
      </c>
      <c r="AJ130" s="34" t="str">
        <f>IF($A130="","",SUMIFS(SAL!$H:$H,SAL!$B:$B,$A130,SAL!$O:$O,"Emessa")+SUMIFS(SAL!$H:$H,SAL!$B:$B,$A130,SAL!$O:$O,"Incassata")+SUMIFS(SAL!$H:$H,SAL!$B:$B,$A130,SAL!$O:$O,"Scaduta"))</f>
        <v/>
      </c>
      <c r="AK130" s="34" t="str">
        <f>IF($A130="","",SUMIFS(SAL!$H:$H,SAL!$B:$B,$A130,SAL!$O:$O,"Incassata"))</f>
        <v/>
      </c>
      <c r="AL130" s="34" t="str">
        <f t="shared" ref="AL130:AL161" si="73">IF($A130="","",IF($Q130="",0,$Q130-$AJ130))</f>
        <v/>
      </c>
      <c r="AM130" s="34" t="str">
        <f t="shared" ref="AM130:AM161" si="74">IF($A130="","",$U130-$AK130)</f>
        <v/>
      </c>
      <c r="AN130" s="36" t="str">
        <f ca="1">IF($A130="","",IF($M130=0,"RISORSE NON ASSEGNATE",IF($AE130&lt;0.1,"MARGINE CRITICO",IF($S130&lt;-SCONTO_MAX,"SCONTO OLTRE SOGLIA",IF($Z130&gt;0,"ORE OLTRE LA STIMA",IF($AI130&gt;ALLERTA_ORE,"CONSUMO ORE ELEVATO",IF(COUNTIFS(SAL!$B:$B,$A130,SAL!$K:$K,"EMETTIBILE")&gt;0,"SAL DA EMETTERE",IF(COUNTIFS(FASI!$B:$B,$A130,FASI!$H:$H,"&lt;"&amp;TODAY(),FASI!$L:$L,"&lt;1")&gt;0,"FASI IN RITARDO","OK"))))))))</f>
        <v/>
      </c>
    </row>
    <row r="131" spans="1:40" x14ac:dyDescent="0.3">
      <c r="A131" s="42"/>
      <c r="B131" s="42"/>
      <c r="C131" s="42"/>
      <c r="D131" s="42"/>
      <c r="E131" s="42"/>
      <c r="F131" s="42"/>
      <c r="G131" s="43"/>
      <c r="H131" s="43"/>
      <c r="I131" s="42"/>
      <c r="J131" s="44"/>
      <c r="K131" s="46"/>
      <c r="L131" s="34" t="str">
        <f t="shared" si="60"/>
        <v/>
      </c>
      <c r="M131" s="33" t="str">
        <f>IF($A131="","",SUMIFS(ASSEGNAZIONI!$F:$F,ASSEGNAZIONI!$B:$B,$A131))</f>
        <v/>
      </c>
      <c r="N131" s="34" t="str">
        <f>IF($A131="","",SUMIFS(ASSEGNAZIONI!$I:$I,ASSEGNAZIONI!$B:$B,$A131))</f>
        <v/>
      </c>
      <c r="O131" s="34" t="str">
        <f>IF($A131="","",SUMIFS(ASSEGNAZIONI!$J:$J,ASSEGNAZIONI!$B:$B,$A131))</f>
        <v/>
      </c>
      <c r="P131" s="34" t="str">
        <f t="shared" si="61"/>
        <v/>
      </c>
      <c r="Q131" s="44"/>
      <c r="R131" s="34" t="str">
        <f t="shared" si="62"/>
        <v/>
      </c>
      <c r="S131" s="35" t="str">
        <f t="shared" si="63"/>
        <v/>
      </c>
      <c r="T131" s="34" t="str">
        <f>IF($A131="","",SUMIFS(ODA!$R:$R,ODA!$B:$B,$A131))</f>
        <v/>
      </c>
      <c r="U131" s="34" t="str">
        <f>IF($A131="","",SUMIFS(ODA!$P:$P,ODA!$B:$B,$A131))</f>
        <v/>
      </c>
      <c r="V131" s="45" t="str">
        <f t="shared" si="64"/>
        <v/>
      </c>
      <c r="W131" s="33" t="str">
        <f>IF($A131="","",SUMIFS(ORE!$F:$F,ORE!$B:$B,$A131))</f>
        <v/>
      </c>
      <c r="X131" s="33" t="str">
        <f>IF($A131="","",SUMIFS(PREVISIONE_ORE!$G:$G,PREVISIONE_ORE!$D:$D,$A131,PREVISIONE_ORE!$K:$K,"Sì"))</f>
        <v/>
      </c>
      <c r="Y131" s="33" t="str">
        <f>IF($A131="","",IF(COUNTIFS(ASSEGNAZIONI!$B:$B,$A131)&gt;0,SUMIFS(ASSEGNAZIONI!$N:$N,ASSEGNAZIONI!$B:$B,$A131),MAX($W131,0)))</f>
        <v/>
      </c>
      <c r="Z131" s="33" t="str">
        <f t="shared" si="65"/>
        <v/>
      </c>
      <c r="AA131" s="34" t="str">
        <f>IF($A131="","",IF(COUNTIFS(ASSEGNAZIONI!$B:$B,$A131)&gt;0,SUMIFS(ASSEGNAZIONI!$P:$P,ASSEGNAZIONI!$B:$B,$A131),0))</f>
        <v/>
      </c>
      <c r="AB131" s="34" t="str">
        <f t="shared" si="66"/>
        <v/>
      </c>
      <c r="AC131" s="34" t="str">
        <f t="shared" si="67"/>
        <v/>
      </c>
      <c r="AD131" s="34" t="str">
        <f t="shared" si="68"/>
        <v/>
      </c>
      <c r="AE131" s="35" t="str">
        <f t="shared" si="69"/>
        <v/>
      </c>
      <c r="AF131" s="34" t="str">
        <f t="shared" si="70"/>
        <v/>
      </c>
      <c r="AG131" s="34" t="str">
        <f t="shared" si="71"/>
        <v/>
      </c>
      <c r="AH131" s="35" t="str">
        <f>IF($A131="","",IFERROR(AVERAGEIFS(FASI!$L:$L,FASI!$B:$B,$A131),0))</f>
        <v/>
      </c>
      <c r="AI131" s="35" t="str">
        <f t="shared" si="72"/>
        <v/>
      </c>
      <c r="AJ131" s="34" t="str">
        <f>IF($A131="","",SUMIFS(SAL!$H:$H,SAL!$B:$B,$A131,SAL!$O:$O,"Emessa")+SUMIFS(SAL!$H:$H,SAL!$B:$B,$A131,SAL!$O:$O,"Incassata")+SUMIFS(SAL!$H:$H,SAL!$B:$B,$A131,SAL!$O:$O,"Scaduta"))</f>
        <v/>
      </c>
      <c r="AK131" s="34" t="str">
        <f>IF($A131="","",SUMIFS(SAL!$H:$H,SAL!$B:$B,$A131,SAL!$O:$O,"Incassata"))</f>
        <v/>
      </c>
      <c r="AL131" s="34" t="str">
        <f t="shared" si="73"/>
        <v/>
      </c>
      <c r="AM131" s="34" t="str">
        <f t="shared" si="74"/>
        <v/>
      </c>
      <c r="AN131" s="36" t="str">
        <f ca="1">IF($A131="","",IF($M131=0,"RISORSE NON ASSEGNATE",IF($AE131&lt;0.1,"MARGINE CRITICO",IF($S131&lt;-SCONTO_MAX,"SCONTO OLTRE SOGLIA",IF($Z131&gt;0,"ORE OLTRE LA STIMA",IF($AI131&gt;ALLERTA_ORE,"CONSUMO ORE ELEVATO",IF(COUNTIFS(SAL!$B:$B,$A131,SAL!$K:$K,"EMETTIBILE")&gt;0,"SAL DA EMETTERE",IF(COUNTIFS(FASI!$B:$B,$A131,FASI!$H:$H,"&lt;"&amp;TODAY(),FASI!$L:$L,"&lt;1")&gt;0,"FASI IN RITARDO","OK"))))))))</f>
        <v/>
      </c>
    </row>
    <row r="132" spans="1:40" x14ac:dyDescent="0.3">
      <c r="A132" s="42"/>
      <c r="B132" s="42"/>
      <c r="C132" s="42"/>
      <c r="D132" s="42"/>
      <c r="E132" s="42"/>
      <c r="F132" s="42"/>
      <c r="G132" s="43"/>
      <c r="H132" s="43"/>
      <c r="I132" s="42"/>
      <c r="J132" s="44"/>
      <c r="K132" s="46"/>
      <c r="L132" s="34" t="str">
        <f t="shared" si="60"/>
        <v/>
      </c>
      <c r="M132" s="33" t="str">
        <f>IF($A132="","",SUMIFS(ASSEGNAZIONI!$F:$F,ASSEGNAZIONI!$B:$B,$A132))</f>
        <v/>
      </c>
      <c r="N132" s="34" t="str">
        <f>IF($A132="","",SUMIFS(ASSEGNAZIONI!$I:$I,ASSEGNAZIONI!$B:$B,$A132))</f>
        <v/>
      </c>
      <c r="O132" s="34" t="str">
        <f>IF($A132="","",SUMIFS(ASSEGNAZIONI!$J:$J,ASSEGNAZIONI!$B:$B,$A132))</f>
        <v/>
      </c>
      <c r="P132" s="34" t="str">
        <f t="shared" si="61"/>
        <v/>
      </c>
      <c r="Q132" s="44"/>
      <c r="R132" s="34" t="str">
        <f t="shared" si="62"/>
        <v/>
      </c>
      <c r="S132" s="35" t="str">
        <f t="shared" si="63"/>
        <v/>
      </c>
      <c r="T132" s="34" t="str">
        <f>IF($A132="","",SUMIFS(ODA!$R:$R,ODA!$B:$B,$A132))</f>
        <v/>
      </c>
      <c r="U132" s="34" t="str">
        <f>IF($A132="","",SUMIFS(ODA!$P:$P,ODA!$B:$B,$A132))</f>
        <v/>
      </c>
      <c r="V132" s="45" t="str">
        <f t="shared" si="64"/>
        <v/>
      </c>
      <c r="W132" s="33" t="str">
        <f>IF($A132="","",SUMIFS(ORE!$F:$F,ORE!$B:$B,$A132))</f>
        <v/>
      </c>
      <c r="X132" s="33" t="str">
        <f>IF($A132="","",SUMIFS(PREVISIONE_ORE!$G:$G,PREVISIONE_ORE!$D:$D,$A132,PREVISIONE_ORE!$K:$K,"Sì"))</f>
        <v/>
      </c>
      <c r="Y132" s="33" t="str">
        <f>IF($A132="","",IF(COUNTIFS(ASSEGNAZIONI!$B:$B,$A132)&gt;0,SUMIFS(ASSEGNAZIONI!$N:$N,ASSEGNAZIONI!$B:$B,$A132),MAX($W132,0)))</f>
        <v/>
      </c>
      <c r="Z132" s="33" t="str">
        <f t="shared" si="65"/>
        <v/>
      </c>
      <c r="AA132" s="34" t="str">
        <f>IF($A132="","",IF(COUNTIFS(ASSEGNAZIONI!$B:$B,$A132)&gt;0,SUMIFS(ASSEGNAZIONI!$P:$P,ASSEGNAZIONI!$B:$B,$A132),0))</f>
        <v/>
      </c>
      <c r="AB132" s="34" t="str">
        <f t="shared" si="66"/>
        <v/>
      </c>
      <c r="AC132" s="34" t="str">
        <f t="shared" si="67"/>
        <v/>
      </c>
      <c r="AD132" s="34" t="str">
        <f t="shared" si="68"/>
        <v/>
      </c>
      <c r="AE132" s="35" t="str">
        <f t="shared" si="69"/>
        <v/>
      </c>
      <c r="AF132" s="34" t="str">
        <f t="shared" si="70"/>
        <v/>
      </c>
      <c r="AG132" s="34" t="str">
        <f t="shared" si="71"/>
        <v/>
      </c>
      <c r="AH132" s="35" t="str">
        <f>IF($A132="","",IFERROR(AVERAGEIFS(FASI!$L:$L,FASI!$B:$B,$A132),0))</f>
        <v/>
      </c>
      <c r="AI132" s="35" t="str">
        <f t="shared" si="72"/>
        <v/>
      </c>
      <c r="AJ132" s="34" t="str">
        <f>IF($A132="","",SUMIFS(SAL!$H:$H,SAL!$B:$B,$A132,SAL!$O:$O,"Emessa")+SUMIFS(SAL!$H:$H,SAL!$B:$B,$A132,SAL!$O:$O,"Incassata")+SUMIFS(SAL!$H:$H,SAL!$B:$B,$A132,SAL!$O:$O,"Scaduta"))</f>
        <v/>
      </c>
      <c r="AK132" s="34" t="str">
        <f>IF($A132="","",SUMIFS(SAL!$H:$H,SAL!$B:$B,$A132,SAL!$O:$O,"Incassata"))</f>
        <v/>
      </c>
      <c r="AL132" s="34" t="str">
        <f t="shared" si="73"/>
        <v/>
      </c>
      <c r="AM132" s="34" t="str">
        <f t="shared" si="74"/>
        <v/>
      </c>
      <c r="AN132" s="36" t="str">
        <f ca="1">IF($A132="","",IF($M132=0,"RISORSE NON ASSEGNATE",IF($AE132&lt;0.1,"MARGINE CRITICO",IF($S132&lt;-SCONTO_MAX,"SCONTO OLTRE SOGLIA",IF($Z132&gt;0,"ORE OLTRE LA STIMA",IF($AI132&gt;ALLERTA_ORE,"CONSUMO ORE ELEVATO",IF(COUNTIFS(SAL!$B:$B,$A132,SAL!$K:$K,"EMETTIBILE")&gt;0,"SAL DA EMETTERE",IF(COUNTIFS(FASI!$B:$B,$A132,FASI!$H:$H,"&lt;"&amp;TODAY(),FASI!$L:$L,"&lt;1")&gt;0,"FASI IN RITARDO","OK"))))))))</f>
        <v/>
      </c>
    </row>
    <row r="133" spans="1:40" x14ac:dyDescent="0.3">
      <c r="A133" s="42"/>
      <c r="B133" s="42"/>
      <c r="C133" s="42"/>
      <c r="D133" s="42"/>
      <c r="E133" s="42"/>
      <c r="F133" s="42"/>
      <c r="G133" s="43"/>
      <c r="H133" s="43"/>
      <c r="I133" s="42"/>
      <c r="J133" s="44"/>
      <c r="K133" s="46"/>
      <c r="L133" s="34" t="str">
        <f t="shared" si="60"/>
        <v/>
      </c>
      <c r="M133" s="33" t="str">
        <f>IF($A133="","",SUMIFS(ASSEGNAZIONI!$F:$F,ASSEGNAZIONI!$B:$B,$A133))</f>
        <v/>
      </c>
      <c r="N133" s="34" t="str">
        <f>IF($A133="","",SUMIFS(ASSEGNAZIONI!$I:$I,ASSEGNAZIONI!$B:$B,$A133))</f>
        <v/>
      </c>
      <c r="O133" s="34" t="str">
        <f>IF($A133="","",SUMIFS(ASSEGNAZIONI!$J:$J,ASSEGNAZIONI!$B:$B,$A133))</f>
        <v/>
      </c>
      <c r="P133" s="34" t="str">
        <f t="shared" si="61"/>
        <v/>
      </c>
      <c r="Q133" s="44"/>
      <c r="R133" s="34" t="str">
        <f t="shared" si="62"/>
        <v/>
      </c>
      <c r="S133" s="35" t="str">
        <f t="shared" si="63"/>
        <v/>
      </c>
      <c r="T133" s="34" t="str">
        <f>IF($A133="","",SUMIFS(ODA!$R:$R,ODA!$B:$B,$A133))</f>
        <v/>
      </c>
      <c r="U133" s="34" t="str">
        <f>IF($A133="","",SUMIFS(ODA!$P:$P,ODA!$B:$B,$A133))</f>
        <v/>
      </c>
      <c r="V133" s="45" t="str">
        <f t="shared" si="64"/>
        <v/>
      </c>
      <c r="W133" s="33" t="str">
        <f>IF($A133="","",SUMIFS(ORE!$F:$F,ORE!$B:$B,$A133))</f>
        <v/>
      </c>
      <c r="X133" s="33" t="str">
        <f>IF($A133="","",SUMIFS(PREVISIONE_ORE!$G:$G,PREVISIONE_ORE!$D:$D,$A133,PREVISIONE_ORE!$K:$K,"Sì"))</f>
        <v/>
      </c>
      <c r="Y133" s="33" t="str">
        <f>IF($A133="","",IF(COUNTIFS(ASSEGNAZIONI!$B:$B,$A133)&gt;0,SUMIFS(ASSEGNAZIONI!$N:$N,ASSEGNAZIONI!$B:$B,$A133),MAX($W133,0)))</f>
        <v/>
      </c>
      <c r="Z133" s="33" t="str">
        <f t="shared" si="65"/>
        <v/>
      </c>
      <c r="AA133" s="34" t="str">
        <f>IF($A133="","",IF(COUNTIFS(ASSEGNAZIONI!$B:$B,$A133)&gt;0,SUMIFS(ASSEGNAZIONI!$P:$P,ASSEGNAZIONI!$B:$B,$A133),0))</f>
        <v/>
      </c>
      <c r="AB133" s="34" t="str">
        <f t="shared" si="66"/>
        <v/>
      </c>
      <c r="AC133" s="34" t="str">
        <f t="shared" si="67"/>
        <v/>
      </c>
      <c r="AD133" s="34" t="str">
        <f t="shared" si="68"/>
        <v/>
      </c>
      <c r="AE133" s="35" t="str">
        <f t="shared" si="69"/>
        <v/>
      </c>
      <c r="AF133" s="34" t="str">
        <f t="shared" si="70"/>
        <v/>
      </c>
      <c r="AG133" s="34" t="str">
        <f t="shared" si="71"/>
        <v/>
      </c>
      <c r="AH133" s="35" t="str">
        <f>IF($A133="","",IFERROR(AVERAGEIFS(FASI!$L:$L,FASI!$B:$B,$A133),0))</f>
        <v/>
      </c>
      <c r="AI133" s="35" t="str">
        <f t="shared" si="72"/>
        <v/>
      </c>
      <c r="AJ133" s="34" t="str">
        <f>IF($A133="","",SUMIFS(SAL!$H:$H,SAL!$B:$B,$A133,SAL!$O:$O,"Emessa")+SUMIFS(SAL!$H:$H,SAL!$B:$B,$A133,SAL!$O:$O,"Incassata")+SUMIFS(SAL!$H:$H,SAL!$B:$B,$A133,SAL!$O:$O,"Scaduta"))</f>
        <v/>
      </c>
      <c r="AK133" s="34" t="str">
        <f>IF($A133="","",SUMIFS(SAL!$H:$H,SAL!$B:$B,$A133,SAL!$O:$O,"Incassata"))</f>
        <v/>
      </c>
      <c r="AL133" s="34" t="str">
        <f t="shared" si="73"/>
        <v/>
      </c>
      <c r="AM133" s="34" t="str">
        <f t="shared" si="74"/>
        <v/>
      </c>
      <c r="AN133" s="36" t="str">
        <f ca="1">IF($A133="","",IF($M133=0,"RISORSE NON ASSEGNATE",IF($AE133&lt;0.1,"MARGINE CRITICO",IF($S133&lt;-SCONTO_MAX,"SCONTO OLTRE SOGLIA",IF($Z133&gt;0,"ORE OLTRE LA STIMA",IF($AI133&gt;ALLERTA_ORE,"CONSUMO ORE ELEVATO",IF(COUNTIFS(SAL!$B:$B,$A133,SAL!$K:$K,"EMETTIBILE")&gt;0,"SAL DA EMETTERE",IF(COUNTIFS(FASI!$B:$B,$A133,FASI!$H:$H,"&lt;"&amp;TODAY(),FASI!$L:$L,"&lt;1")&gt;0,"FASI IN RITARDO","OK"))))))))</f>
        <v/>
      </c>
    </row>
    <row r="134" spans="1:40" x14ac:dyDescent="0.3">
      <c r="A134" s="42"/>
      <c r="B134" s="42"/>
      <c r="C134" s="42"/>
      <c r="D134" s="42"/>
      <c r="E134" s="42"/>
      <c r="F134" s="42"/>
      <c r="G134" s="43"/>
      <c r="H134" s="43"/>
      <c r="I134" s="42"/>
      <c r="J134" s="44"/>
      <c r="K134" s="46"/>
      <c r="L134" s="34" t="str">
        <f t="shared" si="60"/>
        <v/>
      </c>
      <c r="M134" s="33" t="str">
        <f>IF($A134="","",SUMIFS(ASSEGNAZIONI!$F:$F,ASSEGNAZIONI!$B:$B,$A134))</f>
        <v/>
      </c>
      <c r="N134" s="34" t="str">
        <f>IF($A134="","",SUMIFS(ASSEGNAZIONI!$I:$I,ASSEGNAZIONI!$B:$B,$A134))</f>
        <v/>
      </c>
      <c r="O134" s="34" t="str">
        <f>IF($A134="","",SUMIFS(ASSEGNAZIONI!$J:$J,ASSEGNAZIONI!$B:$B,$A134))</f>
        <v/>
      </c>
      <c r="P134" s="34" t="str">
        <f t="shared" si="61"/>
        <v/>
      </c>
      <c r="Q134" s="44"/>
      <c r="R134" s="34" t="str">
        <f t="shared" si="62"/>
        <v/>
      </c>
      <c r="S134" s="35" t="str">
        <f t="shared" si="63"/>
        <v/>
      </c>
      <c r="T134" s="34" t="str">
        <f>IF($A134="","",SUMIFS(ODA!$R:$R,ODA!$B:$B,$A134))</f>
        <v/>
      </c>
      <c r="U134" s="34" t="str">
        <f>IF($A134="","",SUMIFS(ODA!$P:$P,ODA!$B:$B,$A134))</f>
        <v/>
      </c>
      <c r="V134" s="45" t="str">
        <f t="shared" si="64"/>
        <v/>
      </c>
      <c r="W134" s="33" t="str">
        <f>IF($A134="","",SUMIFS(ORE!$F:$F,ORE!$B:$B,$A134))</f>
        <v/>
      </c>
      <c r="X134" s="33" t="str">
        <f>IF($A134="","",SUMIFS(PREVISIONE_ORE!$G:$G,PREVISIONE_ORE!$D:$D,$A134,PREVISIONE_ORE!$K:$K,"Sì"))</f>
        <v/>
      </c>
      <c r="Y134" s="33" t="str">
        <f>IF($A134="","",IF(COUNTIFS(ASSEGNAZIONI!$B:$B,$A134)&gt;0,SUMIFS(ASSEGNAZIONI!$N:$N,ASSEGNAZIONI!$B:$B,$A134),MAX($W134,0)))</f>
        <v/>
      </c>
      <c r="Z134" s="33" t="str">
        <f t="shared" si="65"/>
        <v/>
      </c>
      <c r="AA134" s="34" t="str">
        <f>IF($A134="","",IF(COUNTIFS(ASSEGNAZIONI!$B:$B,$A134)&gt;0,SUMIFS(ASSEGNAZIONI!$P:$P,ASSEGNAZIONI!$B:$B,$A134),0))</f>
        <v/>
      </c>
      <c r="AB134" s="34" t="str">
        <f t="shared" si="66"/>
        <v/>
      </c>
      <c r="AC134" s="34" t="str">
        <f t="shared" si="67"/>
        <v/>
      </c>
      <c r="AD134" s="34" t="str">
        <f t="shared" si="68"/>
        <v/>
      </c>
      <c r="AE134" s="35" t="str">
        <f t="shared" si="69"/>
        <v/>
      </c>
      <c r="AF134" s="34" t="str">
        <f t="shared" si="70"/>
        <v/>
      </c>
      <c r="AG134" s="34" t="str">
        <f t="shared" si="71"/>
        <v/>
      </c>
      <c r="AH134" s="35" t="str">
        <f>IF($A134="","",IFERROR(AVERAGEIFS(FASI!$L:$L,FASI!$B:$B,$A134),0))</f>
        <v/>
      </c>
      <c r="AI134" s="35" t="str">
        <f t="shared" si="72"/>
        <v/>
      </c>
      <c r="AJ134" s="34" t="str">
        <f>IF($A134="","",SUMIFS(SAL!$H:$H,SAL!$B:$B,$A134,SAL!$O:$O,"Emessa")+SUMIFS(SAL!$H:$H,SAL!$B:$B,$A134,SAL!$O:$O,"Incassata")+SUMIFS(SAL!$H:$H,SAL!$B:$B,$A134,SAL!$O:$O,"Scaduta"))</f>
        <v/>
      </c>
      <c r="AK134" s="34" t="str">
        <f>IF($A134="","",SUMIFS(SAL!$H:$H,SAL!$B:$B,$A134,SAL!$O:$O,"Incassata"))</f>
        <v/>
      </c>
      <c r="AL134" s="34" t="str">
        <f t="shared" si="73"/>
        <v/>
      </c>
      <c r="AM134" s="34" t="str">
        <f t="shared" si="74"/>
        <v/>
      </c>
      <c r="AN134" s="36" t="str">
        <f ca="1">IF($A134="","",IF($M134=0,"RISORSE NON ASSEGNATE",IF($AE134&lt;0.1,"MARGINE CRITICO",IF($S134&lt;-SCONTO_MAX,"SCONTO OLTRE SOGLIA",IF($Z134&gt;0,"ORE OLTRE LA STIMA",IF($AI134&gt;ALLERTA_ORE,"CONSUMO ORE ELEVATO",IF(COUNTIFS(SAL!$B:$B,$A134,SAL!$K:$K,"EMETTIBILE")&gt;0,"SAL DA EMETTERE",IF(COUNTIFS(FASI!$B:$B,$A134,FASI!$H:$H,"&lt;"&amp;TODAY(),FASI!$L:$L,"&lt;1")&gt;0,"FASI IN RITARDO","OK"))))))))</f>
        <v/>
      </c>
    </row>
    <row r="135" spans="1:40" x14ac:dyDescent="0.3">
      <c r="A135" s="42"/>
      <c r="B135" s="42"/>
      <c r="C135" s="42"/>
      <c r="D135" s="42"/>
      <c r="E135" s="42"/>
      <c r="F135" s="42"/>
      <c r="G135" s="43"/>
      <c r="H135" s="43"/>
      <c r="I135" s="42"/>
      <c r="J135" s="44"/>
      <c r="K135" s="46"/>
      <c r="L135" s="34" t="str">
        <f t="shared" si="60"/>
        <v/>
      </c>
      <c r="M135" s="33" t="str">
        <f>IF($A135="","",SUMIFS(ASSEGNAZIONI!$F:$F,ASSEGNAZIONI!$B:$B,$A135))</f>
        <v/>
      </c>
      <c r="N135" s="34" t="str">
        <f>IF($A135="","",SUMIFS(ASSEGNAZIONI!$I:$I,ASSEGNAZIONI!$B:$B,$A135))</f>
        <v/>
      </c>
      <c r="O135" s="34" t="str">
        <f>IF($A135="","",SUMIFS(ASSEGNAZIONI!$J:$J,ASSEGNAZIONI!$B:$B,$A135))</f>
        <v/>
      </c>
      <c r="P135" s="34" t="str">
        <f t="shared" si="61"/>
        <v/>
      </c>
      <c r="Q135" s="44"/>
      <c r="R135" s="34" t="str">
        <f t="shared" si="62"/>
        <v/>
      </c>
      <c r="S135" s="35" t="str">
        <f t="shared" si="63"/>
        <v/>
      </c>
      <c r="T135" s="34" t="str">
        <f>IF($A135="","",SUMIFS(ODA!$R:$R,ODA!$B:$B,$A135))</f>
        <v/>
      </c>
      <c r="U135" s="34" t="str">
        <f>IF($A135="","",SUMIFS(ODA!$P:$P,ODA!$B:$B,$A135))</f>
        <v/>
      </c>
      <c r="V135" s="45" t="str">
        <f t="shared" si="64"/>
        <v/>
      </c>
      <c r="W135" s="33" t="str">
        <f>IF($A135="","",SUMIFS(ORE!$F:$F,ORE!$B:$B,$A135))</f>
        <v/>
      </c>
      <c r="X135" s="33" t="str">
        <f>IF($A135="","",SUMIFS(PREVISIONE_ORE!$G:$G,PREVISIONE_ORE!$D:$D,$A135,PREVISIONE_ORE!$K:$K,"Sì"))</f>
        <v/>
      </c>
      <c r="Y135" s="33" t="str">
        <f>IF($A135="","",IF(COUNTIFS(ASSEGNAZIONI!$B:$B,$A135)&gt;0,SUMIFS(ASSEGNAZIONI!$N:$N,ASSEGNAZIONI!$B:$B,$A135),MAX($W135,0)))</f>
        <v/>
      </c>
      <c r="Z135" s="33" t="str">
        <f t="shared" si="65"/>
        <v/>
      </c>
      <c r="AA135" s="34" t="str">
        <f>IF($A135="","",IF(COUNTIFS(ASSEGNAZIONI!$B:$B,$A135)&gt;0,SUMIFS(ASSEGNAZIONI!$P:$P,ASSEGNAZIONI!$B:$B,$A135),0))</f>
        <v/>
      </c>
      <c r="AB135" s="34" t="str">
        <f t="shared" si="66"/>
        <v/>
      </c>
      <c r="AC135" s="34" t="str">
        <f t="shared" si="67"/>
        <v/>
      </c>
      <c r="AD135" s="34" t="str">
        <f t="shared" si="68"/>
        <v/>
      </c>
      <c r="AE135" s="35" t="str">
        <f t="shared" si="69"/>
        <v/>
      </c>
      <c r="AF135" s="34" t="str">
        <f t="shared" si="70"/>
        <v/>
      </c>
      <c r="AG135" s="34" t="str">
        <f t="shared" si="71"/>
        <v/>
      </c>
      <c r="AH135" s="35" t="str">
        <f>IF($A135="","",IFERROR(AVERAGEIFS(FASI!$L:$L,FASI!$B:$B,$A135),0))</f>
        <v/>
      </c>
      <c r="AI135" s="35" t="str">
        <f t="shared" si="72"/>
        <v/>
      </c>
      <c r="AJ135" s="34" t="str">
        <f>IF($A135="","",SUMIFS(SAL!$H:$H,SAL!$B:$B,$A135,SAL!$O:$O,"Emessa")+SUMIFS(SAL!$H:$H,SAL!$B:$B,$A135,SAL!$O:$O,"Incassata")+SUMIFS(SAL!$H:$H,SAL!$B:$B,$A135,SAL!$O:$O,"Scaduta"))</f>
        <v/>
      </c>
      <c r="AK135" s="34" t="str">
        <f>IF($A135="","",SUMIFS(SAL!$H:$H,SAL!$B:$B,$A135,SAL!$O:$O,"Incassata"))</f>
        <v/>
      </c>
      <c r="AL135" s="34" t="str">
        <f t="shared" si="73"/>
        <v/>
      </c>
      <c r="AM135" s="34" t="str">
        <f t="shared" si="74"/>
        <v/>
      </c>
      <c r="AN135" s="36" t="str">
        <f ca="1">IF($A135="","",IF($M135=0,"RISORSE NON ASSEGNATE",IF($AE135&lt;0.1,"MARGINE CRITICO",IF($S135&lt;-SCONTO_MAX,"SCONTO OLTRE SOGLIA",IF($Z135&gt;0,"ORE OLTRE LA STIMA",IF($AI135&gt;ALLERTA_ORE,"CONSUMO ORE ELEVATO",IF(COUNTIFS(SAL!$B:$B,$A135,SAL!$K:$K,"EMETTIBILE")&gt;0,"SAL DA EMETTERE",IF(COUNTIFS(FASI!$B:$B,$A135,FASI!$H:$H,"&lt;"&amp;TODAY(),FASI!$L:$L,"&lt;1")&gt;0,"FASI IN RITARDO","OK"))))))))</f>
        <v/>
      </c>
    </row>
    <row r="136" spans="1:40" x14ac:dyDescent="0.3">
      <c r="A136" s="42"/>
      <c r="B136" s="42"/>
      <c r="C136" s="42"/>
      <c r="D136" s="42"/>
      <c r="E136" s="42"/>
      <c r="F136" s="42"/>
      <c r="G136" s="43"/>
      <c r="H136" s="43"/>
      <c r="I136" s="42"/>
      <c r="J136" s="44"/>
      <c r="K136" s="46"/>
      <c r="L136" s="34" t="str">
        <f t="shared" si="60"/>
        <v/>
      </c>
      <c r="M136" s="33" t="str">
        <f>IF($A136="","",SUMIFS(ASSEGNAZIONI!$F:$F,ASSEGNAZIONI!$B:$B,$A136))</f>
        <v/>
      </c>
      <c r="N136" s="34" t="str">
        <f>IF($A136="","",SUMIFS(ASSEGNAZIONI!$I:$I,ASSEGNAZIONI!$B:$B,$A136))</f>
        <v/>
      </c>
      <c r="O136" s="34" t="str">
        <f>IF($A136="","",SUMIFS(ASSEGNAZIONI!$J:$J,ASSEGNAZIONI!$B:$B,$A136))</f>
        <v/>
      </c>
      <c r="P136" s="34" t="str">
        <f t="shared" si="61"/>
        <v/>
      </c>
      <c r="Q136" s="44"/>
      <c r="R136" s="34" t="str">
        <f t="shared" si="62"/>
        <v/>
      </c>
      <c r="S136" s="35" t="str">
        <f t="shared" si="63"/>
        <v/>
      </c>
      <c r="T136" s="34" t="str">
        <f>IF($A136="","",SUMIFS(ODA!$R:$R,ODA!$B:$B,$A136))</f>
        <v/>
      </c>
      <c r="U136" s="34" t="str">
        <f>IF($A136="","",SUMIFS(ODA!$P:$P,ODA!$B:$B,$A136))</f>
        <v/>
      </c>
      <c r="V136" s="45" t="str">
        <f t="shared" si="64"/>
        <v/>
      </c>
      <c r="W136" s="33" t="str">
        <f>IF($A136="","",SUMIFS(ORE!$F:$F,ORE!$B:$B,$A136))</f>
        <v/>
      </c>
      <c r="X136" s="33" t="str">
        <f>IF($A136="","",SUMIFS(PREVISIONE_ORE!$G:$G,PREVISIONE_ORE!$D:$D,$A136,PREVISIONE_ORE!$K:$K,"Sì"))</f>
        <v/>
      </c>
      <c r="Y136" s="33" t="str">
        <f>IF($A136="","",IF(COUNTIFS(ASSEGNAZIONI!$B:$B,$A136)&gt;0,SUMIFS(ASSEGNAZIONI!$N:$N,ASSEGNAZIONI!$B:$B,$A136),MAX($W136,0)))</f>
        <v/>
      </c>
      <c r="Z136" s="33" t="str">
        <f t="shared" si="65"/>
        <v/>
      </c>
      <c r="AA136" s="34" t="str">
        <f>IF($A136="","",IF(COUNTIFS(ASSEGNAZIONI!$B:$B,$A136)&gt;0,SUMIFS(ASSEGNAZIONI!$P:$P,ASSEGNAZIONI!$B:$B,$A136),0))</f>
        <v/>
      </c>
      <c r="AB136" s="34" t="str">
        <f t="shared" si="66"/>
        <v/>
      </c>
      <c r="AC136" s="34" t="str">
        <f t="shared" si="67"/>
        <v/>
      </c>
      <c r="AD136" s="34" t="str">
        <f t="shared" si="68"/>
        <v/>
      </c>
      <c r="AE136" s="35" t="str">
        <f t="shared" si="69"/>
        <v/>
      </c>
      <c r="AF136" s="34" t="str">
        <f t="shared" si="70"/>
        <v/>
      </c>
      <c r="AG136" s="34" t="str">
        <f t="shared" si="71"/>
        <v/>
      </c>
      <c r="AH136" s="35" t="str">
        <f>IF($A136="","",IFERROR(AVERAGEIFS(FASI!$L:$L,FASI!$B:$B,$A136),0))</f>
        <v/>
      </c>
      <c r="AI136" s="35" t="str">
        <f t="shared" si="72"/>
        <v/>
      </c>
      <c r="AJ136" s="34" t="str">
        <f>IF($A136="","",SUMIFS(SAL!$H:$H,SAL!$B:$B,$A136,SAL!$O:$O,"Emessa")+SUMIFS(SAL!$H:$H,SAL!$B:$B,$A136,SAL!$O:$O,"Incassata")+SUMIFS(SAL!$H:$H,SAL!$B:$B,$A136,SAL!$O:$O,"Scaduta"))</f>
        <v/>
      </c>
      <c r="AK136" s="34" t="str">
        <f>IF($A136="","",SUMIFS(SAL!$H:$H,SAL!$B:$B,$A136,SAL!$O:$O,"Incassata"))</f>
        <v/>
      </c>
      <c r="AL136" s="34" t="str">
        <f t="shared" si="73"/>
        <v/>
      </c>
      <c r="AM136" s="34" t="str">
        <f t="shared" si="74"/>
        <v/>
      </c>
      <c r="AN136" s="36" t="str">
        <f ca="1">IF($A136="","",IF($M136=0,"RISORSE NON ASSEGNATE",IF($AE136&lt;0.1,"MARGINE CRITICO",IF($S136&lt;-SCONTO_MAX,"SCONTO OLTRE SOGLIA",IF($Z136&gt;0,"ORE OLTRE LA STIMA",IF($AI136&gt;ALLERTA_ORE,"CONSUMO ORE ELEVATO",IF(COUNTIFS(SAL!$B:$B,$A136,SAL!$K:$K,"EMETTIBILE")&gt;0,"SAL DA EMETTERE",IF(COUNTIFS(FASI!$B:$B,$A136,FASI!$H:$H,"&lt;"&amp;TODAY(),FASI!$L:$L,"&lt;1")&gt;0,"FASI IN RITARDO","OK"))))))))</f>
        <v/>
      </c>
    </row>
    <row r="137" spans="1:40" x14ac:dyDescent="0.3">
      <c r="A137" s="42"/>
      <c r="B137" s="42"/>
      <c r="C137" s="42"/>
      <c r="D137" s="42"/>
      <c r="E137" s="42"/>
      <c r="F137" s="42"/>
      <c r="G137" s="43"/>
      <c r="H137" s="43"/>
      <c r="I137" s="42"/>
      <c r="J137" s="44"/>
      <c r="K137" s="46"/>
      <c r="L137" s="34" t="str">
        <f t="shared" si="60"/>
        <v/>
      </c>
      <c r="M137" s="33" t="str">
        <f>IF($A137="","",SUMIFS(ASSEGNAZIONI!$F:$F,ASSEGNAZIONI!$B:$B,$A137))</f>
        <v/>
      </c>
      <c r="N137" s="34" t="str">
        <f>IF($A137="","",SUMIFS(ASSEGNAZIONI!$I:$I,ASSEGNAZIONI!$B:$B,$A137))</f>
        <v/>
      </c>
      <c r="O137" s="34" t="str">
        <f>IF($A137="","",SUMIFS(ASSEGNAZIONI!$J:$J,ASSEGNAZIONI!$B:$B,$A137))</f>
        <v/>
      </c>
      <c r="P137" s="34" t="str">
        <f t="shared" si="61"/>
        <v/>
      </c>
      <c r="Q137" s="44"/>
      <c r="R137" s="34" t="str">
        <f t="shared" si="62"/>
        <v/>
      </c>
      <c r="S137" s="35" t="str">
        <f t="shared" si="63"/>
        <v/>
      </c>
      <c r="T137" s="34" t="str">
        <f>IF($A137="","",SUMIFS(ODA!$R:$R,ODA!$B:$B,$A137))</f>
        <v/>
      </c>
      <c r="U137" s="34" t="str">
        <f>IF($A137="","",SUMIFS(ODA!$P:$P,ODA!$B:$B,$A137))</f>
        <v/>
      </c>
      <c r="V137" s="45" t="str">
        <f t="shared" si="64"/>
        <v/>
      </c>
      <c r="W137" s="33" t="str">
        <f>IF($A137="","",SUMIFS(ORE!$F:$F,ORE!$B:$B,$A137))</f>
        <v/>
      </c>
      <c r="X137" s="33" t="str">
        <f>IF($A137="","",SUMIFS(PREVISIONE_ORE!$G:$G,PREVISIONE_ORE!$D:$D,$A137,PREVISIONE_ORE!$K:$K,"Sì"))</f>
        <v/>
      </c>
      <c r="Y137" s="33" t="str">
        <f>IF($A137="","",IF(COUNTIFS(ASSEGNAZIONI!$B:$B,$A137)&gt;0,SUMIFS(ASSEGNAZIONI!$N:$N,ASSEGNAZIONI!$B:$B,$A137),MAX($W137,0)))</f>
        <v/>
      </c>
      <c r="Z137" s="33" t="str">
        <f t="shared" si="65"/>
        <v/>
      </c>
      <c r="AA137" s="34" t="str">
        <f>IF($A137="","",IF(COUNTIFS(ASSEGNAZIONI!$B:$B,$A137)&gt;0,SUMIFS(ASSEGNAZIONI!$P:$P,ASSEGNAZIONI!$B:$B,$A137),0))</f>
        <v/>
      </c>
      <c r="AB137" s="34" t="str">
        <f t="shared" si="66"/>
        <v/>
      </c>
      <c r="AC137" s="34" t="str">
        <f t="shared" si="67"/>
        <v/>
      </c>
      <c r="AD137" s="34" t="str">
        <f t="shared" si="68"/>
        <v/>
      </c>
      <c r="AE137" s="35" t="str">
        <f t="shared" si="69"/>
        <v/>
      </c>
      <c r="AF137" s="34" t="str">
        <f t="shared" si="70"/>
        <v/>
      </c>
      <c r="AG137" s="34" t="str">
        <f t="shared" si="71"/>
        <v/>
      </c>
      <c r="AH137" s="35" t="str">
        <f>IF($A137="","",IFERROR(AVERAGEIFS(FASI!$L:$L,FASI!$B:$B,$A137),0))</f>
        <v/>
      </c>
      <c r="AI137" s="35" t="str">
        <f t="shared" si="72"/>
        <v/>
      </c>
      <c r="AJ137" s="34" t="str">
        <f>IF($A137="","",SUMIFS(SAL!$H:$H,SAL!$B:$B,$A137,SAL!$O:$O,"Emessa")+SUMIFS(SAL!$H:$H,SAL!$B:$B,$A137,SAL!$O:$O,"Incassata")+SUMIFS(SAL!$H:$H,SAL!$B:$B,$A137,SAL!$O:$O,"Scaduta"))</f>
        <v/>
      </c>
      <c r="AK137" s="34" t="str">
        <f>IF($A137="","",SUMIFS(SAL!$H:$H,SAL!$B:$B,$A137,SAL!$O:$O,"Incassata"))</f>
        <v/>
      </c>
      <c r="AL137" s="34" t="str">
        <f t="shared" si="73"/>
        <v/>
      </c>
      <c r="AM137" s="34" t="str">
        <f t="shared" si="74"/>
        <v/>
      </c>
      <c r="AN137" s="36" t="str">
        <f ca="1">IF($A137="","",IF($M137=0,"RISORSE NON ASSEGNATE",IF($AE137&lt;0.1,"MARGINE CRITICO",IF($S137&lt;-SCONTO_MAX,"SCONTO OLTRE SOGLIA",IF($Z137&gt;0,"ORE OLTRE LA STIMA",IF($AI137&gt;ALLERTA_ORE,"CONSUMO ORE ELEVATO",IF(COUNTIFS(SAL!$B:$B,$A137,SAL!$K:$K,"EMETTIBILE")&gt;0,"SAL DA EMETTERE",IF(COUNTIFS(FASI!$B:$B,$A137,FASI!$H:$H,"&lt;"&amp;TODAY(),FASI!$L:$L,"&lt;1")&gt;0,"FASI IN RITARDO","OK"))))))))</f>
        <v/>
      </c>
    </row>
    <row r="138" spans="1:40" x14ac:dyDescent="0.3">
      <c r="A138" s="42"/>
      <c r="B138" s="42"/>
      <c r="C138" s="42"/>
      <c r="D138" s="42"/>
      <c r="E138" s="42"/>
      <c r="F138" s="42"/>
      <c r="G138" s="43"/>
      <c r="H138" s="43"/>
      <c r="I138" s="42"/>
      <c r="J138" s="44"/>
      <c r="K138" s="46"/>
      <c r="L138" s="34" t="str">
        <f t="shared" si="60"/>
        <v/>
      </c>
      <c r="M138" s="33" t="str">
        <f>IF($A138="","",SUMIFS(ASSEGNAZIONI!$F:$F,ASSEGNAZIONI!$B:$B,$A138))</f>
        <v/>
      </c>
      <c r="N138" s="34" t="str">
        <f>IF($A138="","",SUMIFS(ASSEGNAZIONI!$I:$I,ASSEGNAZIONI!$B:$B,$A138))</f>
        <v/>
      </c>
      <c r="O138" s="34" t="str">
        <f>IF($A138="","",SUMIFS(ASSEGNAZIONI!$J:$J,ASSEGNAZIONI!$B:$B,$A138))</f>
        <v/>
      </c>
      <c r="P138" s="34" t="str">
        <f t="shared" si="61"/>
        <v/>
      </c>
      <c r="Q138" s="44"/>
      <c r="R138" s="34" t="str">
        <f t="shared" si="62"/>
        <v/>
      </c>
      <c r="S138" s="35" t="str">
        <f t="shared" si="63"/>
        <v/>
      </c>
      <c r="T138" s="34" t="str">
        <f>IF($A138="","",SUMIFS(ODA!$R:$R,ODA!$B:$B,$A138))</f>
        <v/>
      </c>
      <c r="U138" s="34" t="str">
        <f>IF($A138="","",SUMIFS(ODA!$P:$P,ODA!$B:$B,$A138))</f>
        <v/>
      </c>
      <c r="V138" s="45" t="str">
        <f t="shared" si="64"/>
        <v/>
      </c>
      <c r="W138" s="33" t="str">
        <f>IF($A138="","",SUMIFS(ORE!$F:$F,ORE!$B:$B,$A138))</f>
        <v/>
      </c>
      <c r="X138" s="33" t="str">
        <f>IF($A138="","",SUMIFS(PREVISIONE_ORE!$G:$G,PREVISIONE_ORE!$D:$D,$A138,PREVISIONE_ORE!$K:$K,"Sì"))</f>
        <v/>
      </c>
      <c r="Y138" s="33" t="str">
        <f>IF($A138="","",IF(COUNTIFS(ASSEGNAZIONI!$B:$B,$A138)&gt;0,SUMIFS(ASSEGNAZIONI!$N:$N,ASSEGNAZIONI!$B:$B,$A138),MAX($W138,0)))</f>
        <v/>
      </c>
      <c r="Z138" s="33" t="str">
        <f t="shared" si="65"/>
        <v/>
      </c>
      <c r="AA138" s="34" t="str">
        <f>IF($A138="","",IF(COUNTIFS(ASSEGNAZIONI!$B:$B,$A138)&gt;0,SUMIFS(ASSEGNAZIONI!$P:$P,ASSEGNAZIONI!$B:$B,$A138),0))</f>
        <v/>
      </c>
      <c r="AB138" s="34" t="str">
        <f t="shared" si="66"/>
        <v/>
      </c>
      <c r="AC138" s="34" t="str">
        <f t="shared" si="67"/>
        <v/>
      </c>
      <c r="AD138" s="34" t="str">
        <f t="shared" si="68"/>
        <v/>
      </c>
      <c r="AE138" s="35" t="str">
        <f t="shared" si="69"/>
        <v/>
      </c>
      <c r="AF138" s="34" t="str">
        <f t="shared" si="70"/>
        <v/>
      </c>
      <c r="AG138" s="34" t="str">
        <f t="shared" si="71"/>
        <v/>
      </c>
      <c r="AH138" s="35" t="str">
        <f>IF($A138="","",IFERROR(AVERAGEIFS(FASI!$L:$L,FASI!$B:$B,$A138),0))</f>
        <v/>
      </c>
      <c r="AI138" s="35" t="str">
        <f t="shared" si="72"/>
        <v/>
      </c>
      <c r="AJ138" s="34" t="str">
        <f>IF($A138="","",SUMIFS(SAL!$H:$H,SAL!$B:$B,$A138,SAL!$O:$O,"Emessa")+SUMIFS(SAL!$H:$H,SAL!$B:$B,$A138,SAL!$O:$O,"Incassata")+SUMIFS(SAL!$H:$H,SAL!$B:$B,$A138,SAL!$O:$O,"Scaduta"))</f>
        <v/>
      </c>
      <c r="AK138" s="34" t="str">
        <f>IF($A138="","",SUMIFS(SAL!$H:$H,SAL!$B:$B,$A138,SAL!$O:$O,"Incassata"))</f>
        <v/>
      </c>
      <c r="AL138" s="34" t="str">
        <f t="shared" si="73"/>
        <v/>
      </c>
      <c r="AM138" s="34" t="str">
        <f t="shared" si="74"/>
        <v/>
      </c>
      <c r="AN138" s="36" t="str">
        <f ca="1">IF($A138="","",IF($M138=0,"RISORSE NON ASSEGNATE",IF($AE138&lt;0.1,"MARGINE CRITICO",IF($S138&lt;-SCONTO_MAX,"SCONTO OLTRE SOGLIA",IF($Z138&gt;0,"ORE OLTRE LA STIMA",IF($AI138&gt;ALLERTA_ORE,"CONSUMO ORE ELEVATO",IF(COUNTIFS(SAL!$B:$B,$A138,SAL!$K:$K,"EMETTIBILE")&gt;0,"SAL DA EMETTERE",IF(COUNTIFS(FASI!$B:$B,$A138,FASI!$H:$H,"&lt;"&amp;TODAY(),FASI!$L:$L,"&lt;1")&gt;0,"FASI IN RITARDO","OK"))))))))</f>
        <v/>
      </c>
    </row>
    <row r="139" spans="1:40" x14ac:dyDescent="0.3">
      <c r="A139" s="42"/>
      <c r="B139" s="42"/>
      <c r="C139" s="42"/>
      <c r="D139" s="42"/>
      <c r="E139" s="42"/>
      <c r="F139" s="42"/>
      <c r="G139" s="43"/>
      <c r="H139" s="43"/>
      <c r="I139" s="42"/>
      <c r="J139" s="44"/>
      <c r="K139" s="46"/>
      <c r="L139" s="34" t="str">
        <f t="shared" si="60"/>
        <v/>
      </c>
      <c r="M139" s="33" t="str">
        <f>IF($A139="","",SUMIFS(ASSEGNAZIONI!$F:$F,ASSEGNAZIONI!$B:$B,$A139))</f>
        <v/>
      </c>
      <c r="N139" s="34" t="str">
        <f>IF($A139="","",SUMIFS(ASSEGNAZIONI!$I:$I,ASSEGNAZIONI!$B:$B,$A139))</f>
        <v/>
      </c>
      <c r="O139" s="34" t="str">
        <f>IF($A139="","",SUMIFS(ASSEGNAZIONI!$J:$J,ASSEGNAZIONI!$B:$B,$A139))</f>
        <v/>
      </c>
      <c r="P139" s="34" t="str">
        <f t="shared" si="61"/>
        <v/>
      </c>
      <c r="Q139" s="44"/>
      <c r="R139" s="34" t="str">
        <f t="shared" si="62"/>
        <v/>
      </c>
      <c r="S139" s="35" t="str">
        <f t="shared" si="63"/>
        <v/>
      </c>
      <c r="T139" s="34" t="str">
        <f>IF($A139="","",SUMIFS(ODA!$R:$R,ODA!$B:$B,$A139))</f>
        <v/>
      </c>
      <c r="U139" s="34" t="str">
        <f>IF($A139="","",SUMIFS(ODA!$P:$P,ODA!$B:$B,$A139))</f>
        <v/>
      </c>
      <c r="V139" s="45" t="str">
        <f t="shared" si="64"/>
        <v/>
      </c>
      <c r="W139" s="33" t="str">
        <f>IF($A139="","",SUMIFS(ORE!$F:$F,ORE!$B:$B,$A139))</f>
        <v/>
      </c>
      <c r="X139" s="33" t="str">
        <f>IF($A139="","",SUMIFS(PREVISIONE_ORE!$G:$G,PREVISIONE_ORE!$D:$D,$A139,PREVISIONE_ORE!$K:$K,"Sì"))</f>
        <v/>
      </c>
      <c r="Y139" s="33" t="str">
        <f>IF($A139="","",IF(COUNTIFS(ASSEGNAZIONI!$B:$B,$A139)&gt;0,SUMIFS(ASSEGNAZIONI!$N:$N,ASSEGNAZIONI!$B:$B,$A139),MAX($W139,0)))</f>
        <v/>
      </c>
      <c r="Z139" s="33" t="str">
        <f t="shared" si="65"/>
        <v/>
      </c>
      <c r="AA139" s="34" t="str">
        <f>IF($A139="","",IF(COUNTIFS(ASSEGNAZIONI!$B:$B,$A139)&gt;0,SUMIFS(ASSEGNAZIONI!$P:$P,ASSEGNAZIONI!$B:$B,$A139),0))</f>
        <v/>
      </c>
      <c r="AB139" s="34" t="str">
        <f t="shared" si="66"/>
        <v/>
      </c>
      <c r="AC139" s="34" t="str">
        <f t="shared" si="67"/>
        <v/>
      </c>
      <c r="AD139" s="34" t="str">
        <f t="shared" si="68"/>
        <v/>
      </c>
      <c r="AE139" s="35" t="str">
        <f t="shared" si="69"/>
        <v/>
      </c>
      <c r="AF139" s="34" t="str">
        <f t="shared" si="70"/>
        <v/>
      </c>
      <c r="AG139" s="34" t="str">
        <f t="shared" si="71"/>
        <v/>
      </c>
      <c r="AH139" s="35" t="str">
        <f>IF($A139="","",IFERROR(AVERAGEIFS(FASI!$L:$L,FASI!$B:$B,$A139),0))</f>
        <v/>
      </c>
      <c r="AI139" s="35" t="str">
        <f t="shared" si="72"/>
        <v/>
      </c>
      <c r="AJ139" s="34" t="str">
        <f>IF($A139="","",SUMIFS(SAL!$H:$H,SAL!$B:$B,$A139,SAL!$O:$O,"Emessa")+SUMIFS(SAL!$H:$H,SAL!$B:$B,$A139,SAL!$O:$O,"Incassata")+SUMIFS(SAL!$H:$H,SAL!$B:$B,$A139,SAL!$O:$O,"Scaduta"))</f>
        <v/>
      </c>
      <c r="AK139" s="34" t="str">
        <f>IF($A139="","",SUMIFS(SAL!$H:$H,SAL!$B:$B,$A139,SAL!$O:$O,"Incassata"))</f>
        <v/>
      </c>
      <c r="AL139" s="34" t="str">
        <f t="shared" si="73"/>
        <v/>
      </c>
      <c r="AM139" s="34" t="str">
        <f t="shared" si="74"/>
        <v/>
      </c>
      <c r="AN139" s="36" t="str">
        <f ca="1">IF($A139="","",IF($M139=0,"RISORSE NON ASSEGNATE",IF($AE139&lt;0.1,"MARGINE CRITICO",IF($S139&lt;-SCONTO_MAX,"SCONTO OLTRE SOGLIA",IF($Z139&gt;0,"ORE OLTRE LA STIMA",IF($AI139&gt;ALLERTA_ORE,"CONSUMO ORE ELEVATO",IF(COUNTIFS(SAL!$B:$B,$A139,SAL!$K:$K,"EMETTIBILE")&gt;0,"SAL DA EMETTERE",IF(COUNTIFS(FASI!$B:$B,$A139,FASI!$H:$H,"&lt;"&amp;TODAY(),FASI!$L:$L,"&lt;1")&gt;0,"FASI IN RITARDO","OK"))))))))</f>
        <v/>
      </c>
    </row>
    <row r="140" spans="1:40" x14ac:dyDescent="0.3">
      <c r="A140" s="42"/>
      <c r="B140" s="42"/>
      <c r="C140" s="42"/>
      <c r="D140" s="42"/>
      <c r="E140" s="42"/>
      <c r="F140" s="42"/>
      <c r="G140" s="43"/>
      <c r="H140" s="43"/>
      <c r="I140" s="42"/>
      <c r="J140" s="44"/>
      <c r="K140" s="46"/>
      <c r="L140" s="34" t="str">
        <f t="shared" si="60"/>
        <v/>
      </c>
      <c r="M140" s="33" t="str">
        <f>IF($A140="","",SUMIFS(ASSEGNAZIONI!$F:$F,ASSEGNAZIONI!$B:$B,$A140))</f>
        <v/>
      </c>
      <c r="N140" s="34" t="str">
        <f>IF($A140="","",SUMIFS(ASSEGNAZIONI!$I:$I,ASSEGNAZIONI!$B:$B,$A140))</f>
        <v/>
      </c>
      <c r="O140" s="34" t="str">
        <f>IF($A140="","",SUMIFS(ASSEGNAZIONI!$J:$J,ASSEGNAZIONI!$B:$B,$A140))</f>
        <v/>
      </c>
      <c r="P140" s="34" t="str">
        <f t="shared" si="61"/>
        <v/>
      </c>
      <c r="Q140" s="44"/>
      <c r="R140" s="34" t="str">
        <f t="shared" si="62"/>
        <v/>
      </c>
      <c r="S140" s="35" t="str">
        <f t="shared" si="63"/>
        <v/>
      </c>
      <c r="T140" s="34" t="str">
        <f>IF($A140="","",SUMIFS(ODA!$R:$R,ODA!$B:$B,$A140))</f>
        <v/>
      </c>
      <c r="U140" s="34" t="str">
        <f>IF($A140="","",SUMIFS(ODA!$P:$P,ODA!$B:$B,$A140))</f>
        <v/>
      </c>
      <c r="V140" s="45" t="str">
        <f t="shared" si="64"/>
        <v/>
      </c>
      <c r="W140" s="33" t="str">
        <f>IF($A140="","",SUMIFS(ORE!$F:$F,ORE!$B:$B,$A140))</f>
        <v/>
      </c>
      <c r="X140" s="33" t="str">
        <f>IF($A140="","",SUMIFS(PREVISIONE_ORE!$G:$G,PREVISIONE_ORE!$D:$D,$A140,PREVISIONE_ORE!$K:$K,"Sì"))</f>
        <v/>
      </c>
      <c r="Y140" s="33" t="str">
        <f>IF($A140="","",IF(COUNTIFS(ASSEGNAZIONI!$B:$B,$A140)&gt;0,SUMIFS(ASSEGNAZIONI!$N:$N,ASSEGNAZIONI!$B:$B,$A140),MAX($W140,0)))</f>
        <v/>
      </c>
      <c r="Z140" s="33" t="str">
        <f t="shared" si="65"/>
        <v/>
      </c>
      <c r="AA140" s="34" t="str">
        <f>IF($A140="","",IF(COUNTIFS(ASSEGNAZIONI!$B:$B,$A140)&gt;0,SUMIFS(ASSEGNAZIONI!$P:$P,ASSEGNAZIONI!$B:$B,$A140),0))</f>
        <v/>
      </c>
      <c r="AB140" s="34" t="str">
        <f t="shared" si="66"/>
        <v/>
      </c>
      <c r="AC140" s="34" t="str">
        <f t="shared" si="67"/>
        <v/>
      </c>
      <c r="AD140" s="34" t="str">
        <f t="shared" si="68"/>
        <v/>
      </c>
      <c r="AE140" s="35" t="str">
        <f t="shared" si="69"/>
        <v/>
      </c>
      <c r="AF140" s="34" t="str">
        <f t="shared" si="70"/>
        <v/>
      </c>
      <c r="AG140" s="34" t="str">
        <f t="shared" si="71"/>
        <v/>
      </c>
      <c r="AH140" s="35" t="str">
        <f>IF($A140="","",IFERROR(AVERAGEIFS(FASI!$L:$L,FASI!$B:$B,$A140),0))</f>
        <v/>
      </c>
      <c r="AI140" s="35" t="str">
        <f t="shared" si="72"/>
        <v/>
      </c>
      <c r="AJ140" s="34" t="str">
        <f>IF($A140="","",SUMIFS(SAL!$H:$H,SAL!$B:$B,$A140,SAL!$O:$O,"Emessa")+SUMIFS(SAL!$H:$H,SAL!$B:$B,$A140,SAL!$O:$O,"Incassata")+SUMIFS(SAL!$H:$H,SAL!$B:$B,$A140,SAL!$O:$O,"Scaduta"))</f>
        <v/>
      </c>
      <c r="AK140" s="34" t="str">
        <f>IF($A140="","",SUMIFS(SAL!$H:$H,SAL!$B:$B,$A140,SAL!$O:$O,"Incassata"))</f>
        <v/>
      </c>
      <c r="AL140" s="34" t="str">
        <f t="shared" si="73"/>
        <v/>
      </c>
      <c r="AM140" s="34" t="str">
        <f t="shared" si="74"/>
        <v/>
      </c>
      <c r="AN140" s="36" t="str">
        <f ca="1">IF($A140="","",IF($M140=0,"RISORSE NON ASSEGNATE",IF($AE140&lt;0.1,"MARGINE CRITICO",IF($S140&lt;-SCONTO_MAX,"SCONTO OLTRE SOGLIA",IF($Z140&gt;0,"ORE OLTRE LA STIMA",IF($AI140&gt;ALLERTA_ORE,"CONSUMO ORE ELEVATO",IF(COUNTIFS(SAL!$B:$B,$A140,SAL!$K:$K,"EMETTIBILE")&gt;0,"SAL DA EMETTERE",IF(COUNTIFS(FASI!$B:$B,$A140,FASI!$H:$H,"&lt;"&amp;TODAY(),FASI!$L:$L,"&lt;1")&gt;0,"FASI IN RITARDO","OK"))))))))</f>
        <v/>
      </c>
    </row>
    <row r="141" spans="1:40" x14ac:dyDescent="0.3">
      <c r="A141" s="42"/>
      <c r="B141" s="42"/>
      <c r="C141" s="42"/>
      <c r="D141" s="42"/>
      <c r="E141" s="42"/>
      <c r="F141" s="42"/>
      <c r="G141" s="43"/>
      <c r="H141" s="43"/>
      <c r="I141" s="42"/>
      <c r="J141" s="44"/>
      <c r="K141" s="46"/>
      <c r="L141" s="34" t="str">
        <f t="shared" si="60"/>
        <v/>
      </c>
      <c r="M141" s="33" t="str">
        <f>IF($A141="","",SUMIFS(ASSEGNAZIONI!$F:$F,ASSEGNAZIONI!$B:$B,$A141))</f>
        <v/>
      </c>
      <c r="N141" s="34" t="str">
        <f>IF($A141="","",SUMIFS(ASSEGNAZIONI!$I:$I,ASSEGNAZIONI!$B:$B,$A141))</f>
        <v/>
      </c>
      <c r="O141" s="34" t="str">
        <f>IF($A141="","",SUMIFS(ASSEGNAZIONI!$J:$J,ASSEGNAZIONI!$B:$B,$A141))</f>
        <v/>
      </c>
      <c r="P141" s="34" t="str">
        <f t="shared" si="61"/>
        <v/>
      </c>
      <c r="Q141" s="44"/>
      <c r="R141" s="34" t="str">
        <f t="shared" si="62"/>
        <v/>
      </c>
      <c r="S141" s="35" t="str">
        <f t="shared" si="63"/>
        <v/>
      </c>
      <c r="T141" s="34" t="str">
        <f>IF($A141="","",SUMIFS(ODA!$R:$R,ODA!$B:$B,$A141))</f>
        <v/>
      </c>
      <c r="U141" s="34" t="str">
        <f>IF($A141="","",SUMIFS(ODA!$P:$P,ODA!$B:$B,$A141))</f>
        <v/>
      </c>
      <c r="V141" s="45" t="str">
        <f t="shared" si="64"/>
        <v/>
      </c>
      <c r="W141" s="33" t="str">
        <f>IF($A141="","",SUMIFS(ORE!$F:$F,ORE!$B:$B,$A141))</f>
        <v/>
      </c>
      <c r="X141" s="33" t="str">
        <f>IF($A141="","",SUMIFS(PREVISIONE_ORE!$G:$G,PREVISIONE_ORE!$D:$D,$A141,PREVISIONE_ORE!$K:$K,"Sì"))</f>
        <v/>
      </c>
      <c r="Y141" s="33" t="str">
        <f>IF($A141="","",IF(COUNTIFS(ASSEGNAZIONI!$B:$B,$A141)&gt;0,SUMIFS(ASSEGNAZIONI!$N:$N,ASSEGNAZIONI!$B:$B,$A141),MAX($W141,0)))</f>
        <v/>
      </c>
      <c r="Z141" s="33" t="str">
        <f t="shared" si="65"/>
        <v/>
      </c>
      <c r="AA141" s="34" t="str">
        <f>IF($A141="","",IF(COUNTIFS(ASSEGNAZIONI!$B:$B,$A141)&gt;0,SUMIFS(ASSEGNAZIONI!$P:$P,ASSEGNAZIONI!$B:$B,$A141),0))</f>
        <v/>
      </c>
      <c r="AB141" s="34" t="str">
        <f t="shared" si="66"/>
        <v/>
      </c>
      <c r="AC141" s="34" t="str">
        <f t="shared" si="67"/>
        <v/>
      </c>
      <c r="AD141" s="34" t="str">
        <f t="shared" si="68"/>
        <v/>
      </c>
      <c r="AE141" s="35" t="str">
        <f t="shared" si="69"/>
        <v/>
      </c>
      <c r="AF141" s="34" t="str">
        <f t="shared" si="70"/>
        <v/>
      </c>
      <c r="AG141" s="34" t="str">
        <f t="shared" si="71"/>
        <v/>
      </c>
      <c r="AH141" s="35" t="str">
        <f>IF($A141="","",IFERROR(AVERAGEIFS(FASI!$L:$L,FASI!$B:$B,$A141),0))</f>
        <v/>
      </c>
      <c r="AI141" s="35" t="str">
        <f t="shared" si="72"/>
        <v/>
      </c>
      <c r="AJ141" s="34" t="str">
        <f>IF($A141="","",SUMIFS(SAL!$H:$H,SAL!$B:$B,$A141,SAL!$O:$O,"Emessa")+SUMIFS(SAL!$H:$H,SAL!$B:$B,$A141,SAL!$O:$O,"Incassata")+SUMIFS(SAL!$H:$H,SAL!$B:$B,$A141,SAL!$O:$O,"Scaduta"))</f>
        <v/>
      </c>
      <c r="AK141" s="34" t="str">
        <f>IF($A141="","",SUMIFS(SAL!$H:$H,SAL!$B:$B,$A141,SAL!$O:$O,"Incassata"))</f>
        <v/>
      </c>
      <c r="AL141" s="34" t="str">
        <f t="shared" si="73"/>
        <v/>
      </c>
      <c r="AM141" s="34" t="str">
        <f t="shared" si="74"/>
        <v/>
      </c>
      <c r="AN141" s="36" t="str">
        <f ca="1">IF($A141="","",IF($M141=0,"RISORSE NON ASSEGNATE",IF($AE141&lt;0.1,"MARGINE CRITICO",IF($S141&lt;-SCONTO_MAX,"SCONTO OLTRE SOGLIA",IF($Z141&gt;0,"ORE OLTRE LA STIMA",IF($AI141&gt;ALLERTA_ORE,"CONSUMO ORE ELEVATO",IF(COUNTIFS(SAL!$B:$B,$A141,SAL!$K:$K,"EMETTIBILE")&gt;0,"SAL DA EMETTERE",IF(COUNTIFS(FASI!$B:$B,$A141,FASI!$H:$H,"&lt;"&amp;TODAY(),FASI!$L:$L,"&lt;1")&gt;0,"FASI IN RITARDO","OK"))))))))</f>
        <v/>
      </c>
    </row>
    <row r="142" spans="1:40" x14ac:dyDescent="0.3">
      <c r="A142" s="42"/>
      <c r="B142" s="42"/>
      <c r="C142" s="42"/>
      <c r="D142" s="42"/>
      <c r="E142" s="42"/>
      <c r="F142" s="42"/>
      <c r="G142" s="43"/>
      <c r="H142" s="43"/>
      <c r="I142" s="42"/>
      <c r="J142" s="44"/>
      <c r="K142" s="46"/>
      <c r="L142" s="34" t="str">
        <f t="shared" si="60"/>
        <v/>
      </c>
      <c r="M142" s="33" t="str">
        <f>IF($A142="","",SUMIFS(ASSEGNAZIONI!$F:$F,ASSEGNAZIONI!$B:$B,$A142))</f>
        <v/>
      </c>
      <c r="N142" s="34" t="str">
        <f>IF($A142="","",SUMIFS(ASSEGNAZIONI!$I:$I,ASSEGNAZIONI!$B:$B,$A142))</f>
        <v/>
      </c>
      <c r="O142" s="34" t="str">
        <f>IF($A142="","",SUMIFS(ASSEGNAZIONI!$J:$J,ASSEGNAZIONI!$B:$B,$A142))</f>
        <v/>
      </c>
      <c r="P142" s="34" t="str">
        <f t="shared" si="61"/>
        <v/>
      </c>
      <c r="Q142" s="44"/>
      <c r="R142" s="34" t="str">
        <f t="shared" si="62"/>
        <v/>
      </c>
      <c r="S142" s="35" t="str">
        <f t="shared" si="63"/>
        <v/>
      </c>
      <c r="T142" s="34" t="str">
        <f>IF($A142="","",SUMIFS(ODA!$R:$R,ODA!$B:$B,$A142))</f>
        <v/>
      </c>
      <c r="U142" s="34" t="str">
        <f>IF($A142="","",SUMIFS(ODA!$P:$P,ODA!$B:$B,$A142))</f>
        <v/>
      </c>
      <c r="V142" s="45" t="str">
        <f t="shared" si="64"/>
        <v/>
      </c>
      <c r="W142" s="33" t="str">
        <f>IF($A142="","",SUMIFS(ORE!$F:$F,ORE!$B:$B,$A142))</f>
        <v/>
      </c>
      <c r="X142" s="33" t="str">
        <f>IF($A142="","",SUMIFS(PREVISIONE_ORE!$G:$G,PREVISIONE_ORE!$D:$D,$A142,PREVISIONE_ORE!$K:$K,"Sì"))</f>
        <v/>
      </c>
      <c r="Y142" s="33" t="str">
        <f>IF($A142="","",IF(COUNTIFS(ASSEGNAZIONI!$B:$B,$A142)&gt;0,SUMIFS(ASSEGNAZIONI!$N:$N,ASSEGNAZIONI!$B:$B,$A142),MAX($W142,0)))</f>
        <v/>
      </c>
      <c r="Z142" s="33" t="str">
        <f t="shared" si="65"/>
        <v/>
      </c>
      <c r="AA142" s="34" t="str">
        <f>IF($A142="","",IF(COUNTIFS(ASSEGNAZIONI!$B:$B,$A142)&gt;0,SUMIFS(ASSEGNAZIONI!$P:$P,ASSEGNAZIONI!$B:$B,$A142),0))</f>
        <v/>
      </c>
      <c r="AB142" s="34" t="str">
        <f t="shared" si="66"/>
        <v/>
      </c>
      <c r="AC142" s="34" t="str">
        <f t="shared" si="67"/>
        <v/>
      </c>
      <c r="AD142" s="34" t="str">
        <f t="shared" si="68"/>
        <v/>
      </c>
      <c r="AE142" s="35" t="str">
        <f t="shared" si="69"/>
        <v/>
      </c>
      <c r="AF142" s="34" t="str">
        <f t="shared" si="70"/>
        <v/>
      </c>
      <c r="AG142" s="34" t="str">
        <f t="shared" si="71"/>
        <v/>
      </c>
      <c r="AH142" s="35" t="str">
        <f>IF($A142="","",IFERROR(AVERAGEIFS(FASI!$L:$L,FASI!$B:$B,$A142),0))</f>
        <v/>
      </c>
      <c r="AI142" s="35" t="str">
        <f t="shared" si="72"/>
        <v/>
      </c>
      <c r="AJ142" s="34" t="str">
        <f>IF($A142="","",SUMIFS(SAL!$H:$H,SAL!$B:$B,$A142,SAL!$O:$O,"Emessa")+SUMIFS(SAL!$H:$H,SAL!$B:$B,$A142,SAL!$O:$O,"Incassata")+SUMIFS(SAL!$H:$H,SAL!$B:$B,$A142,SAL!$O:$O,"Scaduta"))</f>
        <v/>
      </c>
      <c r="AK142" s="34" t="str">
        <f>IF($A142="","",SUMIFS(SAL!$H:$H,SAL!$B:$B,$A142,SAL!$O:$O,"Incassata"))</f>
        <v/>
      </c>
      <c r="AL142" s="34" t="str">
        <f t="shared" si="73"/>
        <v/>
      </c>
      <c r="AM142" s="34" t="str">
        <f t="shared" si="74"/>
        <v/>
      </c>
      <c r="AN142" s="36" t="str">
        <f ca="1">IF($A142="","",IF($M142=0,"RISORSE NON ASSEGNATE",IF($AE142&lt;0.1,"MARGINE CRITICO",IF($S142&lt;-SCONTO_MAX,"SCONTO OLTRE SOGLIA",IF($Z142&gt;0,"ORE OLTRE LA STIMA",IF($AI142&gt;ALLERTA_ORE,"CONSUMO ORE ELEVATO",IF(COUNTIFS(SAL!$B:$B,$A142,SAL!$K:$K,"EMETTIBILE")&gt;0,"SAL DA EMETTERE",IF(COUNTIFS(FASI!$B:$B,$A142,FASI!$H:$H,"&lt;"&amp;TODAY(),FASI!$L:$L,"&lt;1")&gt;0,"FASI IN RITARDO","OK"))))))))</f>
        <v/>
      </c>
    </row>
    <row r="143" spans="1:40" x14ac:dyDescent="0.3">
      <c r="A143" s="42"/>
      <c r="B143" s="42"/>
      <c r="C143" s="42"/>
      <c r="D143" s="42"/>
      <c r="E143" s="42"/>
      <c r="F143" s="42"/>
      <c r="G143" s="43"/>
      <c r="H143" s="43"/>
      <c r="I143" s="42"/>
      <c r="J143" s="44"/>
      <c r="K143" s="46"/>
      <c r="L143" s="34" t="str">
        <f t="shared" si="60"/>
        <v/>
      </c>
      <c r="M143" s="33" t="str">
        <f>IF($A143="","",SUMIFS(ASSEGNAZIONI!$F:$F,ASSEGNAZIONI!$B:$B,$A143))</f>
        <v/>
      </c>
      <c r="N143" s="34" t="str">
        <f>IF($A143="","",SUMIFS(ASSEGNAZIONI!$I:$I,ASSEGNAZIONI!$B:$B,$A143))</f>
        <v/>
      </c>
      <c r="O143" s="34" t="str">
        <f>IF($A143="","",SUMIFS(ASSEGNAZIONI!$J:$J,ASSEGNAZIONI!$B:$B,$A143))</f>
        <v/>
      </c>
      <c r="P143" s="34" t="str">
        <f t="shared" si="61"/>
        <v/>
      </c>
      <c r="Q143" s="44"/>
      <c r="R143" s="34" t="str">
        <f t="shared" si="62"/>
        <v/>
      </c>
      <c r="S143" s="35" t="str">
        <f t="shared" si="63"/>
        <v/>
      </c>
      <c r="T143" s="34" t="str">
        <f>IF($A143="","",SUMIFS(ODA!$R:$R,ODA!$B:$B,$A143))</f>
        <v/>
      </c>
      <c r="U143" s="34" t="str">
        <f>IF($A143="","",SUMIFS(ODA!$P:$P,ODA!$B:$B,$A143))</f>
        <v/>
      </c>
      <c r="V143" s="45" t="str">
        <f t="shared" si="64"/>
        <v/>
      </c>
      <c r="W143" s="33" t="str">
        <f>IF($A143="","",SUMIFS(ORE!$F:$F,ORE!$B:$B,$A143))</f>
        <v/>
      </c>
      <c r="X143" s="33" t="str">
        <f>IF($A143="","",SUMIFS(PREVISIONE_ORE!$G:$G,PREVISIONE_ORE!$D:$D,$A143,PREVISIONE_ORE!$K:$K,"Sì"))</f>
        <v/>
      </c>
      <c r="Y143" s="33" t="str">
        <f>IF($A143="","",IF(COUNTIFS(ASSEGNAZIONI!$B:$B,$A143)&gt;0,SUMIFS(ASSEGNAZIONI!$N:$N,ASSEGNAZIONI!$B:$B,$A143),MAX($W143,0)))</f>
        <v/>
      </c>
      <c r="Z143" s="33" t="str">
        <f t="shared" si="65"/>
        <v/>
      </c>
      <c r="AA143" s="34" t="str">
        <f>IF($A143="","",IF(COUNTIFS(ASSEGNAZIONI!$B:$B,$A143)&gt;0,SUMIFS(ASSEGNAZIONI!$P:$P,ASSEGNAZIONI!$B:$B,$A143),0))</f>
        <v/>
      </c>
      <c r="AB143" s="34" t="str">
        <f t="shared" si="66"/>
        <v/>
      </c>
      <c r="AC143" s="34" t="str">
        <f t="shared" si="67"/>
        <v/>
      </c>
      <c r="AD143" s="34" t="str">
        <f t="shared" si="68"/>
        <v/>
      </c>
      <c r="AE143" s="35" t="str">
        <f t="shared" si="69"/>
        <v/>
      </c>
      <c r="AF143" s="34" t="str">
        <f t="shared" si="70"/>
        <v/>
      </c>
      <c r="AG143" s="34" t="str">
        <f t="shared" si="71"/>
        <v/>
      </c>
      <c r="AH143" s="35" t="str">
        <f>IF($A143="","",IFERROR(AVERAGEIFS(FASI!$L:$L,FASI!$B:$B,$A143),0))</f>
        <v/>
      </c>
      <c r="AI143" s="35" t="str">
        <f t="shared" si="72"/>
        <v/>
      </c>
      <c r="AJ143" s="34" t="str">
        <f>IF($A143="","",SUMIFS(SAL!$H:$H,SAL!$B:$B,$A143,SAL!$O:$O,"Emessa")+SUMIFS(SAL!$H:$H,SAL!$B:$B,$A143,SAL!$O:$O,"Incassata")+SUMIFS(SAL!$H:$H,SAL!$B:$B,$A143,SAL!$O:$O,"Scaduta"))</f>
        <v/>
      </c>
      <c r="AK143" s="34" t="str">
        <f>IF($A143="","",SUMIFS(SAL!$H:$H,SAL!$B:$B,$A143,SAL!$O:$O,"Incassata"))</f>
        <v/>
      </c>
      <c r="AL143" s="34" t="str">
        <f t="shared" si="73"/>
        <v/>
      </c>
      <c r="AM143" s="34" t="str">
        <f t="shared" si="74"/>
        <v/>
      </c>
      <c r="AN143" s="36" t="str">
        <f ca="1">IF($A143="","",IF($M143=0,"RISORSE NON ASSEGNATE",IF($AE143&lt;0.1,"MARGINE CRITICO",IF($S143&lt;-SCONTO_MAX,"SCONTO OLTRE SOGLIA",IF($Z143&gt;0,"ORE OLTRE LA STIMA",IF($AI143&gt;ALLERTA_ORE,"CONSUMO ORE ELEVATO",IF(COUNTIFS(SAL!$B:$B,$A143,SAL!$K:$K,"EMETTIBILE")&gt;0,"SAL DA EMETTERE",IF(COUNTIFS(FASI!$B:$B,$A143,FASI!$H:$H,"&lt;"&amp;TODAY(),FASI!$L:$L,"&lt;1")&gt;0,"FASI IN RITARDO","OK"))))))))</f>
        <v/>
      </c>
    </row>
    <row r="144" spans="1:40" x14ac:dyDescent="0.3">
      <c r="A144" s="42"/>
      <c r="B144" s="42"/>
      <c r="C144" s="42"/>
      <c r="D144" s="42"/>
      <c r="E144" s="42"/>
      <c r="F144" s="42"/>
      <c r="G144" s="43"/>
      <c r="H144" s="43"/>
      <c r="I144" s="42"/>
      <c r="J144" s="44"/>
      <c r="K144" s="46"/>
      <c r="L144" s="34" t="str">
        <f t="shared" si="60"/>
        <v/>
      </c>
      <c r="M144" s="33" t="str">
        <f>IF($A144="","",SUMIFS(ASSEGNAZIONI!$F:$F,ASSEGNAZIONI!$B:$B,$A144))</f>
        <v/>
      </c>
      <c r="N144" s="34" t="str">
        <f>IF($A144="","",SUMIFS(ASSEGNAZIONI!$I:$I,ASSEGNAZIONI!$B:$B,$A144))</f>
        <v/>
      </c>
      <c r="O144" s="34" t="str">
        <f>IF($A144="","",SUMIFS(ASSEGNAZIONI!$J:$J,ASSEGNAZIONI!$B:$B,$A144))</f>
        <v/>
      </c>
      <c r="P144" s="34" t="str">
        <f t="shared" si="61"/>
        <v/>
      </c>
      <c r="Q144" s="44"/>
      <c r="R144" s="34" t="str">
        <f t="shared" si="62"/>
        <v/>
      </c>
      <c r="S144" s="35" t="str">
        <f t="shared" si="63"/>
        <v/>
      </c>
      <c r="T144" s="34" t="str">
        <f>IF($A144="","",SUMIFS(ODA!$R:$R,ODA!$B:$B,$A144))</f>
        <v/>
      </c>
      <c r="U144" s="34" t="str">
        <f>IF($A144="","",SUMIFS(ODA!$P:$P,ODA!$B:$B,$A144))</f>
        <v/>
      </c>
      <c r="V144" s="45" t="str">
        <f t="shared" si="64"/>
        <v/>
      </c>
      <c r="W144" s="33" t="str">
        <f>IF($A144="","",SUMIFS(ORE!$F:$F,ORE!$B:$B,$A144))</f>
        <v/>
      </c>
      <c r="X144" s="33" t="str">
        <f>IF($A144="","",SUMIFS(PREVISIONE_ORE!$G:$G,PREVISIONE_ORE!$D:$D,$A144,PREVISIONE_ORE!$K:$K,"Sì"))</f>
        <v/>
      </c>
      <c r="Y144" s="33" t="str">
        <f>IF($A144="","",IF(COUNTIFS(ASSEGNAZIONI!$B:$B,$A144)&gt;0,SUMIFS(ASSEGNAZIONI!$N:$N,ASSEGNAZIONI!$B:$B,$A144),MAX($W144,0)))</f>
        <v/>
      </c>
      <c r="Z144" s="33" t="str">
        <f t="shared" si="65"/>
        <v/>
      </c>
      <c r="AA144" s="34" t="str">
        <f>IF($A144="","",IF(COUNTIFS(ASSEGNAZIONI!$B:$B,$A144)&gt;0,SUMIFS(ASSEGNAZIONI!$P:$P,ASSEGNAZIONI!$B:$B,$A144),0))</f>
        <v/>
      </c>
      <c r="AB144" s="34" t="str">
        <f t="shared" si="66"/>
        <v/>
      </c>
      <c r="AC144" s="34" t="str">
        <f t="shared" si="67"/>
        <v/>
      </c>
      <c r="AD144" s="34" t="str">
        <f t="shared" si="68"/>
        <v/>
      </c>
      <c r="AE144" s="35" t="str">
        <f t="shared" si="69"/>
        <v/>
      </c>
      <c r="AF144" s="34" t="str">
        <f t="shared" si="70"/>
        <v/>
      </c>
      <c r="AG144" s="34" t="str">
        <f t="shared" si="71"/>
        <v/>
      </c>
      <c r="AH144" s="35" t="str">
        <f>IF($A144="","",IFERROR(AVERAGEIFS(FASI!$L:$L,FASI!$B:$B,$A144),0))</f>
        <v/>
      </c>
      <c r="AI144" s="35" t="str">
        <f t="shared" si="72"/>
        <v/>
      </c>
      <c r="AJ144" s="34" t="str">
        <f>IF($A144="","",SUMIFS(SAL!$H:$H,SAL!$B:$B,$A144,SAL!$O:$O,"Emessa")+SUMIFS(SAL!$H:$H,SAL!$B:$B,$A144,SAL!$O:$O,"Incassata")+SUMIFS(SAL!$H:$H,SAL!$B:$B,$A144,SAL!$O:$O,"Scaduta"))</f>
        <v/>
      </c>
      <c r="AK144" s="34" t="str">
        <f>IF($A144="","",SUMIFS(SAL!$H:$H,SAL!$B:$B,$A144,SAL!$O:$O,"Incassata"))</f>
        <v/>
      </c>
      <c r="AL144" s="34" t="str">
        <f t="shared" si="73"/>
        <v/>
      </c>
      <c r="AM144" s="34" t="str">
        <f t="shared" si="74"/>
        <v/>
      </c>
      <c r="AN144" s="36" t="str">
        <f ca="1">IF($A144="","",IF($M144=0,"RISORSE NON ASSEGNATE",IF($AE144&lt;0.1,"MARGINE CRITICO",IF($S144&lt;-SCONTO_MAX,"SCONTO OLTRE SOGLIA",IF($Z144&gt;0,"ORE OLTRE LA STIMA",IF($AI144&gt;ALLERTA_ORE,"CONSUMO ORE ELEVATO",IF(COUNTIFS(SAL!$B:$B,$A144,SAL!$K:$K,"EMETTIBILE")&gt;0,"SAL DA EMETTERE",IF(COUNTIFS(FASI!$B:$B,$A144,FASI!$H:$H,"&lt;"&amp;TODAY(),FASI!$L:$L,"&lt;1")&gt;0,"FASI IN RITARDO","OK"))))))))</f>
        <v/>
      </c>
    </row>
    <row r="145" spans="1:40" x14ac:dyDescent="0.3">
      <c r="A145" s="42"/>
      <c r="B145" s="42"/>
      <c r="C145" s="42"/>
      <c r="D145" s="42"/>
      <c r="E145" s="42"/>
      <c r="F145" s="42"/>
      <c r="G145" s="43"/>
      <c r="H145" s="43"/>
      <c r="I145" s="42"/>
      <c r="J145" s="44"/>
      <c r="K145" s="46"/>
      <c r="L145" s="34" t="str">
        <f t="shared" si="60"/>
        <v/>
      </c>
      <c r="M145" s="33" t="str">
        <f>IF($A145="","",SUMIFS(ASSEGNAZIONI!$F:$F,ASSEGNAZIONI!$B:$B,$A145))</f>
        <v/>
      </c>
      <c r="N145" s="34" t="str">
        <f>IF($A145="","",SUMIFS(ASSEGNAZIONI!$I:$I,ASSEGNAZIONI!$B:$B,$A145))</f>
        <v/>
      </c>
      <c r="O145" s="34" t="str">
        <f>IF($A145="","",SUMIFS(ASSEGNAZIONI!$J:$J,ASSEGNAZIONI!$B:$B,$A145))</f>
        <v/>
      </c>
      <c r="P145" s="34" t="str">
        <f t="shared" si="61"/>
        <v/>
      </c>
      <c r="Q145" s="44"/>
      <c r="R145" s="34" t="str">
        <f t="shared" si="62"/>
        <v/>
      </c>
      <c r="S145" s="35" t="str">
        <f t="shared" si="63"/>
        <v/>
      </c>
      <c r="T145" s="34" t="str">
        <f>IF($A145="","",SUMIFS(ODA!$R:$R,ODA!$B:$B,$A145))</f>
        <v/>
      </c>
      <c r="U145" s="34" t="str">
        <f>IF($A145="","",SUMIFS(ODA!$P:$P,ODA!$B:$B,$A145))</f>
        <v/>
      </c>
      <c r="V145" s="45" t="str">
        <f t="shared" si="64"/>
        <v/>
      </c>
      <c r="W145" s="33" t="str">
        <f>IF($A145="","",SUMIFS(ORE!$F:$F,ORE!$B:$B,$A145))</f>
        <v/>
      </c>
      <c r="X145" s="33" t="str">
        <f>IF($A145="","",SUMIFS(PREVISIONE_ORE!$G:$G,PREVISIONE_ORE!$D:$D,$A145,PREVISIONE_ORE!$K:$K,"Sì"))</f>
        <v/>
      </c>
      <c r="Y145" s="33" t="str">
        <f>IF($A145="","",IF(COUNTIFS(ASSEGNAZIONI!$B:$B,$A145)&gt;0,SUMIFS(ASSEGNAZIONI!$N:$N,ASSEGNAZIONI!$B:$B,$A145),MAX($W145,0)))</f>
        <v/>
      </c>
      <c r="Z145" s="33" t="str">
        <f t="shared" si="65"/>
        <v/>
      </c>
      <c r="AA145" s="34" t="str">
        <f>IF($A145="","",IF(COUNTIFS(ASSEGNAZIONI!$B:$B,$A145)&gt;0,SUMIFS(ASSEGNAZIONI!$P:$P,ASSEGNAZIONI!$B:$B,$A145),0))</f>
        <v/>
      </c>
      <c r="AB145" s="34" t="str">
        <f t="shared" si="66"/>
        <v/>
      </c>
      <c r="AC145" s="34" t="str">
        <f t="shared" si="67"/>
        <v/>
      </c>
      <c r="AD145" s="34" t="str">
        <f t="shared" si="68"/>
        <v/>
      </c>
      <c r="AE145" s="35" t="str">
        <f t="shared" si="69"/>
        <v/>
      </c>
      <c r="AF145" s="34" t="str">
        <f t="shared" si="70"/>
        <v/>
      </c>
      <c r="AG145" s="34" t="str">
        <f t="shared" si="71"/>
        <v/>
      </c>
      <c r="AH145" s="35" t="str">
        <f>IF($A145="","",IFERROR(AVERAGEIFS(FASI!$L:$L,FASI!$B:$B,$A145),0))</f>
        <v/>
      </c>
      <c r="AI145" s="35" t="str">
        <f t="shared" si="72"/>
        <v/>
      </c>
      <c r="AJ145" s="34" t="str">
        <f>IF($A145="","",SUMIFS(SAL!$H:$H,SAL!$B:$B,$A145,SAL!$O:$O,"Emessa")+SUMIFS(SAL!$H:$H,SAL!$B:$B,$A145,SAL!$O:$O,"Incassata")+SUMIFS(SAL!$H:$H,SAL!$B:$B,$A145,SAL!$O:$O,"Scaduta"))</f>
        <v/>
      </c>
      <c r="AK145" s="34" t="str">
        <f>IF($A145="","",SUMIFS(SAL!$H:$H,SAL!$B:$B,$A145,SAL!$O:$O,"Incassata"))</f>
        <v/>
      </c>
      <c r="AL145" s="34" t="str">
        <f t="shared" si="73"/>
        <v/>
      </c>
      <c r="AM145" s="34" t="str">
        <f t="shared" si="74"/>
        <v/>
      </c>
      <c r="AN145" s="36" t="str">
        <f ca="1">IF($A145="","",IF($M145=0,"RISORSE NON ASSEGNATE",IF($AE145&lt;0.1,"MARGINE CRITICO",IF($S145&lt;-SCONTO_MAX,"SCONTO OLTRE SOGLIA",IF($Z145&gt;0,"ORE OLTRE LA STIMA",IF($AI145&gt;ALLERTA_ORE,"CONSUMO ORE ELEVATO",IF(COUNTIFS(SAL!$B:$B,$A145,SAL!$K:$K,"EMETTIBILE")&gt;0,"SAL DA EMETTERE",IF(COUNTIFS(FASI!$B:$B,$A145,FASI!$H:$H,"&lt;"&amp;TODAY(),FASI!$L:$L,"&lt;1")&gt;0,"FASI IN RITARDO","OK"))))))))</f>
        <v/>
      </c>
    </row>
    <row r="146" spans="1:40" x14ac:dyDescent="0.3">
      <c r="A146" s="42"/>
      <c r="B146" s="42"/>
      <c r="C146" s="42"/>
      <c r="D146" s="42"/>
      <c r="E146" s="42"/>
      <c r="F146" s="42"/>
      <c r="G146" s="43"/>
      <c r="H146" s="43"/>
      <c r="I146" s="42"/>
      <c r="J146" s="44"/>
      <c r="K146" s="46"/>
      <c r="L146" s="34" t="str">
        <f t="shared" si="60"/>
        <v/>
      </c>
      <c r="M146" s="33" t="str">
        <f>IF($A146="","",SUMIFS(ASSEGNAZIONI!$F:$F,ASSEGNAZIONI!$B:$B,$A146))</f>
        <v/>
      </c>
      <c r="N146" s="34" t="str">
        <f>IF($A146="","",SUMIFS(ASSEGNAZIONI!$I:$I,ASSEGNAZIONI!$B:$B,$A146))</f>
        <v/>
      </c>
      <c r="O146" s="34" t="str">
        <f>IF($A146="","",SUMIFS(ASSEGNAZIONI!$J:$J,ASSEGNAZIONI!$B:$B,$A146))</f>
        <v/>
      </c>
      <c r="P146" s="34" t="str">
        <f t="shared" si="61"/>
        <v/>
      </c>
      <c r="Q146" s="44"/>
      <c r="R146" s="34" t="str">
        <f t="shared" si="62"/>
        <v/>
      </c>
      <c r="S146" s="35" t="str">
        <f t="shared" si="63"/>
        <v/>
      </c>
      <c r="T146" s="34" t="str">
        <f>IF($A146="","",SUMIFS(ODA!$R:$R,ODA!$B:$B,$A146))</f>
        <v/>
      </c>
      <c r="U146" s="34" t="str">
        <f>IF($A146="","",SUMIFS(ODA!$P:$P,ODA!$B:$B,$A146))</f>
        <v/>
      </c>
      <c r="V146" s="45" t="str">
        <f t="shared" si="64"/>
        <v/>
      </c>
      <c r="W146" s="33" t="str">
        <f>IF($A146="","",SUMIFS(ORE!$F:$F,ORE!$B:$B,$A146))</f>
        <v/>
      </c>
      <c r="X146" s="33" t="str">
        <f>IF($A146="","",SUMIFS(PREVISIONE_ORE!$G:$G,PREVISIONE_ORE!$D:$D,$A146,PREVISIONE_ORE!$K:$K,"Sì"))</f>
        <v/>
      </c>
      <c r="Y146" s="33" t="str">
        <f>IF($A146="","",IF(COUNTIFS(ASSEGNAZIONI!$B:$B,$A146)&gt;0,SUMIFS(ASSEGNAZIONI!$N:$N,ASSEGNAZIONI!$B:$B,$A146),MAX($W146,0)))</f>
        <v/>
      </c>
      <c r="Z146" s="33" t="str">
        <f t="shared" si="65"/>
        <v/>
      </c>
      <c r="AA146" s="34" t="str">
        <f>IF($A146="","",IF(COUNTIFS(ASSEGNAZIONI!$B:$B,$A146)&gt;0,SUMIFS(ASSEGNAZIONI!$P:$P,ASSEGNAZIONI!$B:$B,$A146),0))</f>
        <v/>
      </c>
      <c r="AB146" s="34" t="str">
        <f t="shared" si="66"/>
        <v/>
      </c>
      <c r="AC146" s="34" t="str">
        <f t="shared" si="67"/>
        <v/>
      </c>
      <c r="AD146" s="34" t="str">
        <f t="shared" si="68"/>
        <v/>
      </c>
      <c r="AE146" s="35" t="str">
        <f t="shared" si="69"/>
        <v/>
      </c>
      <c r="AF146" s="34" t="str">
        <f t="shared" si="70"/>
        <v/>
      </c>
      <c r="AG146" s="34" t="str">
        <f t="shared" si="71"/>
        <v/>
      </c>
      <c r="AH146" s="35" t="str">
        <f>IF($A146="","",IFERROR(AVERAGEIFS(FASI!$L:$L,FASI!$B:$B,$A146),0))</f>
        <v/>
      </c>
      <c r="AI146" s="35" t="str">
        <f t="shared" si="72"/>
        <v/>
      </c>
      <c r="AJ146" s="34" t="str">
        <f>IF($A146="","",SUMIFS(SAL!$H:$H,SAL!$B:$B,$A146,SAL!$O:$O,"Emessa")+SUMIFS(SAL!$H:$H,SAL!$B:$B,$A146,SAL!$O:$O,"Incassata")+SUMIFS(SAL!$H:$H,SAL!$B:$B,$A146,SAL!$O:$O,"Scaduta"))</f>
        <v/>
      </c>
      <c r="AK146" s="34" t="str">
        <f>IF($A146="","",SUMIFS(SAL!$H:$H,SAL!$B:$B,$A146,SAL!$O:$O,"Incassata"))</f>
        <v/>
      </c>
      <c r="AL146" s="34" t="str">
        <f t="shared" si="73"/>
        <v/>
      </c>
      <c r="AM146" s="34" t="str">
        <f t="shared" si="74"/>
        <v/>
      </c>
      <c r="AN146" s="36" t="str">
        <f ca="1">IF($A146="","",IF($M146=0,"RISORSE NON ASSEGNATE",IF($AE146&lt;0.1,"MARGINE CRITICO",IF($S146&lt;-SCONTO_MAX,"SCONTO OLTRE SOGLIA",IF($Z146&gt;0,"ORE OLTRE LA STIMA",IF($AI146&gt;ALLERTA_ORE,"CONSUMO ORE ELEVATO",IF(COUNTIFS(SAL!$B:$B,$A146,SAL!$K:$K,"EMETTIBILE")&gt;0,"SAL DA EMETTERE",IF(COUNTIFS(FASI!$B:$B,$A146,FASI!$H:$H,"&lt;"&amp;TODAY(),FASI!$L:$L,"&lt;1")&gt;0,"FASI IN RITARDO","OK"))))))))</f>
        <v/>
      </c>
    </row>
    <row r="147" spans="1:40" x14ac:dyDescent="0.3">
      <c r="A147" s="42"/>
      <c r="B147" s="42"/>
      <c r="C147" s="42"/>
      <c r="D147" s="42"/>
      <c r="E147" s="42"/>
      <c r="F147" s="42"/>
      <c r="G147" s="43"/>
      <c r="H147" s="43"/>
      <c r="I147" s="42"/>
      <c r="J147" s="44"/>
      <c r="K147" s="46"/>
      <c r="L147" s="34" t="str">
        <f t="shared" si="60"/>
        <v/>
      </c>
      <c r="M147" s="33" t="str">
        <f>IF($A147="","",SUMIFS(ASSEGNAZIONI!$F:$F,ASSEGNAZIONI!$B:$B,$A147))</f>
        <v/>
      </c>
      <c r="N147" s="34" t="str">
        <f>IF($A147="","",SUMIFS(ASSEGNAZIONI!$I:$I,ASSEGNAZIONI!$B:$B,$A147))</f>
        <v/>
      </c>
      <c r="O147" s="34" t="str">
        <f>IF($A147="","",SUMIFS(ASSEGNAZIONI!$J:$J,ASSEGNAZIONI!$B:$B,$A147))</f>
        <v/>
      </c>
      <c r="P147" s="34" t="str">
        <f t="shared" si="61"/>
        <v/>
      </c>
      <c r="Q147" s="44"/>
      <c r="R147" s="34" t="str">
        <f t="shared" si="62"/>
        <v/>
      </c>
      <c r="S147" s="35" t="str">
        <f t="shared" si="63"/>
        <v/>
      </c>
      <c r="T147" s="34" t="str">
        <f>IF($A147="","",SUMIFS(ODA!$R:$R,ODA!$B:$B,$A147))</f>
        <v/>
      </c>
      <c r="U147" s="34" t="str">
        <f>IF($A147="","",SUMIFS(ODA!$P:$P,ODA!$B:$B,$A147))</f>
        <v/>
      </c>
      <c r="V147" s="45" t="str">
        <f t="shared" si="64"/>
        <v/>
      </c>
      <c r="W147" s="33" t="str">
        <f>IF($A147="","",SUMIFS(ORE!$F:$F,ORE!$B:$B,$A147))</f>
        <v/>
      </c>
      <c r="X147" s="33" t="str">
        <f>IF($A147="","",SUMIFS(PREVISIONE_ORE!$G:$G,PREVISIONE_ORE!$D:$D,$A147,PREVISIONE_ORE!$K:$K,"Sì"))</f>
        <v/>
      </c>
      <c r="Y147" s="33" t="str">
        <f>IF($A147="","",IF(COUNTIFS(ASSEGNAZIONI!$B:$B,$A147)&gt;0,SUMIFS(ASSEGNAZIONI!$N:$N,ASSEGNAZIONI!$B:$B,$A147),MAX($W147,0)))</f>
        <v/>
      </c>
      <c r="Z147" s="33" t="str">
        <f t="shared" si="65"/>
        <v/>
      </c>
      <c r="AA147" s="34" t="str">
        <f>IF($A147="","",IF(COUNTIFS(ASSEGNAZIONI!$B:$B,$A147)&gt;0,SUMIFS(ASSEGNAZIONI!$P:$P,ASSEGNAZIONI!$B:$B,$A147),0))</f>
        <v/>
      </c>
      <c r="AB147" s="34" t="str">
        <f t="shared" si="66"/>
        <v/>
      </c>
      <c r="AC147" s="34" t="str">
        <f t="shared" si="67"/>
        <v/>
      </c>
      <c r="AD147" s="34" t="str">
        <f t="shared" si="68"/>
        <v/>
      </c>
      <c r="AE147" s="35" t="str">
        <f t="shared" si="69"/>
        <v/>
      </c>
      <c r="AF147" s="34" t="str">
        <f t="shared" si="70"/>
        <v/>
      </c>
      <c r="AG147" s="34" t="str">
        <f t="shared" si="71"/>
        <v/>
      </c>
      <c r="AH147" s="35" t="str">
        <f>IF($A147="","",IFERROR(AVERAGEIFS(FASI!$L:$L,FASI!$B:$B,$A147),0))</f>
        <v/>
      </c>
      <c r="AI147" s="35" t="str">
        <f t="shared" si="72"/>
        <v/>
      </c>
      <c r="AJ147" s="34" t="str">
        <f>IF($A147="","",SUMIFS(SAL!$H:$H,SAL!$B:$B,$A147,SAL!$O:$O,"Emessa")+SUMIFS(SAL!$H:$H,SAL!$B:$B,$A147,SAL!$O:$O,"Incassata")+SUMIFS(SAL!$H:$H,SAL!$B:$B,$A147,SAL!$O:$O,"Scaduta"))</f>
        <v/>
      </c>
      <c r="AK147" s="34" t="str">
        <f>IF($A147="","",SUMIFS(SAL!$H:$H,SAL!$B:$B,$A147,SAL!$O:$O,"Incassata"))</f>
        <v/>
      </c>
      <c r="AL147" s="34" t="str">
        <f t="shared" si="73"/>
        <v/>
      </c>
      <c r="AM147" s="34" t="str">
        <f t="shared" si="74"/>
        <v/>
      </c>
      <c r="AN147" s="36" t="str">
        <f ca="1">IF($A147="","",IF($M147=0,"RISORSE NON ASSEGNATE",IF($AE147&lt;0.1,"MARGINE CRITICO",IF($S147&lt;-SCONTO_MAX,"SCONTO OLTRE SOGLIA",IF($Z147&gt;0,"ORE OLTRE LA STIMA",IF($AI147&gt;ALLERTA_ORE,"CONSUMO ORE ELEVATO",IF(COUNTIFS(SAL!$B:$B,$A147,SAL!$K:$K,"EMETTIBILE")&gt;0,"SAL DA EMETTERE",IF(COUNTIFS(FASI!$B:$B,$A147,FASI!$H:$H,"&lt;"&amp;TODAY(),FASI!$L:$L,"&lt;1")&gt;0,"FASI IN RITARDO","OK"))))))))</f>
        <v/>
      </c>
    </row>
    <row r="148" spans="1:40" x14ac:dyDescent="0.3">
      <c r="A148" s="42"/>
      <c r="B148" s="42"/>
      <c r="C148" s="42"/>
      <c r="D148" s="42"/>
      <c r="E148" s="42"/>
      <c r="F148" s="42"/>
      <c r="G148" s="43"/>
      <c r="H148" s="43"/>
      <c r="I148" s="42"/>
      <c r="J148" s="44"/>
      <c r="K148" s="46"/>
      <c r="L148" s="34" t="str">
        <f t="shared" si="60"/>
        <v/>
      </c>
      <c r="M148" s="33" t="str">
        <f>IF($A148="","",SUMIFS(ASSEGNAZIONI!$F:$F,ASSEGNAZIONI!$B:$B,$A148))</f>
        <v/>
      </c>
      <c r="N148" s="34" t="str">
        <f>IF($A148="","",SUMIFS(ASSEGNAZIONI!$I:$I,ASSEGNAZIONI!$B:$B,$A148))</f>
        <v/>
      </c>
      <c r="O148" s="34" t="str">
        <f>IF($A148="","",SUMIFS(ASSEGNAZIONI!$J:$J,ASSEGNAZIONI!$B:$B,$A148))</f>
        <v/>
      </c>
      <c r="P148" s="34" t="str">
        <f t="shared" si="61"/>
        <v/>
      </c>
      <c r="Q148" s="44"/>
      <c r="R148" s="34" t="str">
        <f t="shared" si="62"/>
        <v/>
      </c>
      <c r="S148" s="35" t="str">
        <f t="shared" si="63"/>
        <v/>
      </c>
      <c r="T148" s="34" t="str">
        <f>IF($A148="","",SUMIFS(ODA!$R:$R,ODA!$B:$B,$A148))</f>
        <v/>
      </c>
      <c r="U148" s="34" t="str">
        <f>IF($A148="","",SUMIFS(ODA!$P:$P,ODA!$B:$B,$A148))</f>
        <v/>
      </c>
      <c r="V148" s="45" t="str">
        <f t="shared" si="64"/>
        <v/>
      </c>
      <c r="W148" s="33" t="str">
        <f>IF($A148="","",SUMIFS(ORE!$F:$F,ORE!$B:$B,$A148))</f>
        <v/>
      </c>
      <c r="X148" s="33" t="str">
        <f>IF($A148="","",SUMIFS(PREVISIONE_ORE!$G:$G,PREVISIONE_ORE!$D:$D,$A148,PREVISIONE_ORE!$K:$K,"Sì"))</f>
        <v/>
      </c>
      <c r="Y148" s="33" t="str">
        <f>IF($A148="","",IF(COUNTIFS(ASSEGNAZIONI!$B:$B,$A148)&gt;0,SUMIFS(ASSEGNAZIONI!$N:$N,ASSEGNAZIONI!$B:$B,$A148),MAX($W148,0)))</f>
        <v/>
      </c>
      <c r="Z148" s="33" t="str">
        <f t="shared" si="65"/>
        <v/>
      </c>
      <c r="AA148" s="34" t="str">
        <f>IF($A148="","",IF(COUNTIFS(ASSEGNAZIONI!$B:$B,$A148)&gt;0,SUMIFS(ASSEGNAZIONI!$P:$P,ASSEGNAZIONI!$B:$B,$A148),0))</f>
        <v/>
      </c>
      <c r="AB148" s="34" t="str">
        <f t="shared" si="66"/>
        <v/>
      </c>
      <c r="AC148" s="34" t="str">
        <f t="shared" si="67"/>
        <v/>
      </c>
      <c r="AD148" s="34" t="str">
        <f t="shared" si="68"/>
        <v/>
      </c>
      <c r="AE148" s="35" t="str">
        <f t="shared" si="69"/>
        <v/>
      </c>
      <c r="AF148" s="34" t="str">
        <f t="shared" si="70"/>
        <v/>
      </c>
      <c r="AG148" s="34" t="str">
        <f t="shared" si="71"/>
        <v/>
      </c>
      <c r="AH148" s="35" t="str">
        <f>IF($A148="","",IFERROR(AVERAGEIFS(FASI!$L:$L,FASI!$B:$B,$A148),0))</f>
        <v/>
      </c>
      <c r="AI148" s="35" t="str">
        <f t="shared" si="72"/>
        <v/>
      </c>
      <c r="AJ148" s="34" t="str">
        <f>IF($A148="","",SUMIFS(SAL!$H:$H,SAL!$B:$B,$A148,SAL!$O:$O,"Emessa")+SUMIFS(SAL!$H:$H,SAL!$B:$B,$A148,SAL!$O:$O,"Incassata")+SUMIFS(SAL!$H:$H,SAL!$B:$B,$A148,SAL!$O:$O,"Scaduta"))</f>
        <v/>
      </c>
      <c r="AK148" s="34" t="str">
        <f>IF($A148="","",SUMIFS(SAL!$H:$H,SAL!$B:$B,$A148,SAL!$O:$O,"Incassata"))</f>
        <v/>
      </c>
      <c r="AL148" s="34" t="str">
        <f t="shared" si="73"/>
        <v/>
      </c>
      <c r="AM148" s="34" t="str">
        <f t="shared" si="74"/>
        <v/>
      </c>
      <c r="AN148" s="36" t="str">
        <f ca="1">IF($A148="","",IF($M148=0,"RISORSE NON ASSEGNATE",IF($AE148&lt;0.1,"MARGINE CRITICO",IF($S148&lt;-SCONTO_MAX,"SCONTO OLTRE SOGLIA",IF($Z148&gt;0,"ORE OLTRE LA STIMA",IF($AI148&gt;ALLERTA_ORE,"CONSUMO ORE ELEVATO",IF(COUNTIFS(SAL!$B:$B,$A148,SAL!$K:$K,"EMETTIBILE")&gt;0,"SAL DA EMETTERE",IF(COUNTIFS(FASI!$B:$B,$A148,FASI!$H:$H,"&lt;"&amp;TODAY(),FASI!$L:$L,"&lt;1")&gt;0,"FASI IN RITARDO","OK"))))))))</f>
        <v/>
      </c>
    </row>
    <row r="149" spans="1:40" x14ac:dyDescent="0.3">
      <c r="A149" s="42"/>
      <c r="B149" s="42"/>
      <c r="C149" s="42"/>
      <c r="D149" s="42"/>
      <c r="E149" s="42"/>
      <c r="F149" s="42"/>
      <c r="G149" s="43"/>
      <c r="H149" s="43"/>
      <c r="I149" s="42"/>
      <c r="J149" s="44"/>
      <c r="K149" s="46"/>
      <c r="L149" s="34" t="str">
        <f t="shared" si="60"/>
        <v/>
      </c>
      <c r="M149" s="33" t="str">
        <f>IF($A149="","",SUMIFS(ASSEGNAZIONI!$F:$F,ASSEGNAZIONI!$B:$B,$A149))</f>
        <v/>
      </c>
      <c r="N149" s="34" t="str">
        <f>IF($A149="","",SUMIFS(ASSEGNAZIONI!$I:$I,ASSEGNAZIONI!$B:$B,$A149))</f>
        <v/>
      </c>
      <c r="O149" s="34" t="str">
        <f>IF($A149="","",SUMIFS(ASSEGNAZIONI!$J:$J,ASSEGNAZIONI!$B:$B,$A149))</f>
        <v/>
      </c>
      <c r="P149" s="34" t="str">
        <f t="shared" si="61"/>
        <v/>
      </c>
      <c r="Q149" s="44"/>
      <c r="R149" s="34" t="str">
        <f t="shared" si="62"/>
        <v/>
      </c>
      <c r="S149" s="35" t="str">
        <f t="shared" si="63"/>
        <v/>
      </c>
      <c r="T149" s="34" t="str">
        <f>IF($A149="","",SUMIFS(ODA!$R:$R,ODA!$B:$B,$A149))</f>
        <v/>
      </c>
      <c r="U149" s="34" t="str">
        <f>IF($A149="","",SUMIFS(ODA!$P:$P,ODA!$B:$B,$A149))</f>
        <v/>
      </c>
      <c r="V149" s="45" t="str">
        <f t="shared" si="64"/>
        <v/>
      </c>
      <c r="W149" s="33" t="str">
        <f>IF($A149="","",SUMIFS(ORE!$F:$F,ORE!$B:$B,$A149))</f>
        <v/>
      </c>
      <c r="X149" s="33" t="str">
        <f>IF($A149="","",SUMIFS(PREVISIONE_ORE!$G:$G,PREVISIONE_ORE!$D:$D,$A149,PREVISIONE_ORE!$K:$K,"Sì"))</f>
        <v/>
      </c>
      <c r="Y149" s="33" t="str">
        <f>IF($A149="","",IF(COUNTIFS(ASSEGNAZIONI!$B:$B,$A149)&gt;0,SUMIFS(ASSEGNAZIONI!$N:$N,ASSEGNAZIONI!$B:$B,$A149),MAX($W149,0)))</f>
        <v/>
      </c>
      <c r="Z149" s="33" t="str">
        <f t="shared" si="65"/>
        <v/>
      </c>
      <c r="AA149" s="34" t="str">
        <f>IF($A149="","",IF(COUNTIFS(ASSEGNAZIONI!$B:$B,$A149)&gt;0,SUMIFS(ASSEGNAZIONI!$P:$P,ASSEGNAZIONI!$B:$B,$A149),0))</f>
        <v/>
      </c>
      <c r="AB149" s="34" t="str">
        <f t="shared" si="66"/>
        <v/>
      </c>
      <c r="AC149" s="34" t="str">
        <f t="shared" si="67"/>
        <v/>
      </c>
      <c r="AD149" s="34" t="str">
        <f t="shared" si="68"/>
        <v/>
      </c>
      <c r="AE149" s="35" t="str">
        <f t="shared" si="69"/>
        <v/>
      </c>
      <c r="AF149" s="34" t="str">
        <f t="shared" si="70"/>
        <v/>
      </c>
      <c r="AG149" s="34" t="str">
        <f t="shared" si="71"/>
        <v/>
      </c>
      <c r="AH149" s="35" t="str">
        <f>IF($A149="","",IFERROR(AVERAGEIFS(FASI!$L:$L,FASI!$B:$B,$A149),0))</f>
        <v/>
      </c>
      <c r="AI149" s="35" t="str">
        <f t="shared" si="72"/>
        <v/>
      </c>
      <c r="AJ149" s="34" t="str">
        <f>IF($A149="","",SUMIFS(SAL!$H:$H,SAL!$B:$B,$A149,SAL!$O:$O,"Emessa")+SUMIFS(SAL!$H:$H,SAL!$B:$B,$A149,SAL!$O:$O,"Incassata")+SUMIFS(SAL!$H:$H,SAL!$B:$B,$A149,SAL!$O:$O,"Scaduta"))</f>
        <v/>
      </c>
      <c r="AK149" s="34" t="str">
        <f>IF($A149="","",SUMIFS(SAL!$H:$H,SAL!$B:$B,$A149,SAL!$O:$O,"Incassata"))</f>
        <v/>
      </c>
      <c r="AL149" s="34" t="str">
        <f t="shared" si="73"/>
        <v/>
      </c>
      <c r="AM149" s="34" t="str">
        <f t="shared" si="74"/>
        <v/>
      </c>
      <c r="AN149" s="36" t="str">
        <f ca="1">IF($A149="","",IF($M149=0,"RISORSE NON ASSEGNATE",IF($AE149&lt;0.1,"MARGINE CRITICO",IF($S149&lt;-SCONTO_MAX,"SCONTO OLTRE SOGLIA",IF($Z149&gt;0,"ORE OLTRE LA STIMA",IF($AI149&gt;ALLERTA_ORE,"CONSUMO ORE ELEVATO",IF(COUNTIFS(SAL!$B:$B,$A149,SAL!$K:$K,"EMETTIBILE")&gt;0,"SAL DA EMETTERE",IF(COUNTIFS(FASI!$B:$B,$A149,FASI!$H:$H,"&lt;"&amp;TODAY(),FASI!$L:$L,"&lt;1")&gt;0,"FASI IN RITARDO","OK"))))))))</f>
        <v/>
      </c>
    </row>
    <row r="150" spans="1:40" x14ac:dyDescent="0.3">
      <c r="A150" s="42"/>
      <c r="B150" s="42"/>
      <c r="C150" s="42"/>
      <c r="D150" s="42"/>
      <c r="E150" s="42"/>
      <c r="F150" s="42"/>
      <c r="G150" s="43"/>
      <c r="H150" s="43"/>
      <c r="I150" s="42"/>
      <c r="J150" s="44"/>
      <c r="K150" s="46"/>
      <c r="L150" s="34" t="str">
        <f t="shared" si="60"/>
        <v/>
      </c>
      <c r="M150" s="33" t="str">
        <f>IF($A150="","",SUMIFS(ASSEGNAZIONI!$F:$F,ASSEGNAZIONI!$B:$B,$A150))</f>
        <v/>
      </c>
      <c r="N150" s="34" t="str">
        <f>IF($A150="","",SUMIFS(ASSEGNAZIONI!$I:$I,ASSEGNAZIONI!$B:$B,$A150))</f>
        <v/>
      </c>
      <c r="O150" s="34" t="str">
        <f>IF($A150="","",SUMIFS(ASSEGNAZIONI!$J:$J,ASSEGNAZIONI!$B:$B,$A150))</f>
        <v/>
      </c>
      <c r="P150" s="34" t="str">
        <f t="shared" si="61"/>
        <v/>
      </c>
      <c r="Q150" s="44"/>
      <c r="R150" s="34" t="str">
        <f t="shared" si="62"/>
        <v/>
      </c>
      <c r="S150" s="35" t="str">
        <f t="shared" si="63"/>
        <v/>
      </c>
      <c r="T150" s="34" t="str">
        <f>IF($A150="","",SUMIFS(ODA!$R:$R,ODA!$B:$B,$A150))</f>
        <v/>
      </c>
      <c r="U150" s="34" t="str">
        <f>IF($A150="","",SUMIFS(ODA!$P:$P,ODA!$B:$B,$A150))</f>
        <v/>
      </c>
      <c r="V150" s="45" t="str">
        <f t="shared" si="64"/>
        <v/>
      </c>
      <c r="W150" s="33" t="str">
        <f>IF($A150="","",SUMIFS(ORE!$F:$F,ORE!$B:$B,$A150))</f>
        <v/>
      </c>
      <c r="X150" s="33" t="str">
        <f>IF($A150="","",SUMIFS(PREVISIONE_ORE!$G:$G,PREVISIONE_ORE!$D:$D,$A150,PREVISIONE_ORE!$K:$K,"Sì"))</f>
        <v/>
      </c>
      <c r="Y150" s="33" t="str">
        <f>IF($A150="","",IF(COUNTIFS(ASSEGNAZIONI!$B:$B,$A150)&gt;0,SUMIFS(ASSEGNAZIONI!$N:$N,ASSEGNAZIONI!$B:$B,$A150),MAX($W150,0)))</f>
        <v/>
      </c>
      <c r="Z150" s="33" t="str">
        <f t="shared" si="65"/>
        <v/>
      </c>
      <c r="AA150" s="34" t="str">
        <f>IF($A150="","",IF(COUNTIFS(ASSEGNAZIONI!$B:$B,$A150)&gt;0,SUMIFS(ASSEGNAZIONI!$P:$P,ASSEGNAZIONI!$B:$B,$A150),0))</f>
        <v/>
      </c>
      <c r="AB150" s="34" t="str">
        <f t="shared" si="66"/>
        <v/>
      </c>
      <c r="AC150" s="34" t="str">
        <f t="shared" si="67"/>
        <v/>
      </c>
      <c r="AD150" s="34" t="str">
        <f t="shared" si="68"/>
        <v/>
      </c>
      <c r="AE150" s="35" t="str">
        <f t="shared" si="69"/>
        <v/>
      </c>
      <c r="AF150" s="34" t="str">
        <f t="shared" si="70"/>
        <v/>
      </c>
      <c r="AG150" s="34" t="str">
        <f t="shared" si="71"/>
        <v/>
      </c>
      <c r="AH150" s="35" t="str">
        <f>IF($A150="","",IFERROR(AVERAGEIFS(FASI!$L:$L,FASI!$B:$B,$A150),0))</f>
        <v/>
      </c>
      <c r="AI150" s="35" t="str">
        <f t="shared" si="72"/>
        <v/>
      </c>
      <c r="AJ150" s="34" t="str">
        <f>IF($A150="","",SUMIFS(SAL!$H:$H,SAL!$B:$B,$A150,SAL!$O:$O,"Emessa")+SUMIFS(SAL!$H:$H,SAL!$B:$B,$A150,SAL!$O:$O,"Incassata")+SUMIFS(SAL!$H:$H,SAL!$B:$B,$A150,SAL!$O:$O,"Scaduta"))</f>
        <v/>
      </c>
      <c r="AK150" s="34" t="str">
        <f>IF($A150="","",SUMIFS(SAL!$H:$H,SAL!$B:$B,$A150,SAL!$O:$O,"Incassata"))</f>
        <v/>
      </c>
      <c r="AL150" s="34" t="str">
        <f t="shared" si="73"/>
        <v/>
      </c>
      <c r="AM150" s="34" t="str">
        <f t="shared" si="74"/>
        <v/>
      </c>
      <c r="AN150" s="36" t="str">
        <f ca="1">IF($A150="","",IF($M150=0,"RISORSE NON ASSEGNATE",IF($AE150&lt;0.1,"MARGINE CRITICO",IF($S150&lt;-SCONTO_MAX,"SCONTO OLTRE SOGLIA",IF($Z150&gt;0,"ORE OLTRE LA STIMA",IF($AI150&gt;ALLERTA_ORE,"CONSUMO ORE ELEVATO",IF(COUNTIFS(SAL!$B:$B,$A150,SAL!$K:$K,"EMETTIBILE")&gt;0,"SAL DA EMETTERE",IF(COUNTIFS(FASI!$B:$B,$A150,FASI!$H:$H,"&lt;"&amp;TODAY(),FASI!$L:$L,"&lt;1")&gt;0,"FASI IN RITARDO","OK"))))))))</f>
        <v/>
      </c>
    </row>
    <row r="151" spans="1:40" x14ac:dyDescent="0.3">
      <c r="A151" s="42"/>
      <c r="B151" s="42"/>
      <c r="C151" s="42"/>
      <c r="D151" s="42"/>
      <c r="E151" s="42"/>
      <c r="F151" s="42"/>
      <c r="G151" s="43"/>
      <c r="H151" s="43"/>
      <c r="I151" s="42"/>
      <c r="J151" s="44"/>
      <c r="K151" s="46"/>
      <c r="L151" s="34" t="str">
        <f t="shared" si="60"/>
        <v/>
      </c>
      <c r="M151" s="33" t="str">
        <f>IF($A151="","",SUMIFS(ASSEGNAZIONI!$F:$F,ASSEGNAZIONI!$B:$B,$A151))</f>
        <v/>
      </c>
      <c r="N151" s="34" t="str">
        <f>IF($A151="","",SUMIFS(ASSEGNAZIONI!$I:$I,ASSEGNAZIONI!$B:$B,$A151))</f>
        <v/>
      </c>
      <c r="O151" s="34" t="str">
        <f>IF($A151="","",SUMIFS(ASSEGNAZIONI!$J:$J,ASSEGNAZIONI!$B:$B,$A151))</f>
        <v/>
      </c>
      <c r="P151" s="34" t="str">
        <f t="shared" si="61"/>
        <v/>
      </c>
      <c r="Q151" s="44"/>
      <c r="R151" s="34" t="str">
        <f t="shared" si="62"/>
        <v/>
      </c>
      <c r="S151" s="35" t="str">
        <f t="shared" si="63"/>
        <v/>
      </c>
      <c r="T151" s="34" t="str">
        <f>IF($A151="","",SUMIFS(ODA!$R:$R,ODA!$B:$B,$A151))</f>
        <v/>
      </c>
      <c r="U151" s="34" t="str">
        <f>IF($A151="","",SUMIFS(ODA!$P:$P,ODA!$B:$B,$A151))</f>
        <v/>
      </c>
      <c r="V151" s="45" t="str">
        <f t="shared" si="64"/>
        <v/>
      </c>
      <c r="W151" s="33" t="str">
        <f>IF($A151="","",SUMIFS(ORE!$F:$F,ORE!$B:$B,$A151))</f>
        <v/>
      </c>
      <c r="X151" s="33" t="str">
        <f>IF($A151="","",SUMIFS(PREVISIONE_ORE!$G:$G,PREVISIONE_ORE!$D:$D,$A151,PREVISIONE_ORE!$K:$K,"Sì"))</f>
        <v/>
      </c>
      <c r="Y151" s="33" t="str">
        <f>IF($A151="","",IF(COUNTIFS(ASSEGNAZIONI!$B:$B,$A151)&gt;0,SUMIFS(ASSEGNAZIONI!$N:$N,ASSEGNAZIONI!$B:$B,$A151),MAX($W151,0)))</f>
        <v/>
      </c>
      <c r="Z151" s="33" t="str">
        <f t="shared" si="65"/>
        <v/>
      </c>
      <c r="AA151" s="34" t="str">
        <f>IF($A151="","",IF(COUNTIFS(ASSEGNAZIONI!$B:$B,$A151)&gt;0,SUMIFS(ASSEGNAZIONI!$P:$P,ASSEGNAZIONI!$B:$B,$A151),0))</f>
        <v/>
      </c>
      <c r="AB151" s="34" t="str">
        <f t="shared" si="66"/>
        <v/>
      </c>
      <c r="AC151" s="34" t="str">
        <f t="shared" si="67"/>
        <v/>
      </c>
      <c r="AD151" s="34" t="str">
        <f t="shared" si="68"/>
        <v/>
      </c>
      <c r="AE151" s="35" t="str">
        <f t="shared" si="69"/>
        <v/>
      </c>
      <c r="AF151" s="34" t="str">
        <f t="shared" si="70"/>
        <v/>
      </c>
      <c r="AG151" s="34" t="str">
        <f t="shared" si="71"/>
        <v/>
      </c>
      <c r="AH151" s="35" t="str">
        <f>IF($A151="","",IFERROR(AVERAGEIFS(FASI!$L:$L,FASI!$B:$B,$A151),0))</f>
        <v/>
      </c>
      <c r="AI151" s="35" t="str">
        <f t="shared" si="72"/>
        <v/>
      </c>
      <c r="AJ151" s="34" t="str">
        <f>IF($A151="","",SUMIFS(SAL!$H:$H,SAL!$B:$B,$A151,SAL!$O:$O,"Emessa")+SUMIFS(SAL!$H:$H,SAL!$B:$B,$A151,SAL!$O:$O,"Incassata")+SUMIFS(SAL!$H:$H,SAL!$B:$B,$A151,SAL!$O:$O,"Scaduta"))</f>
        <v/>
      </c>
      <c r="AK151" s="34" t="str">
        <f>IF($A151="","",SUMIFS(SAL!$H:$H,SAL!$B:$B,$A151,SAL!$O:$O,"Incassata"))</f>
        <v/>
      </c>
      <c r="AL151" s="34" t="str">
        <f t="shared" si="73"/>
        <v/>
      </c>
      <c r="AM151" s="34" t="str">
        <f t="shared" si="74"/>
        <v/>
      </c>
      <c r="AN151" s="36" t="str">
        <f ca="1">IF($A151="","",IF($M151=0,"RISORSE NON ASSEGNATE",IF($AE151&lt;0.1,"MARGINE CRITICO",IF($S151&lt;-SCONTO_MAX,"SCONTO OLTRE SOGLIA",IF($Z151&gt;0,"ORE OLTRE LA STIMA",IF($AI151&gt;ALLERTA_ORE,"CONSUMO ORE ELEVATO",IF(COUNTIFS(SAL!$B:$B,$A151,SAL!$K:$K,"EMETTIBILE")&gt;0,"SAL DA EMETTERE",IF(COUNTIFS(FASI!$B:$B,$A151,FASI!$H:$H,"&lt;"&amp;TODAY(),FASI!$L:$L,"&lt;1")&gt;0,"FASI IN RITARDO","OK"))))))))</f>
        <v/>
      </c>
    </row>
    <row r="152" spans="1:40" x14ac:dyDescent="0.3">
      <c r="A152" s="42"/>
      <c r="B152" s="42"/>
      <c r="C152" s="42"/>
      <c r="D152" s="42"/>
      <c r="E152" s="42"/>
      <c r="F152" s="42"/>
      <c r="G152" s="43"/>
      <c r="H152" s="43"/>
      <c r="I152" s="42"/>
      <c r="J152" s="44"/>
      <c r="K152" s="46"/>
      <c r="L152" s="34" t="str">
        <f t="shared" si="60"/>
        <v/>
      </c>
      <c r="M152" s="33" t="str">
        <f>IF($A152="","",SUMIFS(ASSEGNAZIONI!$F:$F,ASSEGNAZIONI!$B:$B,$A152))</f>
        <v/>
      </c>
      <c r="N152" s="34" t="str">
        <f>IF($A152="","",SUMIFS(ASSEGNAZIONI!$I:$I,ASSEGNAZIONI!$B:$B,$A152))</f>
        <v/>
      </c>
      <c r="O152" s="34" t="str">
        <f>IF($A152="","",SUMIFS(ASSEGNAZIONI!$J:$J,ASSEGNAZIONI!$B:$B,$A152))</f>
        <v/>
      </c>
      <c r="P152" s="34" t="str">
        <f t="shared" si="61"/>
        <v/>
      </c>
      <c r="Q152" s="44"/>
      <c r="R152" s="34" t="str">
        <f t="shared" si="62"/>
        <v/>
      </c>
      <c r="S152" s="35" t="str">
        <f t="shared" si="63"/>
        <v/>
      </c>
      <c r="T152" s="34" t="str">
        <f>IF($A152="","",SUMIFS(ODA!$R:$R,ODA!$B:$B,$A152))</f>
        <v/>
      </c>
      <c r="U152" s="34" t="str">
        <f>IF($A152="","",SUMIFS(ODA!$P:$P,ODA!$B:$B,$A152))</f>
        <v/>
      </c>
      <c r="V152" s="45" t="str">
        <f t="shared" si="64"/>
        <v/>
      </c>
      <c r="W152" s="33" t="str">
        <f>IF($A152="","",SUMIFS(ORE!$F:$F,ORE!$B:$B,$A152))</f>
        <v/>
      </c>
      <c r="X152" s="33" t="str">
        <f>IF($A152="","",SUMIFS(PREVISIONE_ORE!$G:$G,PREVISIONE_ORE!$D:$D,$A152,PREVISIONE_ORE!$K:$K,"Sì"))</f>
        <v/>
      </c>
      <c r="Y152" s="33" t="str">
        <f>IF($A152="","",IF(COUNTIFS(ASSEGNAZIONI!$B:$B,$A152)&gt;0,SUMIFS(ASSEGNAZIONI!$N:$N,ASSEGNAZIONI!$B:$B,$A152),MAX($W152,0)))</f>
        <v/>
      </c>
      <c r="Z152" s="33" t="str">
        <f t="shared" si="65"/>
        <v/>
      </c>
      <c r="AA152" s="34" t="str">
        <f>IF($A152="","",IF(COUNTIFS(ASSEGNAZIONI!$B:$B,$A152)&gt;0,SUMIFS(ASSEGNAZIONI!$P:$P,ASSEGNAZIONI!$B:$B,$A152),0))</f>
        <v/>
      </c>
      <c r="AB152" s="34" t="str">
        <f t="shared" si="66"/>
        <v/>
      </c>
      <c r="AC152" s="34" t="str">
        <f t="shared" si="67"/>
        <v/>
      </c>
      <c r="AD152" s="34" t="str">
        <f t="shared" si="68"/>
        <v/>
      </c>
      <c r="AE152" s="35" t="str">
        <f t="shared" si="69"/>
        <v/>
      </c>
      <c r="AF152" s="34" t="str">
        <f t="shared" si="70"/>
        <v/>
      </c>
      <c r="AG152" s="34" t="str">
        <f t="shared" si="71"/>
        <v/>
      </c>
      <c r="AH152" s="35" t="str">
        <f>IF($A152="","",IFERROR(AVERAGEIFS(FASI!$L:$L,FASI!$B:$B,$A152),0))</f>
        <v/>
      </c>
      <c r="AI152" s="35" t="str">
        <f t="shared" si="72"/>
        <v/>
      </c>
      <c r="AJ152" s="34" t="str">
        <f>IF($A152="","",SUMIFS(SAL!$H:$H,SAL!$B:$B,$A152,SAL!$O:$O,"Emessa")+SUMIFS(SAL!$H:$H,SAL!$B:$B,$A152,SAL!$O:$O,"Incassata")+SUMIFS(SAL!$H:$H,SAL!$B:$B,$A152,SAL!$O:$O,"Scaduta"))</f>
        <v/>
      </c>
      <c r="AK152" s="34" t="str">
        <f>IF($A152="","",SUMIFS(SAL!$H:$H,SAL!$B:$B,$A152,SAL!$O:$O,"Incassata"))</f>
        <v/>
      </c>
      <c r="AL152" s="34" t="str">
        <f t="shared" si="73"/>
        <v/>
      </c>
      <c r="AM152" s="34" t="str">
        <f t="shared" si="74"/>
        <v/>
      </c>
      <c r="AN152" s="36" t="str">
        <f ca="1">IF($A152="","",IF($M152=0,"RISORSE NON ASSEGNATE",IF($AE152&lt;0.1,"MARGINE CRITICO",IF($S152&lt;-SCONTO_MAX,"SCONTO OLTRE SOGLIA",IF($Z152&gt;0,"ORE OLTRE LA STIMA",IF($AI152&gt;ALLERTA_ORE,"CONSUMO ORE ELEVATO",IF(COUNTIFS(SAL!$B:$B,$A152,SAL!$K:$K,"EMETTIBILE")&gt;0,"SAL DA EMETTERE",IF(COUNTIFS(FASI!$B:$B,$A152,FASI!$H:$H,"&lt;"&amp;TODAY(),FASI!$L:$L,"&lt;1")&gt;0,"FASI IN RITARDO","OK"))))))))</f>
        <v/>
      </c>
    </row>
    <row r="153" spans="1:40" x14ac:dyDescent="0.3">
      <c r="A153" s="42"/>
      <c r="B153" s="42"/>
      <c r="C153" s="42"/>
      <c r="D153" s="42"/>
      <c r="E153" s="42"/>
      <c r="F153" s="42"/>
      <c r="G153" s="43"/>
      <c r="H153" s="43"/>
      <c r="I153" s="42"/>
      <c r="J153" s="44"/>
      <c r="K153" s="46"/>
      <c r="L153" s="34" t="str">
        <f t="shared" si="60"/>
        <v/>
      </c>
      <c r="M153" s="33" t="str">
        <f>IF($A153="","",SUMIFS(ASSEGNAZIONI!$F:$F,ASSEGNAZIONI!$B:$B,$A153))</f>
        <v/>
      </c>
      <c r="N153" s="34" t="str">
        <f>IF($A153="","",SUMIFS(ASSEGNAZIONI!$I:$I,ASSEGNAZIONI!$B:$B,$A153))</f>
        <v/>
      </c>
      <c r="O153" s="34" t="str">
        <f>IF($A153="","",SUMIFS(ASSEGNAZIONI!$J:$J,ASSEGNAZIONI!$B:$B,$A153))</f>
        <v/>
      </c>
      <c r="P153" s="34" t="str">
        <f t="shared" si="61"/>
        <v/>
      </c>
      <c r="Q153" s="44"/>
      <c r="R153" s="34" t="str">
        <f t="shared" si="62"/>
        <v/>
      </c>
      <c r="S153" s="35" t="str">
        <f t="shared" si="63"/>
        <v/>
      </c>
      <c r="T153" s="34" t="str">
        <f>IF($A153="","",SUMIFS(ODA!$R:$R,ODA!$B:$B,$A153))</f>
        <v/>
      </c>
      <c r="U153" s="34" t="str">
        <f>IF($A153="","",SUMIFS(ODA!$P:$P,ODA!$B:$B,$A153))</f>
        <v/>
      </c>
      <c r="V153" s="45" t="str">
        <f t="shared" si="64"/>
        <v/>
      </c>
      <c r="W153" s="33" t="str">
        <f>IF($A153="","",SUMIFS(ORE!$F:$F,ORE!$B:$B,$A153))</f>
        <v/>
      </c>
      <c r="X153" s="33" t="str">
        <f>IF($A153="","",SUMIFS(PREVISIONE_ORE!$G:$G,PREVISIONE_ORE!$D:$D,$A153,PREVISIONE_ORE!$K:$K,"Sì"))</f>
        <v/>
      </c>
      <c r="Y153" s="33" t="str">
        <f>IF($A153="","",IF(COUNTIFS(ASSEGNAZIONI!$B:$B,$A153)&gt;0,SUMIFS(ASSEGNAZIONI!$N:$N,ASSEGNAZIONI!$B:$B,$A153),MAX($W153,0)))</f>
        <v/>
      </c>
      <c r="Z153" s="33" t="str">
        <f t="shared" si="65"/>
        <v/>
      </c>
      <c r="AA153" s="34" t="str">
        <f>IF($A153="","",IF(COUNTIFS(ASSEGNAZIONI!$B:$B,$A153)&gt;0,SUMIFS(ASSEGNAZIONI!$P:$P,ASSEGNAZIONI!$B:$B,$A153),0))</f>
        <v/>
      </c>
      <c r="AB153" s="34" t="str">
        <f t="shared" si="66"/>
        <v/>
      </c>
      <c r="AC153" s="34" t="str">
        <f t="shared" si="67"/>
        <v/>
      </c>
      <c r="AD153" s="34" t="str">
        <f t="shared" si="68"/>
        <v/>
      </c>
      <c r="AE153" s="35" t="str">
        <f t="shared" si="69"/>
        <v/>
      </c>
      <c r="AF153" s="34" t="str">
        <f t="shared" si="70"/>
        <v/>
      </c>
      <c r="AG153" s="34" t="str">
        <f t="shared" si="71"/>
        <v/>
      </c>
      <c r="AH153" s="35" t="str">
        <f>IF($A153="","",IFERROR(AVERAGEIFS(FASI!$L:$L,FASI!$B:$B,$A153),0))</f>
        <v/>
      </c>
      <c r="AI153" s="35" t="str">
        <f t="shared" si="72"/>
        <v/>
      </c>
      <c r="AJ153" s="34" t="str">
        <f>IF($A153="","",SUMIFS(SAL!$H:$H,SAL!$B:$B,$A153,SAL!$O:$O,"Emessa")+SUMIFS(SAL!$H:$H,SAL!$B:$B,$A153,SAL!$O:$O,"Incassata")+SUMIFS(SAL!$H:$H,SAL!$B:$B,$A153,SAL!$O:$O,"Scaduta"))</f>
        <v/>
      </c>
      <c r="AK153" s="34" t="str">
        <f>IF($A153="","",SUMIFS(SAL!$H:$H,SAL!$B:$B,$A153,SAL!$O:$O,"Incassata"))</f>
        <v/>
      </c>
      <c r="AL153" s="34" t="str">
        <f t="shared" si="73"/>
        <v/>
      </c>
      <c r="AM153" s="34" t="str">
        <f t="shared" si="74"/>
        <v/>
      </c>
      <c r="AN153" s="36" t="str">
        <f ca="1">IF($A153="","",IF($M153=0,"RISORSE NON ASSEGNATE",IF($AE153&lt;0.1,"MARGINE CRITICO",IF($S153&lt;-SCONTO_MAX,"SCONTO OLTRE SOGLIA",IF($Z153&gt;0,"ORE OLTRE LA STIMA",IF($AI153&gt;ALLERTA_ORE,"CONSUMO ORE ELEVATO",IF(COUNTIFS(SAL!$B:$B,$A153,SAL!$K:$K,"EMETTIBILE")&gt;0,"SAL DA EMETTERE",IF(COUNTIFS(FASI!$B:$B,$A153,FASI!$H:$H,"&lt;"&amp;TODAY(),FASI!$L:$L,"&lt;1")&gt;0,"FASI IN RITARDO","OK"))))))))</f>
        <v/>
      </c>
    </row>
    <row r="154" spans="1:40" x14ac:dyDescent="0.3">
      <c r="A154" s="42"/>
      <c r="B154" s="42"/>
      <c r="C154" s="42"/>
      <c r="D154" s="42"/>
      <c r="E154" s="42"/>
      <c r="F154" s="42"/>
      <c r="G154" s="43"/>
      <c r="H154" s="43"/>
      <c r="I154" s="42"/>
      <c r="J154" s="44"/>
      <c r="K154" s="46"/>
      <c r="L154" s="34" t="str">
        <f t="shared" si="60"/>
        <v/>
      </c>
      <c r="M154" s="33" t="str">
        <f>IF($A154="","",SUMIFS(ASSEGNAZIONI!$F:$F,ASSEGNAZIONI!$B:$B,$A154))</f>
        <v/>
      </c>
      <c r="N154" s="34" t="str">
        <f>IF($A154="","",SUMIFS(ASSEGNAZIONI!$I:$I,ASSEGNAZIONI!$B:$B,$A154))</f>
        <v/>
      </c>
      <c r="O154" s="34" t="str">
        <f>IF($A154="","",SUMIFS(ASSEGNAZIONI!$J:$J,ASSEGNAZIONI!$B:$B,$A154))</f>
        <v/>
      </c>
      <c r="P154" s="34" t="str">
        <f t="shared" si="61"/>
        <v/>
      </c>
      <c r="Q154" s="44"/>
      <c r="R154" s="34" t="str">
        <f t="shared" si="62"/>
        <v/>
      </c>
      <c r="S154" s="35" t="str">
        <f t="shared" si="63"/>
        <v/>
      </c>
      <c r="T154" s="34" t="str">
        <f>IF($A154="","",SUMIFS(ODA!$R:$R,ODA!$B:$B,$A154))</f>
        <v/>
      </c>
      <c r="U154" s="34" t="str">
        <f>IF($A154="","",SUMIFS(ODA!$P:$P,ODA!$B:$B,$A154))</f>
        <v/>
      </c>
      <c r="V154" s="45" t="str">
        <f t="shared" si="64"/>
        <v/>
      </c>
      <c r="W154" s="33" t="str">
        <f>IF($A154="","",SUMIFS(ORE!$F:$F,ORE!$B:$B,$A154))</f>
        <v/>
      </c>
      <c r="X154" s="33" t="str">
        <f>IF($A154="","",SUMIFS(PREVISIONE_ORE!$G:$G,PREVISIONE_ORE!$D:$D,$A154,PREVISIONE_ORE!$K:$K,"Sì"))</f>
        <v/>
      </c>
      <c r="Y154" s="33" t="str">
        <f>IF($A154="","",IF(COUNTIFS(ASSEGNAZIONI!$B:$B,$A154)&gt;0,SUMIFS(ASSEGNAZIONI!$N:$N,ASSEGNAZIONI!$B:$B,$A154),MAX($W154,0)))</f>
        <v/>
      </c>
      <c r="Z154" s="33" t="str">
        <f t="shared" si="65"/>
        <v/>
      </c>
      <c r="AA154" s="34" t="str">
        <f>IF($A154="","",IF(COUNTIFS(ASSEGNAZIONI!$B:$B,$A154)&gt;0,SUMIFS(ASSEGNAZIONI!$P:$P,ASSEGNAZIONI!$B:$B,$A154),0))</f>
        <v/>
      </c>
      <c r="AB154" s="34" t="str">
        <f t="shared" si="66"/>
        <v/>
      </c>
      <c r="AC154" s="34" t="str">
        <f t="shared" si="67"/>
        <v/>
      </c>
      <c r="AD154" s="34" t="str">
        <f t="shared" si="68"/>
        <v/>
      </c>
      <c r="AE154" s="35" t="str">
        <f t="shared" si="69"/>
        <v/>
      </c>
      <c r="AF154" s="34" t="str">
        <f t="shared" si="70"/>
        <v/>
      </c>
      <c r="AG154" s="34" t="str">
        <f t="shared" si="71"/>
        <v/>
      </c>
      <c r="AH154" s="35" t="str">
        <f>IF($A154="","",IFERROR(AVERAGEIFS(FASI!$L:$L,FASI!$B:$B,$A154),0))</f>
        <v/>
      </c>
      <c r="AI154" s="35" t="str">
        <f t="shared" si="72"/>
        <v/>
      </c>
      <c r="AJ154" s="34" t="str">
        <f>IF($A154="","",SUMIFS(SAL!$H:$H,SAL!$B:$B,$A154,SAL!$O:$O,"Emessa")+SUMIFS(SAL!$H:$H,SAL!$B:$B,$A154,SAL!$O:$O,"Incassata")+SUMIFS(SAL!$H:$H,SAL!$B:$B,$A154,SAL!$O:$O,"Scaduta"))</f>
        <v/>
      </c>
      <c r="AK154" s="34" t="str">
        <f>IF($A154="","",SUMIFS(SAL!$H:$H,SAL!$B:$B,$A154,SAL!$O:$O,"Incassata"))</f>
        <v/>
      </c>
      <c r="AL154" s="34" t="str">
        <f t="shared" si="73"/>
        <v/>
      </c>
      <c r="AM154" s="34" t="str">
        <f t="shared" si="74"/>
        <v/>
      </c>
      <c r="AN154" s="36" t="str">
        <f ca="1">IF($A154="","",IF($M154=0,"RISORSE NON ASSEGNATE",IF($AE154&lt;0.1,"MARGINE CRITICO",IF($S154&lt;-SCONTO_MAX,"SCONTO OLTRE SOGLIA",IF($Z154&gt;0,"ORE OLTRE LA STIMA",IF($AI154&gt;ALLERTA_ORE,"CONSUMO ORE ELEVATO",IF(COUNTIFS(SAL!$B:$B,$A154,SAL!$K:$K,"EMETTIBILE")&gt;0,"SAL DA EMETTERE",IF(COUNTIFS(FASI!$B:$B,$A154,FASI!$H:$H,"&lt;"&amp;TODAY(),FASI!$L:$L,"&lt;1")&gt;0,"FASI IN RITARDO","OK"))))))))</f>
        <v/>
      </c>
    </row>
    <row r="155" spans="1:40" x14ac:dyDescent="0.3">
      <c r="A155" s="42"/>
      <c r="B155" s="42"/>
      <c r="C155" s="42"/>
      <c r="D155" s="42"/>
      <c r="E155" s="42"/>
      <c r="F155" s="42"/>
      <c r="G155" s="43"/>
      <c r="H155" s="43"/>
      <c r="I155" s="42"/>
      <c r="J155" s="44"/>
      <c r="K155" s="46"/>
      <c r="L155" s="34" t="str">
        <f t="shared" si="60"/>
        <v/>
      </c>
      <c r="M155" s="33" t="str">
        <f>IF($A155="","",SUMIFS(ASSEGNAZIONI!$F:$F,ASSEGNAZIONI!$B:$B,$A155))</f>
        <v/>
      </c>
      <c r="N155" s="34" t="str">
        <f>IF($A155="","",SUMIFS(ASSEGNAZIONI!$I:$I,ASSEGNAZIONI!$B:$B,$A155))</f>
        <v/>
      </c>
      <c r="O155" s="34" t="str">
        <f>IF($A155="","",SUMIFS(ASSEGNAZIONI!$J:$J,ASSEGNAZIONI!$B:$B,$A155))</f>
        <v/>
      </c>
      <c r="P155" s="34" t="str">
        <f t="shared" si="61"/>
        <v/>
      </c>
      <c r="Q155" s="44"/>
      <c r="R155" s="34" t="str">
        <f t="shared" si="62"/>
        <v/>
      </c>
      <c r="S155" s="35" t="str">
        <f t="shared" si="63"/>
        <v/>
      </c>
      <c r="T155" s="34" t="str">
        <f>IF($A155="","",SUMIFS(ODA!$R:$R,ODA!$B:$B,$A155))</f>
        <v/>
      </c>
      <c r="U155" s="34" t="str">
        <f>IF($A155="","",SUMIFS(ODA!$P:$P,ODA!$B:$B,$A155))</f>
        <v/>
      </c>
      <c r="V155" s="45" t="str">
        <f t="shared" si="64"/>
        <v/>
      </c>
      <c r="W155" s="33" t="str">
        <f>IF($A155="","",SUMIFS(ORE!$F:$F,ORE!$B:$B,$A155))</f>
        <v/>
      </c>
      <c r="X155" s="33" t="str">
        <f>IF($A155="","",SUMIFS(PREVISIONE_ORE!$G:$G,PREVISIONE_ORE!$D:$D,$A155,PREVISIONE_ORE!$K:$K,"Sì"))</f>
        <v/>
      </c>
      <c r="Y155" s="33" t="str">
        <f>IF($A155="","",IF(COUNTIFS(ASSEGNAZIONI!$B:$B,$A155)&gt;0,SUMIFS(ASSEGNAZIONI!$N:$N,ASSEGNAZIONI!$B:$B,$A155),MAX($W155,0)))</f>
        <v/>
      </c>
      <c r="Z155" s="33" t="str">
        <f t="shared" si="65"/>
        <v/>
      </c>
      <c r="AA155" s="34" t="str">
        <f>IF($A155="","",IF(COUNTIFS(ASSEGNAZIONI!$B:$B,$A155)&gt;0,SUMIFS(ASSEGNAZIONI!$P:$P,ASSEGNAZIONI!$B:$B,$A155),0))</f>
        <v/>
      </c>
      <c r="AB155" s="34" t="str">
        <f t="shared" si="66"/>
        <v/>
      </c>
      <c r="AC155" s="34" t="str">
        <f t="shared" si="67"/>
        <v/>
      </c>
      <c r="AD155" s="34" t="str">
        <f t="shared" si="68"/>
        <v/>
      </c>
      <c r="AE155" s="35" t="str">
        <f t="shared" si="69"/>
        <v/>
      </c>
      <c r="AF155" s="34" t="str">
        <f t="shared" si="70"/>
        <v/>
      </c>
      <c r="AG155" s="34" t="str">
        <f t="shared" si="71"/>
        <v/>
      </c>
      <c r="AH155" s="35" t="str">
        <f>IF($A155="","",IFERROR(AVERAGEIFS(FASI!$L:$L,FASI!$B:$B,$A155),0))</f>
        <v/>
      </c>
      <c r="AI155" s="35" t="str">
        <f t="shared" si="72"/>
        <v/>
      </c>
      <c r="AJ155" s="34" t="str">
        <f>IF($A155="","",SUMIFS(SAL!$H:$H,SAL!$B:$B,$A155,SAL!$O:$O,"Emessa")+SUMIFS(SAL!$H:$H,SAL!$B:$B,$A155,SAL!$O:$O,"Incassata")+SUMIFS(SAL!$H:$H,SAL!$B:$B,$A155,SAL!$O:$O,"Scaduta"))</f>
        <v/>
      </c>
      <c r="AK155" s="34" t="str">
        <f>IF($A155="","",SUMIFS(SAL!$H:$H,SAL!$B:$B,$A155,SAL!$O:$O,"Incassata"))</f>
        <v/>
      </c>
      <c r="AL155" s="34" t="str">
        <f t="shared" si="73"/>
        <v/>
      </c>
      <c r="AM155" s="34" t="str">
        <f t="shared" si="74"/>
        <v/>
      </c>
      <c r="AN155" s="36" t="str">
        <f ca="1">IF($A155="","",IF($M155=0,"RISORSE NON ASSEGNATE",IF($AE155&lt;0.1,"MARGINE CRITICO",IF($S155&lt;-SCONTO_MAX,"SCONTO OLTRE SOGLIA",IF($Z155&gt;0,"ORE OLTRE LA STIMA",IF($AI155&gt;ALLERTA_ORE,"CONSUMO ORE ELEVATO",IF(COUNTIFS(SAL!$B:$B,$A155,SAL!$K:$K,"EMETTIBILE")&gt;0,"SAL DA EMETTERE",IF(COUNTIFS(FASI!$B:$B,$A155,FASI!$H:$H,"&lt;"&amp;TODAY(),FASI!$L:$L,"&lt;1")&gt;0,"FASI IN RITARDO","OK"))))))))</f>
        <v/>
      </c>
    </row>
    <row r="156" spans="1:40" x14ac:dyDescent="0.3">
      <c r="A156" s="42"/>
      <c r="B156" s="42"/>
      <c r="C156" s="42"/>
      <c r="D156" s="42"/>
      <c r="E156" s="42"/>
      <c r="F156" s="42"/>
      <c r="G156" s="43"/>
      <c r="H156" s="43"/>
      <c r="I156" s="42"/>
      <c r="J156" s="44"/>
      <c r="K156" s="46"/>
      <c r="L156" s="34" t="str">
        <f t="shared" si="60"/>
        <v/>
      </c>
      <c r="M156" s="33" t="str">
        <f>IF($A156="","",SUMIFS(ASSEGNAZIONI!$F:$F,ASSEGNAZIONI!$B:$B,$A156))</f>
        <v/>
      </c>
      <c r="N156" s="34" t="str">
        <f>IF($A156="","",SUMIFS(ASSEGNAZIONI!$I:$I,ASSEGNAZIONI!$B:$B,$A156))</f>
        <v/>
      </c>
      <c r="O156" s="34" t="str">
        <f>IF($A156="","",SUMIFS(ASSEGNAZIONI!$J:$J,ASSEGNAZIONI!$B:$B,$A156))</f>
        <v/>
      </c>
      <c r="P156" s="34" t="str">
        <f t="shared" si="61"/>
        <v/>
      </c>
      <c r="Q156" s="44"/>
      <c r="R156" s="34" t="str">
        <f t="shared" si="62"/>
        <v/>
      </c>
      <c r="S156" s="35" t="str">
        <f t="shared" si="63"/>
        <v/>
      </c>
      <c r="T156" s="34" t="str">
        <f>IF($A156="","",SUMIFS(ODA!$R:$R,ODA!$B:$B,$A156))</f>
        <v/>
      </c>
      <c r="U156" s="34" t="str">
        <f>IF($A156="","",SUMIFS(ODA!$P:$P,ODA!$B:$B,$A156))</f>
        <v/>
      </c>
      <c r="V156" s="45" t="str">
        <f t="shared" si="64"/>
        <v/>
      </c>
      <c r="W156" s="33" t="str">
        <f>IF($A156="","",SUMIFS(ORE!$F:$F,ORE!$B:$B,$A156))</f>
        <v/>
      </c>
      <c r="X156" s="33" t="str">
        <f>IF($A156="","",SUMIFS(PREVISIONE_ORE!$G:$G,PREVISIONE_ORE!$D:$D,$A156,PREVISIONE_ORE!$K:$K,"Sì"))</f>
        <v/>
      </c>
      <c r="Y156" s="33" t="str">
        <f>IF($A156="","",IF(COUNTIFS(ASSEGNAZIONI!$B:$B,$A156)&gt;0,SUMIFS(ASSEGNAZIONI!$N:$N,ASSEGNAZIONI!$B:$B,$A156),MAX($W156,0)))</f>
        <v/>
      </c>
      <c r="Z156" s="33" t="str">
        <f t="shared" si="65"/>
        <v/>
      </c>
      <c r="AA156" s="34" t="str">
        <f>IF($A156="","",IF(COUNTIFS(ASSEGNAZIONI!$B:$B,$A156)&gt;0,SUMIFS(ASSEGNAZIONI!$P:$P,ASSEGNAZIONI!$B:$B,$A156),0))</f>
        <v/>
      </c>
      <c r="AB156" s="34" t="str">
        <f t="shared" si="66"/>
        <v/>
      </c>
      <c r="AC156" s="34" t="str">
        <f t="shared" si="67"/>
        <v/>
      </c>
      <c r="AD156" s="34" t="str">
        <f t="shared" si="68"/>
        <v/>
      </c>
      <c r="AE156" s="35" t="str">
        <f t="shared" si="69"/>
        <v/>
      </c>
      <c r="AF156" s="34" t="str">
        <f t="shared" si="70"/>
        <v/>
      </c>
      <c r="AG156" s="34" t="str">
        <f t="shared" si="71"/>
        <v/>
      </c>
      <c r="AH156" s="35" t="str">
        <f>IF($A156="","",IFERROR(AVERAGEIFS(FASI!$L:$L,FASI!$B:$B,$A156),0))</f>
        <v/>
      </c>
      <c r="AI156" s="35" t="str">
        <f t="shared" si="72"/>
        <v/>
      </c>
      <c r="AJ156" s="34" t="str">
        <f>IF($A156="","",SUMIFS(SAL!$H:$H,SAL!$B:$B,$A156,SAL!$O:$O,"Emessa")+SUMIFS(SAL!$H:$H,SAL!$B:$B,$A156,SAL!$O:$O,"Incassata")+SUMIFS(SAL!$H:$H,SAL!$B:$B,$A156,SAL!$O:$O,"Scaduta"))</f>
        <v/>
      </c>
      <c r="AK156" s="34" t="str">
        <f>IF($A156="","",SUMIFS(SAL!$H:$H,SAL!$B:$B,$A156,SAL!$O:$O,"Incassata"))</f>
        <v/>
      </c>
      <c r="AL156" s="34" t="str">
        <f t="shared" si="73"/>
        <v/>
      </c>
      <c r="AM156" s="34" t="str">
        <f t="shared" si="74"/>
        <v/>
      </c>
      <c r="AN156" s="36" t="str">
        <f ca="1">IF($A156="","",IF($M156=0,"RISORSE NON ASSEGNATE",IF($AE156&lt;0.1,"MARGINE CRITICO",IF($S156&lt;-SCONTO_MAX,"SCONTO OLTRE SOGLIA",IF($Z156&gt;0,"ORE OLTRE LA STIMA",IF($AI156&gt;ALLERTA_ORE,"CONSUMO ORE ELEVATO",IF(COUNTIFS(SAL!$B:$B,$A156,SAL!$K:$K,"EMETTIBILE")&gt;0,"SAL DA EMETTERE",IF(COUNTIFS(FASI!$B:$B,$A156,FASI!$H:$H,"&lt;"&amp;TODAY(),FASI!$L:$L,"&lt;1")&gt;0,"FASI IN RITARDO","OK"))))))))</f>
        <v/>
      </c>
    </row>
    <row r="157" spans="1:40" x14ac:dyDescent="0.3">
      <c r="A157" s="42"/>
      <c r="B157" s="42"/>
      <c r="C157" s="42"/>
      <c r="D157" s="42"/>
      <c r="E157" s="42"/>
      <c r="F157" s="42"/>
      <c r="G157" s="43"/>
      <c r="H157" s="43"/>
      <c r="I157" s="42"/>
      <c r="J157" s="44"/>
      <c r="K157" s="46"/>
      <c r="L157" s="34" t="str">
        <f t="shared" si="60"/>
        <v/>
      </c>
      <c r="M157" s="33" t="str">
        <f>IF($A157="","",SUMIFS(ASSEGNAZIONI!$F:$F,ASSEGNAZIONI!$B:$B,$A157))</f>
        <v/>
      </c>
      <c r="N157" s="34" t="str">
        <f>IF($A157="","",SUMIFS(ASSEGNAZIONI!$I:$I,ASSEGNAZIONI!$B:$B,$A157))</f>
        <v/>
      </c>
      <c r="O157" s="34" t="str">
        <f>IF($A157="","",SUMIFS(ASSEGNAZIONI!$J:$J,ASSEGNAZIONI!$B:$B,$A157))</f>
        <v/>
      </c>
      <c r="P157" s="34" t="str">
        <f t="shared" si="61"/>
        <v/>
      </c>
      <c r="Q157" s="44"/>
      <c r="R157" s="34" t="str">
        <f t="shared" si="62"/>
        <v/>
      </c>
      <c r="S157" s="35" t="str">
        <f t="shared" si="63"/>
        <v/>
      </c>
      <c r="T157" s="34" t="str">
        <f>IF($A157="","",SUMIFS(ODA!$R:$R,ODA!$B:$B,$A157))</f>
        <v/>
      </c>
      <c r="U157" s="34" t="str">
        <f>IF($A157="","",SUMIFS(ODA!$P:$P,ODA!$B:$B,$A157))</f>
        <v/>
      </c>
      <c r="V157" s="45" t="str">
        <f t="shared" si="64"/>
        <v/>
      </c>
      <c r="W157" s="33" t="str">
        <f>IF($A157="","",SUMIFS(ORE!$F:$F,ORE!$B:$B,$A157))</f>
        <v/>
      </c>
      <c r="X157" s="33" t="str">
        <f>IF($A157="","",SUMIFS(PREVISIONE_ORE!$G:$G,PREVISIONE_ORE!$D:$D,$A157,PREVISIONE_ORE!$K:$K,"Sì"))</f>
        <v/>
      </c>
      <c r="Y157" s="33" t="str">
        <f>IF($A157="","",IF(COUNTIFS(ASSEGNAZIONI!$B:$B,$A157)&gt;0,SUMIFS(ASSEGNAZIONI!$N:$N,ASSEGNAZIONI!$B:$B,$A157),MAX($W157,0)))</f>
        <v/>
      </c>
      <c r="Z157" s="33" t="str">
        <f t="shared" si="65"/>
        <v/>
      </c>
      <c r="AA157" s="34" t="str">
        <f>IF($A157="","",IF(COUNTIFS(ASSEGNAZIONI!$B:$B,$A157)&gt;0,SUMIFS(ASSEGNAZIONI!$P:$P,ASSEGNAZIONI!$B:$B,$A157),0))</f>
        <v/>
      </c>
      <c r="AB157" s="34" t="str">
        <f t="shared" si="66"/>
        <v/>
      </c>
      <c r="AC157" s="34" t="str">
        <f t="shared" si="67"/>
        <v/>
      </c>
      <c r="AD157" s="34" t="str">
        <f t="shared" si="68"/>
        <v/>
      </c>
      <c r="AE157" s="35" t="str">
        <f t="shared" si="69"/>
        <v/>
      </c>
      <c r="AF157" s="34" t="str">
        <f t="shared" si="70"/>
        <v/>
      </c>
      <c r="AG157" s="34" t="str">
        <f t="shared" si="71"/>
        <v/>
      </c>
      <c r="AH157" s="35" t="str">
        <f>IF($A157="","",IFERROR(AVERAGEIFS(FASI!$L:$L,FASI!$B:$B,$A157),0))</f>
        <v/>
      </c>
      <c r="AI157" s="35" t="str">
        <f t="shared" si="72"/>
        <v/>
      </c>
      <c r="AJ157" s="34" t="str">
        <f>IF($A157="","",SUMIFS(SAL!$H:$H,SAL!$B:$B,$A157,SAL!$O:$O,"Emessa")+SUMIFS(SAL!$H:$H,SAL!$B:$B,$A157,SAL!$O:$O,"Incassata")+SUMIFS(SAL!$H:$H,SAL!$B:$B,$A157,SAL!$O:$O,"Scaduta"))</f>
        <v/>
      </c>
      <c r="AK157" s="34" t="str">
        <f>IF($A157="","",SUMIFS(SAL!$H:$H,SAL!$B:$B,$A157,SAL!$O:$O,"Incassata"))</f>
        <v/>
      </c>
      <c r="AL157" s="34" t="str">
        <f t="shared" si="73"/>
        <v/>
      </c>
      <c r="AM157" s="34" t="str">
        <f t="shared" si="74"/>
        <v/>
      </c>
      <c r="AN157" s="36" t="str">
        <f ca="1">IF($A157="","",IF($M157=0,"RISORSE NON ASSEGNATE",IF($AE157&lt;0.1,"MARGINE CRITICO",IF($S157&lt;-SCONTO_MAX,"SCONTO OLTRE SOGLIA",IF($Z157&gt;0,"ORE OLTRE LA STIMA",IF($AI157&gt;ALLERTA_ORE,"CONSUMO ORE ELEVATO",IF(COUNTIFS(SAL!$B:$B,$A157,SAL!$K:$K,"EMETTIBILE")&gt;0,"SAL DA EMETTERE",IF(COUNTIFS(FASI!$B:$B,$A157,FASI!$H:$H,"&lt;"&amp;TODAY(),FASI!$L:$L,"&lt;1")&gt;0,"FASI IN RITARDO","OK"))))))))</f>
        <v/>
      </c>
    </row>
    <row r="158" spans="1:40" x14ac:dyDescent="0.3">
      <c r="A158" s="42"/>
      <c r="B158" s="42"/>
      <c r="C158" s="42"/>
      <c r="D158" s="42"/>
      <c r="E158" s="42"/>
      <c r="F158" s="42"/>
      <c r="G158" s="43"/>
      <c r="H158" s="43"/>
      <c r="I158" s="42"/>
      <c r="J158" s="44"/>
      <c r="K158" s="46"/>
      <c r="L158" s="34" t="str">
        <f t="shared" si="60"/>
        <v/>
      </c>
      <c r="M158" s="33" t="str">
        <f>IF($A158="","",SUMIFS(ASSEGNAZIONI!$F:$F,ASSEGNAZIONI!$B:$B,$A158))</f>
        <v/>
      </c>
      <c r="N158" s="34" t="str">
        <f>IF($A158="","",SUMIFS(ASSEGNAZIONI!$I:$I,ASSEGNAZIONI!$B:$B,$A158))</f>
        <v/>
      </c>
      <c r="O158" s="34" t="str">
        <f>IF($A158="","",SUMIFS(ASSEGNAZIONI!$J:$J,ASSEGNAZIONI!$B:$B,$A158))</f>
        <v/>
      </c>
      <c r="P158" s="34" t="str">
        <f t="shared" si="61"/>
        <v/>
      </c>
      <c r="Q158" s="44"/>
      <c r="R158" s="34" t="str">
        <f t="shared" si="62"/>
        <v/>
      </c>
      <c r="S158" s="35" t="str">
        <f t="shared" si="63"/>
        <v/>
      </c>
      <c r="T158" s="34" t="str">
        <f>IF($A158="","",SUMIFS(ODA!$R:$R,ODA!$B:$B,$A158))</f>
        <v/>
      </c>
      <c r="U158" s="34" t="str">
        <f>IF($A158="","",SUMIFS(ODA!$P:$P,ODA!$B:$B,$A158))</f>
        <v/>
      </c>
      <c r="V158" s="45" t="str">
        <f t="shared" si="64"/>
        <v/>
      </c>
      <c r="W158" s="33" t="str">
        <f>IF($A158="","",SUMIFS(ORE!$F:$F,ORE!$B:$B,$A158))</f>
        <v/>
      </c>
      <c r="X158" s="33" t="str">
        <f>IF($A158="","",SUMIFS(PREVISIONE_ORE!$G:$G,PREVISIONE_ORE!$D:$D,$A158,PREVISIONE_ORE!$K:$K,"Sì"))</f>
        <v/>
      </c>
      <c r="Y158" s="33" t="str">
        <f>IF($A158="","",IF(COUNTIFS(ASSEGNAZIONI!$B:$B,$A158)&gt;0,SUMIFS(ASSEGNAZIONI!$N:$N,ASSEGNAZIONI!$B:$B,$A158),MAX($W158,0)))</f>
        <v/>
      </c>
      <c r="Z158" s="33" t="str">
        <f t="shared" si="65"/>
        <v/>
      </c>
      <c r="AA158" s="34" t="str">
        <f>IF($A158="","",IF(COUNTIFS(ASSEGNAZIONI!$B:$B,$A158)&gt;0,SUMIFS(ASSEGNAZIONI!$P:$P,ASSEGNAZIONI!$B:$B,$A158),0))</f>
        <v/>
      </c>
      <c r="AB158" s="34" t="str">
        <f t="shared" si="66"/>
        <v/>
      </c>
      <c r="AC158" s="34" t="str">
        <f t="shared" si="67"/>
        <v/>
      </c>
      <c r="AD158" s="34" t="str">
        <f t="shared" si="68"/>
        <v/>
      </c>
      <c r="AE158" s="35" t="str">
        <f t="shared" si="69"/>
        <v/>
      </c>
      <c r="AF158" s="34" t="str">
        <f t="shared" si="70"/>
        <v/>
      </c>
      <c r="AG158" s="34" t="str">
        <f t="shared" si="71"/>
        <v/>
      </c>
      <c r="AH158" s="35" t="str">
        <f>IF($A158="","",IFERROR(AVERAGEIFS(FASI!$L:$L,FASI!$B:$B,$A158),0))</f>
        <v/>
      </c>
      <c r="AI158" s="35" t="str">
        <f t="shared" si="72"/>
        <v/>
      </c>
      <c r="AJ158" s="34" t="str">
        <f>IF($A158="","",SUMIFS(SAL!$H:$H,SAL!$B:$B,$A158,SAL!$O:$O,"Emessa")+SUMIFS(SAL!$H:$H,SAL!$B:$B,$A158,SAL!$O:$O,"Incassata")+SUMIFS(SAL!$H:$H,SAL!$B:$B,$A158,SAL!$O:$O,"Scaduta"))</f>
        <v/>
      </c>
      <c r="AK158" s="34" t="str">
        <f>IF($A158="","",SUMIFS(SAL!$H:$H,SAL!$B:$B,$A158,SAL!$O:$O,"Incassata"))</f>
        <v/>
      </c>
      <c r="AL158" s="34" t="str">
        <f t="shared" si="73"/>
        <v/>
      </c>
      <c r="AM158" s="34" t="str">
        <f t="shared" si="74"/>
        <v/>
      </c>
      <c r="AN158" s="36" t="str">
        <f ca="1">IF($A158="","",IF($M158=0,"RISORSE NON ASSEGNATE",IF($AE158&lt;0.1,"MARGINE CRITICO",IF($S158&lt;-SCONTO_MAX,"SCONTO OLTRE SOGLIA",IF($Z158&gt;0,"ORE OLTRE LA STIMA",IF($AI158&gt;ALLERTA_ORE,"CONSUMO ORE ELEVATO",IF(COUNTIFS(SAL!$B:$B,$A158,SAL!$K:$K,"EMETTIBILE")&gt;0,"SAL DA EMETTERE",IF(COUNTIFS(FASI!$B:$B,$A158,FASI!$H:$H,"&lt;"&amp;TODAY(),FASI!$L:$L,"&lt;1")&gt;0,"FASI IN RITARDO","OK"))))))))</f>
        <v/>
      </c>
    </row>
    <row r="159" spans="1:40" x14ac:dyDescent="0.3">
      <c r="A159" s="42"/>
      <c r="B159" s="42"/>
      <c r="C159" s="42"/>
      <c r="D159" s="42"/>
      <c r="E159" s="42"/>
      <c r="F159" s="42"/>
      <c r="G159" s="43"/>
      <c r="H159" s="43"/>
      <c r="I159" s="42"/>
      <c r="J159" s="44"/>
      <c r="K159" s="46"/>
      <c r="L159" s="34" t="str">
        <f t="shared" si="60"/>
        <v/>
      </c>
      <c r="M159" s="33" t="str">
        <f>IF($A159="","",SUMIFS(ASSEGNAZIONI!$F:$F,ASSEGNAZIONI!$B:$B,$A159))</f>
        <v/>
      </c>
      <c r="N159" s="34" t="str">
        <f>IF($A159="","",SUMIFS(ASSEGNAZIONI!$I:$I,ASSEGNAZIONI!$B:$B,$A159))</f>
        <v/>
      </c>
      <c r="O159" s="34" t="str">
        <f>IF($A159="","",SUMIFS(ASSEGNAZIONI!$J:$J,ASSEGNAZIONI!$B:$B,$A159))</f>
        <v/>
      </c>
      <c r="P159" s="34" t="str">
        <f t="shared" si="61"/>
        <v/>
      </c>
      <c r="Q159" s="44"/>
      <c r="R159" s="34" t="str">
        <f t="shared" si="62"/>
        <v/>
      </c>
      <c r="S159" s="35" t="str">
        <f t="shared" si="63"/>
        <v/>
      </c>
      <c r="T159" s="34" t="str">
        <f>IF($A159="","",SUMIFS(ODA!$R:$R,ODA!$B:$B,$A159))</f>
        <v/>
      </c>
      <c r="U159" s="34" t="str">
        <f>IF($A159="","",SUMIFS(ODA!$P:$P,ODA!$B:$B,$A159))</f>
        <v/>
      </c>
      <c r="V159" s="45" t="str">
        <f t="shared" si="64"/>
        <v/>
      </c>
      <c r="W159" s="33" t="str">
        <f>IF($A159="","",SUMIFS(ORE!$F:$F,ORE!$B:$B,$A159))</f>
        <v/>
      </c>
      <c r="X159" s="33" t="str">
        <f>IF($A159="","",SUMIFS(PREVISIONE_ORE!$G:$G,PREVISIONE_ORE!$D:$D,$A159,PREVISIONE_ORE!$K:$K,"Sì"))</f>
        <v/>
      </c>
      <c r="Y159" s="33" t="str">
        <f>IF($A159="","",IF(COUNTIFS(ASSEGNAZIONI!$B:$B,$A159)&gt;0,SUMIFS(ASSEGNAZIONI!$N:$N,ASSEGNAZIONI!$B:$B,$A159),MAX($W159,0)))</f>
        <v/>
      </c>
      <c r="Z159" s="33" t="str">
        <f t="shared" si="65"/>
        <v/>
      </c>
      <c r="AA159" s="34" t="str">
        <f>IF($A159="","",IF(COUNTIFS(ASSEGNAZIONI!$B:$B,$A159)&gt;0,SUMIFS(ASSEGNAZIONI!$P:$P,ASSEGNAZIONI!$B:$B,$A159),0))</f>
        <v/>
      </c>
      <c r="AB159" s="34" t="str">
        <f t="shared" si="66"/>
        <v/>
      </c>
      <c r="AC159" s="34" t="str">
        <f t="shared" si="67"/>
        <v/>
      </c>
      <c r="AD159" s="34" t="str">
        <f t="shared" si="68"/>
        <v/>
      </c>
      <c r="AE159" s="35" t="str">
        <f t="shared" si="69"/>
        <v/>
      </c>
      <c r="AF159" s="34" t="str">
        <f t="shared" si="70"/>
        <v/>
      </c>
      <c r="AG159" s="34" t="str">
        <f t="shared" si="71"/>
        <v/>
      </c>
      <c r="AH159" s="35" t="str">
        <f>IF($A159="","",IFERROR(AVERAGEIFS(FASI!$L:$L,FASI!$B:$B,$A159),0))</f>
        <v/>
      </c>
      <c r="AI159" s="35" t="str">
        <f t="shared" si="72"/>
        <v/>
      </c>
      <c r="AJ159" s="34" t="str">
        <f>IF($A159="","",SUMIFS(SAL!$H:$H,SAL!$B:$B,$A159,SAL!$O:$O,"Emessa")+SUMIFS(SAL!$H:$H,SAL!$B:$B,$A159,SAL!$O:$O,"Incassata")+SUMIFS(SAL!$H:$H,SAL!$B:$B,$A159,SAL!$O:$O,"Scaduta"))</f>
        <v/>
      </c>
      <c r="AK159" s="34" t="str">
        <f>IF($A159="","",SUMIFS(SAL!$H:$H,SAL!$B:$B,$A159,SAL!$O:$O,"Incassata"))</f>
        <v/>
      </c>
      <c r="AL159" s="34" t="str">
        <f t="shared" si="73"/>
        <v/>
      </c>
      <c r="AM159" s="34" t="str">
        <f t="shared" si="74"/>
        <v/>
      </c>
      <c r="AN159" s="36" t="str">
        <f ca="1">IF($A159="","",IF($M159=0,"RISORSE NON ASSEGNATE",IF($AE159&lt;0.1,"MARGINE CRITICO",IF($S159&lt;-SCONTO_MAX,"SCONTO OLTRE SOGLIA",IF($Z159&gt;0,"ORE OLTRE LA STIMA",IF($AI159&gt;ALLERTA_ORE,"CONSUMO ORE ELEVATO",IF(COUNTIFS(SAL!$B:$B,$A159,SAL!$K:$K,"EMETTIBILE")&gt;0,"SAL DA EMETTERE",IF(COUNTIFS(FASI!$B:$B,$A159,FASI!$H:$H,"&lt;"&amp;TODAY(),FASI!$L:$L,"&lt;1")&gt;0,"FASI IN RITARDO","OK"))))))))</f>
        <v/>
      </c>
    </row>
    <row r="160" spans="1:40" x14ac:dyDescent="0.3">
      <c r="A160" s="42"/>
      <c r="B160" s="42"/>
      <c r="C160" s="42"/>
      <c r="D160" s="42"/>
      <c r="E160" s="42"/>
      <c r="F160" s="42"/>
      <c r="G160" s="43"/>
      <c r="H160" s="43"/>
      <c r="I160" s="42"/>
      <c r="J160" s="44"/>
      <c r="K160" s="46"/>
      <c r="L160" s="34" t="str">
        <f t="shared" si="60"/>
        <v/>
      </c>
      <c r="M160" s="33" t="str">
        <f>IF($A160="","",SUMIFS(ASSEGNAZIONI!$F:$F,ASSEGNAZIONI!$B:$B,$A160))</f>
        <v/>
      </c>
      <c r="N160" s="34" t="str">
        <f>IF($A160="","",SUMIFS(ASSEGNAZIONI!$I:$I,ASSEGNAZIONI!$B:$B,$A160))</f>
        <v/>
      </c>
      <c r="O160" s="34" t="str">
        <f>IF($A160="","",SUMIFS(ASSEGNAZIONI!$J:$J,ASSEGNAZIONI!$B:$B,$A160))</f>
        <v/>
      </c>
      <c r="P160" s="34" t="str">
        <f t="shared" si="61"/>
        <v/>
      </c>
      <c r="Q160" s="44"/>
      <c r="R160" s="34" t="str">
        <f t="shared" si="62"/>
        <v/>
      </c>
      <c r="S160" s="35" t="str">
        <f t="shared" si="63"/>
        <v/>
      </c>
      <c r="T160" s="34" t="str">
        <f>IF($A160="","",SUMIFS(ODA!$R:$R,ODA!$B:$B,$A160))</f>
        <v/>
      </c>
      <c r="U160" s="34" t="str">
        <f>IF($A160="","",SUMIFS(ODA!$P:$P,ODA!$B:$B,$A160))</f>
        <v/>
      </c>
      <c r="V160" s="45" t="str">
        <f t="shared" si="64"/>
        <v/>
      </c>
      <c r="W160" s="33" t="str">
        <f>IF($A160="","",SUMIFS(ORE!$F:$F,ORE!$B:$B,$A160))</f>
        <v/>
      </c>
      <c r="X160" s="33" t="str">
        <f>IF($A160="","",SUMIFS(PREVISIONE_ORE!$G:$G,PREVISIONE_ORE!$D:$D,$A160,PREVISIONE_ORE!$K:$K,"Sì"))</f>
        <v/>
      </c>
      <c r="Y160" s="33" t="str">
        <f>IF($A160="","",IF(COUNTIFS(ASSEGNAZIONI!$B:$B,$A160)&gt;0,SUMIFS(ASSEGNAZIONI!$N:$N,ASSEGNAZIONI!$B:$B,$A160),MAX($W160,0)))</f>
        <v/>
      </c>
      <c r="Z160" s="33" t="str">
        <f t="shared" si="65"/>
        <v/>
      </c>
      <c r="AA160" s="34" t="str">
        <f>IF($A160="","",IF(COUNTIFS(ASSEGNAZIONI!$B:$B,$A160)&gt;0,SUMIFS(ASSEGNAZIONI!$P:$P,ASSEGNAZIONI!$B:$B,$A160),0))</f>
        <v/>
      </c>
      <c r="AB160" s="34" t="str">
        <f t="shared" si="66"/>
        <v/>
      </c>
      <c r="AC160" s="34" t="str">
        <f t="shared" si="67"/>
        <v/>
      </c>
      <c r="AD160" s="34" t="str">
        <f t="shared" si="68"/>
        <v/>
      </c>
      <c r="AE160" s="35" t="str">
        <f t="shared" si="69"/>
        <v/>
      </c>
      <c r="AF160" s="34" t="str">
        <f t="shared" si="70"/>
        <v/>
      </c>
      <c r="AG160" s="34" t="str">
        <f t="shared" si="71"/>
        <v/>
      </c>
      <c r="AH160" s="35" t="str">
        <f>IF($A160="","",IFERROR(AVERAGEIFS(FASI!$L:$L,FASI!$B:$B,$A160),0))</f>
        <v/>
      </c>
      <c r="AI160" s="35" t="str">
        <f t="shared" si="72"/>
        <v/>
      </c>
      <c r="AJ160" s="34" t="str">
        <f>IF($A160="","",SUMIFS(SAL!$H:$H,SAL!$B:$B,$A160,SAL!$O:$O,"Emessa")+SUMIFS(SAL!$H:$H,SAL!$B:$B,$A160,SAL!$O:$O,"Incassata")+SUMIFS(SAL!$H:$H,SAL!$B:$B,$A160,SAL!$O:$O,"Scaduta"))</f>
        <v/>
      </c>
      <c r="AK160" s="34" t="str">
        <f>IF($A160="","",SUMIFS(SAL!$H:$H,SAL!$B:$B,$A160,SAL!$O:$O,"Incassata"))</f>
        <v/>
      </c>
      <c r="AL160" s="34" t="str">
        <f t="shared" si="73"/>
        <v/>
      </c>
      <c r="AM160" s="34" t="str">
        <f t="shared" si="74"/>
        <v/>
      </c>
      <c r="AN160" s="36" t="str">
        <f ca="1">IF($A160="","",IF($M160=0,"RISORSE NON ASSEGNATE",IF($AE160&lt;0.1,"MARGINE CRITICO",IF($S160&lt;-SCONTO_MAX,"SCONTO OLTRE SOGLIA",IF($Z160&gt;0,"ORE OLTRE LA STIMA",IF($AI160&gt;ALLERTA_ORE,"CONSUMO ORE ELEVATO",IF(COUNTIFS(SAL!$B:$B,$A160,SAL!$K:$K,"EMETTIBILE")&gt;0,"SAL DA EMETTERE",IF(COUNTIFS(FASI!$B:$B,$A160,FASI!$H:$H,"&lt;"&amp;TODAY(),FASI!$L:$L,"&lt;1")&gt;0,"FASI IN RITARDO","OK"))))))))</f>
        <v/>
      </c>
    </row>
    <row r="161" spans="1:40" x14ac:dyDescent="0.3">
      <c r="A161" s="42"/>
      <c r="B161" s="42"/>
      <c r="C161" s="42"/>
      <c r="D161" s="42"/>
      <c r="E161" s="42"/>
      <c r="F161" s="42"/>
      <c r="G161" s="43"/>
      <c r="H161" s="43"/>
      <c r="I161" s="42"/>
      <c r="J161" s="44"/>
      <c r="K161" s="46"/>
      <c r="L161" s="34" t="str">
        <f t="shared" si="60"/>
        <v/>
      </c>
      <c r="M161" s="33" t="str">
        <f>IF($A161="","",SUMIFS(ASSEGNAZIONI!$F:$F,ASSEGNAZIONI!$B:$B,$A161))</f>
        <v/>
      </c>
      <c r="N161" s="34" t="str">
        <f>IF($A161="","",SUMIFS(ASSEGNAZIONI!$I:$I,ASSEGNAZIONI!$B:$B,$A161))</f>
        <v/>
      </c>
      <c r="O161" s="34" t="str">
        <f>IF($A161="","",SUMIFS(ASSEGNAZIONI!$J:$J,ASSEGNAZIONI!$B:$B,$A161))</f>
        <v/>
      </c>
      <c r="P161" s="34" t="str">
        <f t="shared" si="61"/>
        <v/>
      </c>
      <c r="Q161" s="44"/>
      <c r="R161" s="34" t="str">
        <f t="shared" si="62"/>
        <v/>
      </c>
      <c r="S161" s="35" t="str">
        <f t="shared" si="63"/>
        <v/>
      </c>
      <c r="T161" s="34" t="str">
        <f>IF($A161="","",SUMIFS(ODA!$R:$R,ODA!$B:$B,$A161))</f>
        <v/>
      </c>
      <c r="U161" s="34" t="str">
        <f>IF($A161="","",SUMIFS(ODA!$P:$P,ODA!$B:$B,$A161))</f>
        <v/>
      </c>
      <c r="V161" s="45" t="str">
        <f t="shared" si="64"/>
        <v/>
      </c>
      <c r="W161" s="33" t="str">
        <f>IF($A161="","",SUMIFS(ORE!$F:$F,ORE!$B:$B,$A161))</f>
        <v/>
      </c>
      <c r="X161" s="33" t="str">
        <f>IF($A161="","",SUMIFS(PREVISIONE_ORE!$G:$G,PREVISIONE_ORE!$D:$D,$A161,PREVISIONE_ORE!$K:$K,"Sì"))</f>
        <v/>
      </c>
      <c r="Y161" s="33" t="str">
        <f>IF($A161="","",IF(COUNTIFS(ASSEGNAZIONI!$B:$B,$A161)&gt;0,SUMIFS(ASSEGNAZIONI!$N:$N,ASSEGNAZIONI!$B:$B,$A161),MAX($W161,0)))</f>
        <v/>
      </c>
      <c r="Z161" s="33" t="str">
        <f t="shared" si="65"/>
        <v/>
      </c>
      <c r="AA161" s="34" t="str">
        <f>IF($A161="","",IF(COUNTIFS(ASSEGNAZIONI!$B:$B,$A161)&gt;0,SUMIFS(ASSEGNAZIONI!$P:$P,ASSEGNAZIONI!$B:$B,$A161),0))</f>
        <v/>
      </c>
      <c r="AB161" s="34" t="str">
        <f t="shared" si="66"/>
        <v/>
      </c>
      <c r="AC161" s="34" t="str">
        <f t="shared" si="67"/>
        <v/>
      </c>
      <c r="AD161" s="34" t="str">
        <f t="shared" si="68"/>
        <v/>
      </c>
      <c r="AE161" s="35" t="str">
        <f t="shared" si="69"/>
        <v/>
      </c>
      <c r="AF161" s="34" t="str">
        <f t="shared" si="70"/>
        <v/>
      </c>
      <c r="AG161" s="34" t="str">
        <f t="shared" si="71"/>
        <v/>
      </c>
      <c r="AH161" s="35" t="str">
        <f>IF($A161="","",IFERROR(AVERAGEIFS(FASI!$L:$L,FASI!$B:$B,$A161),0))</f>
        <v/>
      </c>
      <c r="AI161" s="35" t="str">
        <f t="shared" si="72"/>
        <v/>
      </c>
      <c r="AJ161" s="34" t="str">
        <f>IF($A161="","",SUMIFS(SAL!$H:$H,SAL!$B:$B,$A161,SAL!$O:$O,"Emessa")+SUMIFS(SAL!$H:$H,SAL!$B:$B,$A161,SAL!$O:$O,"Incassata")+SUMIFS(SAL!$H:$H,SAL!$B:$B,$A161,SAL!$O:$O,"Scaduta"))</f>
        <v/>
      </c>
      <c r="AK161" s="34" t="str">
        <f>IF($A161="","",SUMIFS(SAL!$H:$H,SAL!$B:$B,$A161,SAL!$O:$O,"Incassata"))</f>
        <v/>
      </c>
      <c r="AL161" s="34" t="str">
        <f t="shared" si="73"/>
        <v/>
      </c>
      <c r="AM161" s="34" t="str">
        <f t="shared" si="74"/>
        <v/>
      </c>
      <c r="AN161" s="36" t="str">
        <f ca="1">IF($A161="","",IF($M161=0,"RISORSE NON ASSEGNATE",IF($AE161&lt;0.1,"MARGINE CRITICO",IF($S161&lt;-SCONTO_MAX,"SCONTO OLTRE SOGLIA",IF($Z161&gt;0,"ORE OLTRE LA STIMA",IF($AI161&gt;ALLERTA_ORE,"CONSUMO ORE ELEVATO",IF(COUNTIFS(SAL!$B:$B,$A161,SAL!$K:$K,"EMETTIBILE")&gt;0,"SAL DA EMETTERE",IF(COUNTIFS(FASI!$B:$B,$A161,FASI!$H:$H,"&lt;"&amp;TODAY(),FASI!$L:$L,"&lt;1")&gt;0,"FASI IN RITARDO","OK"))))))))</f>
        <v/>
      </c>
    </row>
    <row r="162" spans="1:40" x14ac:dyDescent="0.3">
      <c r="A162" s="42"/>
      <c r="B162" s="42"/>
      <c r="C162" s="42"/>
      <c r="D162" s="42"/>
      <c r="E162" s="42"/>
      <c r="F162" s="42"/>
      <c r="G162" s="43"/>
      <c r="H162" s="43"/>
      <c r="I162" s="42"/>
      <c r="J162" s="44"/>
      <c r="K162" s="46"/>
      <c r="L162" s="34" t="str">
        <f t="shared" ref="L162:L193" si="75">IF($A162="","",$J162*IF($K162="",MARKUP_DEF,$K162))</f>
        <v/>
      </c>
      <c r="M162" s="33" t="str">
        <f>IF($A162="","",SUMIFS(ASSEGNAZIONI!$F:$F,ASSEGNAZIONI!$B:$B,$A162))</f>
        <v/>
      </c>
      <c r="N162" s="34" t="str">
        <f>IF($A162="","",SUMIFS(ASSEGNAZIONI!$I:$I,ASSEGNAZIONI!$B:$B,$A162))</f>
        <v/>
      </c>
      <c r="O162" s="34" t="str">
        <f>IF($A162="","",SUMIFS(ASSEGNAZIONI!$J:$J,ASSEGNAZIONI!$B:$B,$A162))</f>
        <v/>
      </c>
      <c r="P162" s="34" t="str">
        <f t="shared" ref="P162:P193" si="76">IF($A162="","",$L162+$N162)</f>
        <v/>
      </c>
      <c r="Q162" s="44"/>
      <c r="R162" s="34" t="str">
        <f t="shared" ref="R162:R193" si="77">IF($A162="","",IF($Q162="",0,$Q162-$P162))</f>
        <v/>
      </c>
      <c r="S162" s="35" t="str">
        <f t="shared" ref="S162:S193" si="78">IF($A162="","",IFERROR($R162/$P162,0))</f>
        <v/>
      </c>
      <c r="T162" s="34" t="str">
        <f>IF($A162="","",SUMIFS(ODA!$R:$R,ODA!$B:$B,$A162))</f>
        <v/>
      </c>
      <c r="U162" s="34" t="str">
        <f>IF($A162="","",SUMIFS(ODA!$P:$P,ODA!$B:$B,$A162))</f>
        <v/>
      </c>
      <c r="V162" s="45" t="str">
        <f t="shared" ref="V162:V193" si="79">IF($A162="","",IFERROR($L162/$T162,0))</f>
        <v/>
      </c>
      <c r="W162" s="33" t="str">
        <f>IF($A162="","",SUMIFS(ORE!$F:$F,ORE!$B:$B,$A162))</f>
        <v/>
      </c>
      <c r="X162" s="33" t="str">
        <f>IF($A162="","",SUMIFS(PREVISIONE_ORE!$G:$G,PREVISIONE_ORE!$D:$D,$A162,PREVISIONE_ORE!$K:$K,"Sì"))</f>
        <v/>
      </c>
      <c r="Y162" s="33" t="str">
        <f>IF($A162="","",IF(COUNTIFS(ASSEGNAZIONI!$B:$B,$A162)&gt;0,SUMIFS(ASSEGNAZIONI!$N:$N,ASSEGNAZIONI!$B:$B,$A162),MAX($W162,0)))</f>
        <v/>
      </c>
      <c r="Z162" s="33" t="str">
        <f t="shared" ref="Z162:Z193" si="80">IF($A162="","",$Y162-$M162)</f>
        <v/>
      </c>
      <c r="AA162" s="34" t="str">
        <f>IF($A162="","",IF(COUNTIFS(ASSEGNAZIONI!$B:$B,$A162)&gt;0,SUMIFS(ASSEGNAZIONI!$P:$P,ASSEGNAZIONI!$B:$B,$A162),0))</f>
        <v/>
      </c>
      <c r="AB162" s="34" t="str">
        <f t="shared" ref="AB162:AB193" si="81">IF($A162="","",MAX($T162,$J162))</f>
        <v/>
      </c>
      <c r="AC162" s="34" t="str">
        <f t="shared" ref="AC162:AC193" si="82">IF($A162="","",$AA162+$AB162)</f>
        <v/>
      </c>
      <c r="AD162" s="34" t="str">
        <f t="shared" ref="AD162:AD193" si="83">IF($A162="","",IF($Q162="",0,$Q162-$AC162))</f>
        <v/>
      </c>
      <c r="AE162" s="35" t="str">
        <f t="shared" ref="AE162:AE193" si="84">IF($A162="","",IFERROR($AD162/$Q162,0))</f>
        <v/>
      </c>
      <c r="AF162" s="34" t="str">
        <f t="shared" ref="AF162:AF193" si="85">IF($A162="","",$N162-$AA162)</f>
        <v/>
      </c>
      <c r="AG162" s="34" t="str">
        <f t="shared" ref="AG162:AG193" si="86">IF($A162="","",$L162-$AB162)</f>
        <v/>
      </c>
      <c r="AH162" s="35" t="str">
        <f>IF($A162="","",IFERROR(AVERAGEIFS(FASI!$L:$L,FASI!$B:$B,$A162),0))</f>
        <v/>
      </c>
      <c r="AI162" s="35" t="str">
        <f t="shared" ref="AI162:AI193" si="87">IF($A162="","",IFERROR($W162/$M162,0))</f>
        <v/>
      </c>
      <c r="AJ162" s="34" t="str">
        <f>IF($A162="","",SUMIFS(SAL!$H:$H,SAL!$B:$B,$A162,SAL!$O:$O,"Emessa")+SUMIFS(SAL!$H:$H,SAL!$B:$B,$A162,SAL!$O:$O,"Incassata")+SUMIFS(SAL!$H:$H,SAL!$B:$B,$A162,SAL!$O:$O,"Scaduta"))</f>
        <v/>
      </c>
      <c r="AK162" s="34" t="str">
        <f>IF($A162="","",SUMIFS(SAL!$H:$H,SAL!$B:$B,$A162,SAL!$O:$O,"Incassata"))</f>
        <v/>
      </c>
      <c r="AL162" s="34" t="str">
        <f t="shared" ref="AL162:AL193" si="88">IF($A162="","",IF($Q162="",0,$Q162-$AJ162))</f>
        <v/>
      </c>
      <c r="AM162" s="34" t="str">
        <f t="shared" ref="AM162:AM193" si="89">IF($A162="","",$U162-$AK162)</f>
        <v/>
      </c>
      <c r="AN162" s="36" t="str">
        <f ca="1">IF($A162="","",IF($M162=0,"RISORSE NON ASSEGNATE",IF($AE162&lt;0.1,"MARGINE CRITICO",IF($S162&lt;-SCONTO_MAX,"SCONTO OLTRE SOGLIA",IF($Z162&gt;0,"ORE OLTRE LA STIMA",IF($AI162&gt;ALLERTA_ORE,"CONSUMO ORE ELEVATO",IF(COUNTIFS(SAL!$B:$B,$A162,SAL!$K:$K,"EMETTIBILE")&gt;0,"SAL DA EMETTERE",IF(COUNTIFS(FASI!$B:$B,$A162,FASI!$H:$H,"&lt;"&amp;TODAY(),FASI!$L:$L,"&lt;1")&gt;0,"FASI IN RITARDO","OK"))))))))</f>
        <v/>
      </c>
    </row>
    <row r="163" spans="1:40" x14ac:dyDescent="0.3">
      <c r="A163" s="42"/>
      <c r="B163" s="42"/>
      <c r="C163" s="42"/>
      <c r="D163" s="42"/>
      <c r="E163" s="42"/>
      <c r="F163" s="42"/>
      <c r="G163" s="43"/>
      <c r="H163" s="43"/>
      <c r="I163" s="42"/>
      <c r="J163" s="44"/>
      <c r="K163" s="46"/>
      <c r="L163" s="34" t="str">
        <f t="shared" si="75"/>
        <v/>
      </c>
      <c r="M163" s="33" t="str">
        <f>IF($A163="","",SUMIFS(ASSEGNAZIONI!$F:$F,ASSEGNAZIONI!$B:$B,$A163))</f>
        <v/>
      </c>
      <c r="N163" s="34" t="str">
        <f>IF($A163="","",SUMIFS(ASSEGNAZIONI!$I:$I,ASSEGNAZIONI!$B:$B,$A163))</f>
        <v/>
      </c>
      <c r="O163" s="34" t="str">
        <f>IF($A163="","",SUMIFS(ASSEGNAZIONI!$J:$J,ASSEGNAZIONI!$B:$B,$A163))</f>
        <v/>
      </c>
      <c r="P163" s="34" t="str">
        <f t="shared" si="76"/>
        <v/>
      </c>
      <c r="Q163" s="44"/>
      <c r="R163" s="34" t="str">
        <f t="shared" si="77"/>
        <v/>
      </c>
      <c r="S163" s="35" t="str">
        <f t="shared" si="78"/>
        <v/>
      </c>
      <c r="T163" s="34" t="str">
        <f>IF($A163="","",SUMIFS(ODA!$R:$R,ODA!$B:$B,$A163))</f>
        <v/>
      </c>
      <c r="U163" s="34" t="str">
        <f>IF($A163="","",SUMIFS(ODA!$P:$P,ODA!$B:$B,$A163))</f>
        <v/>
      </c>
      <c r="V163" s="45" t="str">
        <f t="shared" si="79"/>
        <v/>
      </c>
      <c r="W163" s="33" t="str">
        <f>IF($A163="","",SUMIFS(ORE!$F:$F,ORE!$B:$B,$A163))</f>
        <v/>
      </c>
      <c r="X163" s="33" t="str">
        <f>IF($A163="","",SUMIFS(PREVISIONE_ORE!$G:$G,PREVISIONE_ORE!$D:$D,$A163,PREVISIONE_ORE!$K:$K,"Sì"))</f>
        <v/>
      </c>
      <c r="Y163" s="33" t="str">
        <f>IF($A163="","",IF(COUNTIFS(ASSEGNAZIONI!$B:$B,$A163)&gt;0,SUMIFS(ASSEGNAZIONI!$N:$N,ASSEGNAZIONI!$B:$B,$A163),MAX($W163,0)))</f>
        <v/>
      </c>
      <c r="Z163" s="33" t="str">
        <f t="shared" si="80"/>
        <v/>
      </c>
      <c r="AA163" s="34" t="str">
        <f>IF($A163="","",IF(COUNTIFS(ASSEGNAZIONI!$B:$B,$A163)&gt;0,SUMIFS(ASSEGNAZIONI!$P:$P,ASSEGNAZIONI!$B:$B,$A163),0))</f>
        <v/>
      </c>
      <c r="AB163" s="34" t="str">
        <f t="shared" si="81"/>
        <v/>
      </c>
      <c r="AC163" s="34" t="str">
        <f t="shared" si="82"/>
        <v/>
      </c>
      <c r="AD163" s="34" t="str">
        <f t="shared" si="83"/>
        <v/>
      </c>
      <c r="AE163" s="35" t="str">
        <f t="shared" si="84"/>
        <v/>
      </c>
      <c r="AF163" s="34" t="str">
        <f t="shared" si="85"/>
        <v/>
      </c>
      <c r="AG163" s="34" t="str">
        <f t="shared" si="86"/>
        <v/>
      </c>
      <c r="AH163" s="35" t="str">
        <f>IF($A163="","",IFERROR(AVERAGEIFS(FASI!$L:$L,FASI!$B:$B,$A163),0))</f>
        <v/>
      </c>
      <c r="AI163" s="35" t="str">
        <f t="shared" si="87"/>
        <v/>
      </c>
      <c r="AJ163" s="34" t="str">
        <f>IF($A163="","",SUMIFS(SAL!$H:$H,SAL!$B:$B,$A163,SAL!$O:$O,"Emessa")+SUMIFS(SAL!$H:$H,SAL!$B:$B,$A163,SAL!$O:$O,"Incassata")+SUMIFS(SAL!$H:$H,SAL!$B:$B,$A163,SAL!$O:$O,"Scaduta"))</f>
        <v/>
      </c>
      <c r="AK163" s="34" t="str">
        <f>IF($A163="","",SUMIFS(SAL!$H:$H,SAL!$B:$B,$A163,SAL!$O:$O,"Incassata"))</f>
        <v/>
      </c>
      <c r="AL163" s="34" t="str">
        <f t="shared" si="88"/>
        <v/>
      </c>
      <c r="AM163" s="34" t="str">
        <f t="shared" si="89"/>
        <v/>
      </c>
      <c r="AN163" s="36" t="str">
        <f ca="1">IF($A163="","",IF($M163=0,"RISORSE NON ASSEGNATE",IF($AE163&lt;0.1,"MARGINE CRITICO",IF($S163&lt;-SCONTO_MAX,"SCONTO OLTRE SOGLIA",IF($Z163&gt;0,"ORE OLTRE LA STIMA",IF($AI163&gt;ALLERTA_ORE,"CONSUMO ORE ELEVATO",IF(COUNTIFS(SAL!$B:$B,$A163,SAL!$K:$K,"EMETTIBILE")&gt;0,"SAL DA EMETTERE",IF(COUNTIFS(FASI!$B:$B,$A163,FASI!$H:$H,"&lt;"&amp;TODAY(),FASI!$L:$L,"&lt;1")&gt;0,"FASI IN RITARDO","OK"))))))))</f>
        <v/>
      </c>
    </row>
    <row r="164" spans="1:40" x14ac:dyDescent="0.3">
      <c r="A164" s="42"/>
      <c r="B164" s="42"/>
      <c r="C164" s="42"/>
      <c r="D164" s="42"/>
      <c r="E164" s="42"/>
      <c r="F164" s="42"/>
      <c r="G164" s="43"/>
      <c r="H164" s="43"/>
      <c r="I164" s="42"/>
      <c r="J164" s="44"/>
      <c r="K164" s="46"/>
      <c r="L164" s="34" t="str">
        <f t="shared" si="75"/>
        <v/>
      </c>
      <c r="M164" s="33" t="str">
        <f>IF($A164="","",SUMIFS(ASSEGNAZIONI!$F:$F,ASSEGNAZIONI!$B:$B,$A164))</f>
        <v/>
      </c>
      <c r="N164" s="34" t="str">
        <f>IF($A164="","",SUMIFS(ASSEGNAZIONI!$I:$I,ASSEGNAZIONI!$B:$B,$A164))</f>
        <v/>
      </c>
      <c r="O164" s="34" t="str">
        <f>IF($A164="","",SUMIFS(ASSEGNAZIONI!$J:$J,ASSEGNAZIONI!$B:$B,$A164))</f>
        <v/>
      </c>
      <c r="P164" s="34" t="str">
        <f t="shared" si="76"/>
        <v/>
      </c>
      <c r="Q164" s="44"/>
      <c r="R164" s="34" t="str">
        <f t="shared" si="77"/>
        <v/>
      </c>
      <c r="S164" s="35" t="str">
        <f t="shared" si="78"/>
        <v/>
      </c>
      <c r="T164" s="34" t="str">
        <f>IF($A164="","",SUMIFS(ODA!$R:$R,ODA!$B:$B,$A164))</f>
        <v/>
      </c>
      <c r="U164" s="34" t="str">
        <f>IF($A164="","",SUMIFS(ODA!$P:$P,ODA!$B:$B,$A164))</f>
        <v/>
      </c>
      <c r="V164" s="45" t="str">
        <f t="shared" si="79"/>
        <v/>
      </c>
      <c r="W164" s="33" t="str">
        <f>IF($A164="","",SUMIFS(ORE!$F:$F,ORE!$B:$B,$A164))</f>
        <v/>
      </c>
      <c r="X164" s="33" t="str">
        <f>IF($A164="","",SUMIFS(PREVISIONE_ORE!$G:$G,PREVISIONE_ORE!$D:$D,$A164,PREVISIONE_ORE!$K:$K,"Sì"))</f>
        <v/>
      </c>
      <c r="Y164" s="33" t="str">
        <f>IF($A164="","",IF(COUNTIFS(ASSEGNAZIONI!$B:$B,$A164)&gt;0,SUMIFS(ASSEGNAZIONI!$N:$N,ASSEGNAZIONI!$B:$B,$A164),MAX($W164,0)))</f>
        <v/>
      </c>
      <c r="Z164" s="33" t="str">
        <f t="shared" si="80"/>
        <v/>
      </c>
      <c r="AA164" s="34" t="str">
        <f>IF($A164="","",IF(COUNTIFS(ASSEGNAZIONI!$B:$B,$A164)&gt;0,SUMIFS(ASSEGNAZIONI!$P:$P,ASSEGNAZIONI!$B:$B,$A164),0))</f>
        <v/>
      </c>
      <c r="AB164" s="34" t="str">
        <f t="shared" si="81"/>
        <v/>
      </c>
      <c r="AC164" s="34" t="str">
        <f t="shared" si="82"/>
        <v/>
      </c>
      <c r="AD164" s="34" t="str">
        <f t="shared" si="83"/>
        <v/>
      </c>
      <c r="AE164" s="35" t="str">
        <f t="shared" si="84"/>
        <v/>
      </c>
      <c r="AF164" s="34" t="str">
        <f t="shared" si="85"/>
        <v/>
      </c>
      <c r="AG164" s="34" t="str">
        <f t="shared" si="86"/>
        <v/>
      </c>
      <c r="AH164" s="35" t="str">
        <f>IF($A164="","",IFERROR(AVERAGEIFS(FASI!$L:$L,FASI!$B:$B,$A164),0))</f>
        <v/>
      </c>
      <c r="AI164" s="35" t="str">
        <f t="shared" si="87"/>
        <v/>
      </c>
      <c r="AJ164" s="34" t="str">
        <f>IF($A164="","",SUMIFS(SAL!$H:$H,SAL!$B:$B,$A164,SAL!$O:$O,"Emessa")+SUMIFS(SAL!$H:$H,SAL!$B:$B,$A164,SAL!$O:$O,"Incassata")+SUMIFS(SAL!$H:$H,SAL!$B:$B,$A164,SAL!$O:$O,"Scaduta"))</f>
        <v/>
      </c>
      <c r="AK164" s="34" t="str">
        <f>IF($A164="","",SUMIFS(SAL!$H:$H,SAL!$B:$B,$A164,SAL!$O:$O,"Incassata"))</f>
        <v/>
      </c>
      <c r="AL164" s="34" t="str">
        <f t="shared" si="88"/>
        <v/>
      </c>
      <c r="AM164" s="34" t="str">
        <f t="shared" si="89"/>
        <v/>
      </c>
      <c r="AN164" s="36" t="str">
        <f ca="1">IF($A164="","",IF($M164=0,"RISORSE NON ASSEGNATE",IF($AE164&lt;0.1,"MARGINE CRITICO",IF($S164&lt;-SCONTO_MAX,"SCONTO OLTRE SOGLIA",IF($Z164&gt;0,"ORE OLTRE LA STIMA",IF($AI164&gt;ALLERTA_ORE,"CONSUMO ORE ELEVATO",IF(COUNTIFS(SAL!$B:$B,$A164,SAL!$K:$K,"EMETTIBILE")&gt;0,"SAL DA EMETTERE",IF(COUNTIFS(FASI!$B:$B,$A164,FASI!$H:$H,"&lt;"&amp;TODAY(),FASI!$L:$L,"&lt;1")&gt;0,"FASI IN RITARDO","OK"))))))))</f>
        <v/>
      </c>
    </row>
    <row r="165" spans="1:40" x14ac:dyDescent="0.3">
      <c r="A165" s="42"/>
      <c r="B165" s="42"/>
      <c r="C165" s="42"/>
      <c r="D165" s="42"/>
      <c r="E165" s="42"/>
      <c r="F165" s="42"/>
      <c r="G165" s="43"/>
      <c r="H165" s="43"/>
      <c r="I165" s="42"/>
      <c r="J165" s="44"/>
      <c r="K165" s="46"/>
      <c r="L165" s="34" t="str">
        <f t="shared" si="75"/>
        <v/>
      </c>
      <c r="M165" s="33" t="str">
        <f>IF($A165="","",SUMIFS(ASSEGNAZIONI!$F:$F,ASSEGNAZIONI!$B:$B,$A165))</f>
        <v/>
      </c>
      <c r="N165" s="34" t="str">
        <f>IF($A165="","",SUMIFS(ASSEGNAZIONI!$I:$I,ASSEGNAZIONI!$B:$B,$A165))</f>
        <v/>
      </c>
      <c r="O165" s="34" t="str">
        <f>IF($A165="","",SUMIFS(ASSEGNAZIONI!$J:$J,ASSEGNAZIONI!$B:$B,$A165))</f>
        <v/>
      </c>
      <c r="P165" s="34" t="str">
        <f t="shared" si="76"/>
        <v/>
      </c>
      <c r="Q165" s="44"/>
      <c r="R165" s="34" t="str">
        <f t="shared" si="77"/>
        <v/>
      </c>
      <c r="S165" s="35" t="str">
        <f t="shared" si="78"/>
        <v/>
      </c>
      <c r="T165" s="34" t="str">
        <f>IF($A165="","",SUMIFS(ODA!$R:$R,ODA!$B:$B,$A165))</f>
        <v/>
      </c>
      <c r="U165" s="34" t="str">
        <f>IF($A165="","",SUMIFS(ODA!$P:$P,ODA!$B:$B,$A165))</f>
        <v/>
      </c>
      <c r="V165" s="45" t="str">
        <f t="shared" si="79"/>
        <v/>
      </c>
      <c r="W165" s="33" t="str">
        <f>IF($A165="","",SUMIFS(ORE!$F:$F,ORE!$B:$B,$A165))</f>
        <v/>
      </c>
      <c r="X165" s="33" t="str">
        <f>IF($A165="","",SUMIFS(PREVISIONE_ORE!$G:$G,PREVISIONE_ORE!$D:$D,$A165,PREVISIONE_ORE!$K:$K,"Sì"))</f>
        <v/>
      </c>
      <c r="Y165" s="33" t="str">
        <f>IF($A165="","",IF(COUNTIFS(ASSEGNAZIONI!$B:$B,$A165)&gt;0,SUMIFS(ASSEGNAZIONI!$N:$N,ASSEGNAZIONI!$B:$B,$A165),MAX($W165,0)))</f>
        <v/>
      </c>
      <c r="Z165" s="33" t="str">
        <f t="shared" si="80"/>
        <v/>
      </c>
      <c r="AA165" s="34" t="str">
        <f>IF($A165="","",IF(COUNTIFS(ASSEGNAZIONI!$B:$B,$A165)&gt;0,SUMIFS(ASSEGNAZIONI!$P:$P,ASSEGNAZIONI!$B:$B,$A165),0))</f>
        <v/>
      </c>
      <c r="AB165" s="34" t="str">
        <f t="shared" si="81"/>
        <v/>
      </c>
      <c r="AC165" s="34" t="str">
        <f t="shared" si="82"/>
        <v/>
      </c>
      <c r="AD165" s="34" t="str">
        <f t="shared" si="83"/>
        <v/>
      </c>
      <c r="AE165" s="35" t="str">
        <f t="shared" si="84"/>
        <v/>
      </c>
      <c r="AF165" s="34" t="str">
        <f t="shared" si="85"/>
        <v/>
      </c>
      <c r="AG165" s="34" t="str">
        <f t="shared" si="86"/>
        <v/>
      </c>
      <c r="AH165" s="35" t="str">
        <f>IF($A165="","",IFERROR(AVERAGEIFS(FASI!$L:$L,FASI!$B:$B,$A165),0))</f>
        <v/>
      </c>
      <c r="AI165" s="35" t="str">
        <f t="shared" si="87"/>
        <v/>
      </c>
      <c r="AJ165" s="34" t="str">
        <f>IF($A165="","",SUMIFS(SAL!$H:$H,SAL!$B:$B,$A165,SAL!$O:$O,"Emessa")+SUMIFS(SAL!$H:$H,SAL!$B:$B,$A165,SAL!$O:$O,"Incassata")+SUMIFS(SAL!$H:$H,SAL!$B:$B,$A165,SAL!$O:$O,"Scaduta"))</f>
        <v/>
      </c>
      <c r="AK165" s="34" t="str">
        <f>IF($A165="","",SUMIFS(SAL!$H:$H,SAL!$B:$B,$A165,SAL!$O:$O,"Incassata"))</f>
        <v/>
      </c>
      <c r="AL165" s="34" t="str">
        <f t="shared" si="88"/>
        <v/>
      </c>
      <c r="AM165" s="34" t="str">
        <f t="shared" si="89"/>
        <v/>
      </c>
      <c r="AN165" s="36" t="str">
        <f ca="1">IF($A165="","",IF($M165=0,"RISORSE NON ASSEGNATE",IF($AE165&lt;0.1,"MARGINE CRITICO",IF($S165&lt;-SCONTO_MAX,"SCONTO OLTRE SOGLIA",IF($Z165&gt;0,"ORE OLTRE LA STIMA",IF($AI165&gt;ALLERTA_ORE,"CONSUMO ORE ELEVATO",IF(COUNTIFS(SAL!$B:$B,$A165,SAL!$K:$K,"EMETTIBILE")&gt;0,"SAL DA EMETTERE",IF(COUNTIFS(FASI!$B:$B,$A165,FASI!$H:$H,"&lt;"&amp;TODAY(),FASI!$L:$L,"&lt;1")&gt;0,"FASI IN RITARDO","OK"))))))))</f>
        <v/>
      </c>
    </row>
    <row r="166" spans="1:40" x14ac:dyDescent="0.3">
      <c r="A166" s="42"/>
      <c r="B166" s="42"/>
      <c r="C166" s="42"/>
      <c r="D166" s="42"/>
      <c r="E166" s="42"/>
      <c r="F166" s="42"/>
      <c r="G166" s="43"/>
      <c r="H166" s="43"/>
      <c r="I166" s="42"/>
      <c r="J166" s="44"/>
      <c r="K166" s="46"/>
      <c r="L166" s="34" t="str">
        <f t="shared" si="75"/>
        <v/>
      </c>
      <c r="M166" s="33" t="str">
        <f>IF($A166="","",SUMIFS(ASSEGNAZIONI!$F:$F,ASSEGNAZIONI!$B:$B,$A166))</f>
        <v/>
      </c>
      <c r="N166" s="34" t="str">
        <f>IF($A166="","",SUMIFS(ASSEGNAZIONI!$I:$I,ASSEGNAZIONI!$B:$B,$A166))</f>
        <v/>
      </c>
      <c r="O166" s="34" t="str">
        <f>IF($A166="","",SUMIFS(ASSEGNAZIONI!$J:$J,ASSEGNAZIONI!$B:$B,$A166))</f>
        <v/>
      </c>
      <c r="P166" s="34" t="str">
        <f t="shared" si="76"/>
        <v/>
      </c>
      <c r="Q166" s="44"/>
      <c r="R166" s="34" t="str">
        <f t="shared" si="77"/>
        <v/>
      </c>
      <c r="S166" s="35" t="str">
        <f t="shared" si="78"/>
        <v/>
      </c>
      <c r="T166" s="34" t="str">
        <f>IF($A166="","",SUMIFS(ODA!$R:$R,ODA!$B:$B,$A166))</f>
        <v/>
      </c>
      <c r="U166" s="34" t="str">
        <f>IF($A166="","",SUMIFS(ODA!$P:$P,ODA!$B:$B,$A166))</f>
        <v/>
      </c>
      <c r="V166" s="45" t="str">
        <f t="shared" si="79"/>
        <v/>
      </c>
      <c r="W166" s="33" t="str">
        <f>IF($A166="","",SUMIFS(ORE!$F:$F,ORE!$B:$B,$A166))</f>
        <v/>
      </c>
      <c r="X166" s="33" t="str">
        <f>IF($A166="","",SUMIFS(PREVISIONE_ORE!$G:$G,PREVISIONE_ORE!$D:$D,$A166,PREVISIONE_ORE!$K:$K,"Sì"))</f>
        <v/>
      </c>
      <c r="Y166" s="33" t="str">
        <f>IF($A166="","",IF(COUNTIFS(ASSEGNAZIONI!$B:$B,$A166)&gt;0,SUMIFS(ASSEGNAZIONI!$N:$N,ASSEGNAZIONI!$B:$B,$A166),MAX($W166,0)))</f>
        <v/>
      </c>
      <c r="Z166" s="33" t="str">
        <f t="shared" si="80"/>
        <v/>
      </c>
      <c r="AA166" s="34" t="str">
        <f>IF($A166="","",IF(COUNTIFS(ASSEGNAZIONI!$B:$B,$A166)&gt;0,SUMIFS(ASSEGNAZIONI!$P:$P,ASSEGNAZIONI!$B:$B,$A166),0))</f>
        <v/>
      </c>
      <c r="AB166" s="34" t="str">
        <f t="shared" si="81"/>
        <v/>
      </c>
      <c r="AC166" s="34" t="str">
        <f t="shared" si="82"/>
        <v/>
      </c>
      <c r="AD166" s="34" t="str">
        <f t="shared" si="83"/>
        <v/>
      </c>
      <c r="AE166" s="35" t="str">
        <f t="shared" si="84"/>
        <v/>
      </c>
      <c r="AF166" s="34" t="str">
        <f t="shared" si="85"/>
        <v/>
      </c>
      <c r="AG166" s="34" t="str">
        <f t="shared" si="86"/>
        <v/>
      </c>
      <c r="AH166" s="35" t="str">
        <f>IF($A166="","",IFERROR(AVERAGEIFS(FASI!$L:$L,FASI!$B:$B,$A166),0))</f>
        <v/>
      </c>
      <c r="AI166" s="35" t="str">
        <f t="shared" si="87"/>
        <v/>
      </c>
      <c r="AJ166" s="34" t="str">
        <f>IF($A166="","",SUMIFS(SAL!$H:$H,SAL!$B:$B,$A166,SAL!$O:$O,"Emessa")+SUMIFS(SAL!$H:$H,SAL!$B:$B,$A166,SAL!$O:$O,"Incassata")+SUMIFS(SAL!$H:$H,SAL!$B:$B,$A166,SAL!$O:$O,"Scaduta"))</f>
        <v/>
      </c>
      <c r="AK166" s="34" t="str">
        <f>IF($A166="","",SUMIFS(SAL!$H:$H,SAL!$B:$B,$A166,SAL!$O:$O,"Incassata"))</f>
        <v/>
      </c>
      <c r="AL166" s="34" t="str">
        <f t="shared" si="88"/>
        <v/>
      </c>
      <c r="AM166" s="34" t="str">
        <f t="shared" si="89"/>
        <v/>
      </c>
      <c r="AN166" s="36" t="str">
        <f ca="1">IF($A166="","",IF($M166=0,"RISORSE NON ASSEGNATE",IF($AE166&lt;0.1,"MARGINE CRITICO",IF($S166&lt;-SCONTO_MAX,"SCONTO OLTRE SOGLIA",IF($Z166&gt;0,"ORE OLTRE LA STIMA",IF($AI166&gt;ALLERTA_ORE,"CONSUMO ORE ELEVATO",IF(COUNTIFS(SAL!$B:$B,$A166,SAL!$K:$K,"EMETTIBILE")&gt;0,"SAL DA EMETTERE",IF(COUNTIFS(FASI!$B:$B,$A166,FASI!$H:$H,"&lt;"&amp;TODAY(),FASI!$L:$L,"&lt;1")&gt;0,"FASI IN RITARDO","OK"))))))))</f>
        <v/>
      </c>
    </row>
    <row r="167" spans="1:40" x14ac:dyDescent="0.3">
      <c r="A167" s="42"/>
      <c r="B167" s="42"/>
      <c r="C167" s="42"/>
      <c r="D167" s="42"/>
      <c r="E167" s="42"/>
      <c r="F167" s="42"/>
      <c r="G167" s="43"/>
      <c r="H167" s="43"/>
      <c r="I167" s="42"/>
      <c r="J167" s="44"/>
      <c r="K167" s="46"/>
      <c r="L167" s="34" t="str">
        <f t="shared" si="75"/>
        <v/>
      </c>
      <c r="M167" s="33" t="str">
        <f>IF($A167="","",SUMIFS(ASSEGNAZIONI!$F:$F,ASSEGNAZIONI!$B:$B,$A167))</f>
        <v/>
      </c>
      <c r="N167" s="34" t="str">
        <f>IF($A167="","",SUMIFS(ASSEGNAZIONI!$I:$I,ASSEGNAZIONI!$B:$B,$A167))</f>
        <v/>
      </c>
      <c r="O167" s="34" t="str">
        <f>IF($A167="","",SUMIFS(ASSEGNAZIONI!$J:$J,ASSEGNAZIONI!$B:$B,$A167))</f>
        <v/>
      </c>
      <c r="P167" s="34" t="str">
        <f t="shared" si="76"/>
        <v/>
      </c>
      <c r="Q167" s="44"/>
      <c r="R167" s="34" t="str">
        <f t="shared" si="77"/>
        <v/>
      </c>
      <c r="S167" s="35" t="str">
        <f t="shared" si="78"/>
        <v/>
      </c>
      <c r="T167" s="34" t="str">
        <f>IF($A167="","",SUMIFS(ODA!$R:$R,ODA!$B:$B,$A167))</f>
        <v/>
      </c>
      <c r="U167" s="34" t="str">
        <f>IF($A167="","",SUMIFS(ODA!$P:$P,ODA!$B:$B,$A167))</f>
        <v/>
      </c>
      <c r="V167" s="45" t="str">
        <f t="shared" si="79"/>
        <v/>
      </c>
      <c r="W167" s="33" t="str">
        <f>IF($A167="","",SUMIFS(ORE!$F:$F,ORE!$B:$B,$A167))</f>
        <v/>
      </c>
      <c r="X167" s="33" t="str">
        <f>IF($A167="","",SUMIFS(PREVISIONE_ORE!$G:$G,PREVISIONE_ORE!$D:$D,$A167,PREVISIONE_ORE!$K:$K,"Sì"))</f>
        <v/>
      </c>
      <c r="Y167" s="33" t="str">
        <f>IF($A167="","",IF(COUNTIFS(ASSEGNAZIONI!$B:$B,$A167)&gt;0,SUMIFS(ASSEGNAZIONI!$N:$N,ASSEGNAZIONI!$B:$B,$A167),MAX($W167,0)))</f>
        <v/>
      </c>
      <c r="Z167" s="33" t="str">
        <f t="shared" si="80"/>
        <v/>
      </c>
      <c r="AA167" s="34" t="str">
        <f>IF($A167="","",IF(COUNTIFS(ASSEGNAZIONI!$B:$B,$A167)&gt;0,SUMIFS(ASSEGNAZIONI!$P:$P,ASSEGNAZIONI!$B:$B,$A167),0))</f>
        <v/>
      </c>
      <c r="AB167" s="34" t="str">
        <f t="shared" si="81"/>
        <v/>
      </c>
      <c r="AC167" s="34" t="str">
        <f t="shared" si="82"/>
        <v/>
      </c>
      <c r="AD167" s="34" t="str">
        <f t="shared" si="83"/>
        <v/>
      </c>
      <c r="AE167" s="35" t="str">
        <f t="shared" si="84"/>
        <v/>
      </c>
      <c r="AF167" s="34" t="str">
        <f t="shared" si="85"/>
        <v/>
      </c>
      <c r="AG167" s="34" t="str">
        <f t="shared" si="86"/>
        <v/>
      </c>
      <c r="AH167" s="35" t="str">
        <f>IF($A167="","",IFERROR(AVERAGEIFS(FASI!$L:$L,FASI!$B:$B,$A167),0))</f>
        <v/>
      </c>
      <c r="AI167" s="35" t="str">
        <f t="shared" si="87"/>
        <v/>
      </c>
      <c r="AJ167" s="34" t="str">
        <f>IF($A167="","",SUMIFS(SAL!$H:$H,SAL!$B:$B,$A167,SAL!$O:$O,"Emessa")+SUMIFS(SAL!$H:$H,SAL!$B:$B,$A167,SAL!$O:$O,"Incassata")+SUMIFS(SAL!$H:$H,SAL!$B:$B,$A167,SAL!$O:$O,"Scaduta"))</f>
        <v/>
      </c>
      <c r="AK167" s="34" t="str">
        <f>IF($A167="","",SUMIFS(SAL!$H:$H,SAL!$B:$B,$A167,SAL!$O:$O,"Incassata"))</f>
        <v/>
      </c>
      <c r="AL167" s="34" t="str">
        <f t="shared" si="88"/>
        <v/>
      </c>
      <c r="AM167" s="34" t="str">
        <f t="shared" si="89"/>
        <v/>
      </c>
      <c r="AN167" s="36" t="str">
        <f ca="1">IF($A167="","",IF($M167=0,"RISORSE NON ASSEGNATE",IF($AE167&lt;0.1,"MARGINE CRITICO",IF($S167&lt;-SCONTO_MAX,"SCONTO OLTRE SOGLIA",IF($Z167&gt;0,"ORE OLTRE LA STIMA",IF($AI167&gt;ALLERTA_ORE,"CONSUMO ORE ELEVATO",IF(COUNTIFS(SAL!$B:$B,$A167,SAL!$K:$K,"EMETTIBILE")&gt;0,"SAL DA EMETTERE",IF(COUNTIFS(FASI!$B:$B,$A167,FASI!$H:$H,"&lt;"&amp;TODAY(),FASI!$L:$L,"&lt;1")&gt;0,"FASI IN RITARDO","OK"))))))))</f>
        <v/>
      </c>
    </row>
    <row r="168" spans="1:40" x14ac:dyDescent="0.3">
      <c r="A168" s="42"/>
      <c r="B168" s="42"/>
      <c r="C168" s="42"/>
      <c r="D168" s="42"/>
      <c r="E168" s="42"/>
      <c r="F168" s="42"/>
      <c r="G168" s="43"/>
      <c r="H168" s="43"/>
      <c r="I168" s="42"/>
      <c r="J168" s="44"/>
      <c r="K168" s="46"/>
      <c r="L168" s="34" t="str">
        <f t="shared" si="75"/>
        <v/>
      </c>
      <c r="M168" s="33" t="str">
        <f>IF($A168="","",SUMIFS(ASSEGNAZIONI!$F:$F,ASSEGNAZIONI!$B:$B,$A168))</f>
        <v/>
      </c>
      <c r="N168" s="34" t="str">
        <f>IF($A168="","",SUMIFS(ASSEGNAZIONI!$I:$I,ASSEGNAZIONI!$B:$B,$A168))</f>
        <v/>
      </c>
      <c r="O168" s="34" t="str">
        <f>IF($A168="","",SUMIFS(ASSEGNAZIONI!$J:$J,ASSEGNAZIONI!$B:$B,$A168))</f>
        <v/>
      </c>
      <c r="P168" s="34" t="str">
        <f t="shared" si="76"/>
        <v/>
      </c>
      <c r="Q168" s="44"/>
      <c r="R168" s="34" t="str">
        <f t="shared" si="77"/>
        <v/>
      </c>
      <c r="S168" s="35" t="str">
        <f t="shared" si="78"/>
        <v/>
      </c>
      <c r="T168" s="34" t="str">
        <f>IF($A168="","",SUMIFS(ODA!$R:$R,ODA!$B:$B,$A168))</f>
        <v/>
      </c>
      <c r="U168" s="34" t="str">
        <f>IF($A168="","",SUMIFS(ODA!$P:$P,ODA!$B:$B,$A168))</f>
        <v/>
      </c>
      <c r="V168" s="45" t="str">
        <f t="shared" si="79"/>
        <v/>
      </c>
      <c r="W168" s="33" t="str">
        <f>IF($A168="","",SUMIFS(ORE!$F:$F,ORE!$B:$B,$A168))</f>
        <v/>
      </c>
      <c r="X168" s="33" t="str">
        <f>IF($A168="","",SUMIFS(PREVISIONE_ORE!$G:$G,PREVISIONE_ORE!$D:$D,$A168,PREVISIONE_ORE!$K:$K,"Sì"))</f>
        <v/>
      </c>
      <c r="Y168" s="33" t="str">
        <f>IF($A168="","",IF(COUNTIFS(ASSEGNAZIONI!$B:$B,$A168)&gt;0,SUMIFS(ASSEGNAZIONI!$N:$N,ASSEGNAZIONI!$B:$B,$A168),MAX($W168,0)))</f>
        <v/>
      </c>
      <c r="Z168" s="33" t="str">
        <f t="shared" si="80"/>
        <v/>
      </c>
      <c r="AA168" s="34" t="str">
        <f>IF($A168="","",IF(COUNTIFS(ASSEGNAZIONI!$B:$B,$A168)&gt;0,SUMIFS(ASSEGNAZIONI!$P:$P,ASSEGNAZIONI!$B:$B,$A168),0))</f>
        <v/>
      </c>
      <c r="AB168" s="34" t="str">
        <f t="shared" si="81"/>
        <v/>
      </c>
      <c r="AC168" s="34" t="str">
        <f t="shared" si="82"/>
        <v/>
      </c>
      <c r="AD168" s="34" t="str">
        <f t="shared" si="83"/>
        <v/>
      </c>
      <c r="AE168" s="35" t="str">
        <f t="shared" si="84"/>
        <v/>
      </c>
      <c r="AF168" s="34" t="str">
        <f t="shared" si="85"/>
        <v/>
      </c>
      <c r="AG168" s="34" t="str">
        <f t="shared" si="86"/>
        <v/>
      </c>
      <c r="AH168" s="35" t="str">
        <f>IF($A168="","",IFERROR(AVERAGEIFS(FASI!$L:$L,FASI!$B:$B,$A168),0))</f>
        <v/>
      </c>
      <c r="AI168" s="35" t="str">
        <f t="shared" si="87"/>
        <v/>
      </c>
      <c r="AJ168" s="34" t="str">
        <f>IF($A168="","",SUMIFS(SAL!$H:$H,SAL!$B:$B,$A168,SAL!$O:$O,"Emessa")+SUMIFS(SAL!$H:$H,SAL!$B:$B,$A168,SAL!$O:$O,"Incassata")+SUMIFS(SAL!$H:$H,SAL!$B:$B,$A168,SAL!$O:$O,"Scaduta"))</f>
        <v/>
      </c>
      <c r="AK168" s="34" t="str">
        <f>IF($A168="","",SUMIFS(SAL!$H:$H,SAL!$B:$B,$A168,SAL!$O:$O,"Incassata"))</f>
        <v/>
      </c>
      <c r="AL168" s="34" t="str">
        <f t="shared" si="88"/>
        <v/>
      </c>
      <c r="AM168" s="34" t="str">
        <f t="shared" si="89"/>
        <v/>
      </c>
      <c r="AN168" s="36" t="str">
        <f ca="1">IF($A168="","",IF($M168=0,"RISORSE NON ASSEGNATE",IF($AE168&lt;0.1,"MARGINE CRITICO",IF($S168&lt;-SCONTO_MAX,"SCONTO OLTRE SOGLIA",IF($Z168&gt;0,"ORE OLTRE LA STIMA",IF($AI168&gt;ALLERTA_ORE,"CONSUMO ORE ELEVATO",IF(COUNTIFS(SAL!$B:$B,$A168,SAL!$K:$K,"EMETTIBILE")&gt;0,"SAL DA EMETTERE",IF(COUNTIFS(FASI!$B:$B,$A168,FASI!$H:$H,"&lt;"&amp;TODAY(),FASI!$L:$L,"&lt;1")&gt;0,"FASI IN RITARDO","OK"))))))))</f>
        <v/>
      </c>
    </row>
    <row r="169" spans="1:40" x14ac:dyDescent="0.3">
      <c r="A169" s="42"/>
      <c r="B169" s="42"/>
      <c r="C169" s="42"/>
      <c r="D169" s="42"/>
      <c r="E169" s="42"/>
      <c r="F169" s="42"/>
      <c r="G169" s="43"/>
      <c r="H169" s="43"/>
      <c r="I169" s="42"/>
      <c r="J169" s="44"/>
      <c r="K169" s="46"/>
      <c r="L169" s="34" t="str">
        <f t="shared" si="75"/>
        <v/>
      </c>
      <c r="M169" s="33" t="str">
        <f>IF($A169="","",SUMIFS(ASSEGNAZIONI!$F:$F,ASSEGNAZIONI!$B:$B,$A169))</f>
        <v/>
      </c>
      <c r="N169" s="34" t="str">
        <f>IF($A169="","",SUMIFS(ASSEGNAZIONI!$I:$I,ASSEGNAZIONI!$B:$B,$A169))</f>
        <v/>
      </c>
      <c r="O169" s="34" t="str">
        <f>IF($A169="","",SUMIFS(ASSEGNAZIONI!$J:$J,ASSEGNAZIONI!$B:$B,$A169))</f>
        <v/>
      </c>
      <c r="P169" s="34" t="str">
        <f t="shared" si="76"/>
        <v/>
      </c>
      <c r="Q169" s="44"/>
      <c r="R169" s="34" t="str">
        <f t="shared" si="77"/>
        <v/>
      </c>
      <c r="S169" s="35" t="str">
        <f t="shared" si="78"/>
        <v/>
      </c>
      <c r="T169" s="34" t="str">
        <f>IF($A169="","",SUMIFS(ODA!$R:$R,ODA!$B:$B,$A169))</f>
        <v/>
      </c>
      <c r="U169" s="34" t="str">
        <f>IF($A169="","",SUMIFS(ODA!$P:$P,ODA!$B:$B,$A169))</f>
        <v/>
      </c>
      <c r="V169" s="45" t="str">
        <f t="shared" si="79"/>
        <v/>
      </c>
      <c r="W169" s="33" t="str">
        <f>IF($A169="","",SUMIFS(ORE!$F:$F,ORE!$B:$B,$A169))</f>
        <v/>
      </c>
      <c r="X169" s="33" t="str">
        <f>IF($A169="","",SUMIFS(PREVISIONE_ORE!$G:$G,PREVISIONE_ORE!$D:$D,$A169,PREVISIONE_ORE!$K:$K,"Sì"))</f>
        <v/>
      </c>
      <c r="Y169" s="33" t="str">
        <f>IF($A169="","",IF(COUNTIFS(ASSEGNAZIONI!$B:$B,$A169)&gt;0,SUMIFS(ASSEGNAZIONI!$N:$N,ASSEGNAZIONI!$B:$B,$A169),MAX($W169,0)))</f>
        <v/>
      </c>
      <c r="Z169" s="33" t="str">
        <f t="shared" si="80"/>
        <v/>
      </c>
      <c r="AA169" s="34" t="str">
        <f>IF($A169="","",IF(COUNTIFS(ASSEGNAZIONI!$B:$B,$A169)&gt;0,SUMIFS(ASSEGNAZIONI!$P:$P,ASSEGNAZIONI!$B:$B,$A169),0))</f>
        <v/>
      </c>
      <c r="AB169" s="34" t="str">
        <f t="shared" si="81"/>
        <v/>
      </c>
      <c r="AC169" s="34" t="str">
        <f t="shared" si="82"/>
        <v/>
      </c>
      <c r="AD169" s="34" t="str">
        <f t="shared" si="83"/>
        <v/>
      </c>
      <c r="AE169" s="35" t="str">
        <f t="shared" si="84"/>
        <v/>
      </c>
      <c r="AF169" s="34" t="str">
        <f t="shared" si="85"/>
        <v/>
      </c>
      <c r="AG169" s="34" t="str">
        <f t="shared" si="86"/>
        <v/>
      </c>
      <c r="AH169" s="35" t="str">
        <f>IF($A169="","",IFERROR(AVERAGEIFS(FASI!$L:$L,FASI!$B:$B,$A169),0))</f>
        <v/>
      </c>
      <c r="AI169" s="35" t="str">
        <f t="shared" si="87"/>
        <v/>
      </c>
      <c r="AJ169" s="34" t="str">
        <f>IF($A169="","",SUMIFS(SAL!$H:$H,SAL!$B:$B,$A169,SAL!$O:$O,"Emessa")+SUMIFS(SAL!$H:$H,SAL!$B:$B,$A169,SAL!$O:$O,"Incassata")+SUMIFS(SAL!$H:$H,SAL!$B:$B,$A169,SAL!$O:$O,"Scaduta"))</f>
        <v/>
      </c>
      <c r="AK169" s="34" t="str">
        <f>IF($A169="","",SUMIFS(SAL!$H:$H,SAL!$B:$B,$A169,SAL!$O:$O,"Incassata"))</f>
        <v/>
      </c>
      <c r="AL169" s="34" t="str">
        <f t="shared" si="88"/>
        <v/>
      </c>
      <c r="AM169" s="34" t="str">
        <f t="shared" si="89"/>
        <v/>
      </c>
      <c r="AN169" s="36" t="str">
        <f ca="1">IF($A169="","",IF($M169=0,"RISORSE NON ASSEGNATE",IF($AE169&lt;0.1,"MARGINE CRITICO",IF($S169&lt;-SCONTO_MAX,"SCONTO OLTRE SOGLIA",IF($Z169&gt;0,"ORE OLTRE LA STIMA",IF($AI169&gt;ALLERTA_ORE,"CONSUMO ORE ELEVATO",IF(COUNTIFS(SAL!$B:$B,$A169,SAL!$K:$K,"EMETTIBILE")&gt;0,"SAL DA EMETTERE",IF(COUNTIFS(FASI!$B:$B,$A169,FASI!$H:$H,"&lt;"&amp;TODAY(),FASI!$L:$L,"&lt;1")&gt;0,"FASI IN RITARDO","OK"))))))))</f>
        <v/>
      </c>
    </row>
    <row r="170" spans="1:40" x14ac:dyDescent="0.3">
      <c r="A170" s="42"/>
      <c r="B170" s="42"/>
      <c r="C170" s="42"/>
      <c r="D170" s="42"/>
      <c r="E170" s="42"/>
      <c r="F170" s="42"/>
      <c r="G170" s="43"/>
      <c r="H170" s="43"/>
      <c r="I170" s="42"/>
      <c r="J170" s="44"/>
      <c r="K170" s="46"/>
      <c r="L170" s="34" t="str">
        <f t="shared" si="75"/>
        <v/>
      </c>
      <c r="M170" s="33" t="str">
        <f>IF($A170="","",SUMIFS(ASSEGNAZIONI!$F:$F,ASSEGNAZIONI!$B:$B,$A170))</f>
        <v/>
      </c>
      <c r="N170" s="34" t="str">
        <f>IF($A170="","",SUMIFS(ASSEGNAZIONI!$I:$I,ASSEGNAZIONI!$B:$B,$A170))</f>
        <v/>
      </c>
      <c r="O170" s="34" t="str">
        <f>IF($A170="","",SUMIFS(ASSEGNAZIONI!$J:$J,ASSEGNAZIONI!$B:$B,$A170))</f>
        <v/>
      </c>
      <c r="P170" s="34" t="str">
        <f t="shared" si="76"/>
        <v/>
      </c>
      <c r="Q170" s="44"/>
      <c r="R170" s="34" t="str">
        <f t="shared" si="77"/>
        <v/>
      </c>
      <c r="S170" s="35" t="str">
        <f t="shared" si="78"/>
        <v/>
      </c>
      <c r="T170" s="34" t="str">
        <f>IF($A170="","",SUMIFS(ODA!$R:$R,ODA!$B:$B,$A170))</f>
        <v/>
      </c>
      <c r="U170" s="34" t="str">
        <f>IF($A170="","",SUMIFS(ODA!$P:$P,ODA!$B:$B,$A170))</f>
        <v/>
      </c>
      <c r="V170" s="45" t="str">
        <f t="shared" si="79"/>
        <v/>
      </c>
      <c r="W170" s="33" t="str">
        <f>IF($A170="","",SUMIFS(ORE!$F:$F,ORE!$B:$B,$A170))</f>
        <v/>
      </c>
      <c r="X170" s="33" t="str">
        <f>IF($A170="","",SUMIFS(PREVISIONE_ORE!$G:$G,PREVISIONE_ORE!$D:$D,$A170,PREVISIONE_ORE!$K:$K,"Sì"))</f>
        <v/>
      </c>
      <c r="Y170" s="33" t="str">
        <f>IF($A170="","",IF(COUNTIFS(ASSEGNAZIONI!$B:$B,$A170)&gt;0,SUMIFS(ASSEGNAZIONI!$N:$N,ASSEGNAZIONI!$B:$B,$A170),MAX($W170,0)))</f>
        <v/>
      </c>
      <c r="Z170" s="33" t="str">
        <f t="shared" si="80"/>
        <v/>
      </c>
      <c r="AA170" s="34" t="str">
        <f>IF($A170="","",IF(COUNTIFS(ASSEGNAZIONI!$B:$B,$A170)&gt;0,SUMIFS(ASSEGNAZIONI!$P:$P,ASSEGNAZIONI!$B:$B,$A170),0))</f>
        <v/>
      </c>
      <c r="AB170" s="34" t="str">
        <f t="shared" si="81"/>
        <v/>
      </c>
      <c r="AC170" s="34" t="str">
        <f t="shared" si="82"/>
        <v/>
      </c>
      <c r="AD170" s="34" t="str">
        <f t="shared" si="83"/>
        <v/>
      </c>
      <c r="AE170" s="35" t="str">
        <f t="shared" si="84"/>
        <v/>
      </c>
      <c r="AF170" s="34" t="str">
        <f t="shared" si="85"/>
        <v/>
      </c>
      <c r="AG170" s="34" t="str">
        <f t="shared" si="86"/>
        <v/>
      </c>
      <c r="AH170" s="35" t="str">
        <f>IF($A170="","",IFERROR(AVERAGEIFS(FASI!$L:$L,FASI!$B:$B,$A170),0))</f>
        <v/>
      </c>
      <c r="AI170" s="35" t="str">
        <f t="shared" si="87"/>
        <v/>
      </c>
      <c r="AJ170" s="34" t="str">
        <f>IF($A170="","",SUMIFS(SAL!$H:$H,SAL!$B:$B,$A170,SAL!$O:$O,"Emessa")+SUMIFS(SAL!$H:$H,SAL!$B:$B,$A170,SAL!$O:$O,"Incassata")+SUMIFS(SAL!$H:$H,SAL!$B:$B,$A170,SAL!$O:$O,"Scaduta"))</f>
        <v/>
      </c>
      <c r="AK170" s="34" t="str">
        <f>IF($A170="","",SUMIFS(SAL!$H:$H,SAL!$B:$B,$A170,SAL!$O:$O,"Incassata"))</f>
        <v/>
      </c>
      <c r="AL170" s="34" t="str">
        <f t="shared" si="88"/>
        <v/>
      </c>
      <c r="AM170" s="34" t="str">
        <f t="shared" si="89"/>
        <v/>
      </c>
      <c r="AN170" s="36" t="str">
        <f ca="1">IF($A170="","",IF($M170=0,"RISORSE NON ASSEGNATE",IF($AE170&lt;0.1,"MARGINE CRITICO",IF($S170&lt;-SCONTO_MAX,"SCONTO OLTRE SOGLIA",IF($Z170&gt;0,"ORE OLTRE LA STIMA",IF($AI170&gt;ALLERTA_ORE,"CONSUMO ORE ELEVATO",IF(COUNTIFS(SAL!$B:$B,$A170,SAL!$K:$K,"EMETTIBILE")&gt;0,"SAL DA EMETTERE",IF(COUNTIFS(FASI!$B:$B,$A170,FASI!$H:$H,"&lt;"&amp;TODAY(),FASI!$L:$L,"&lt;1")&gt;0,"FASI IN RITARDO","OK"))))))))</f>
        <v/>
      </c>
    </row>
    <row r="171" spans="1:40" x14ac:dyDescent="0.3">
      <c r="A171" s="42"/>
      <c r="B171" s="42"/>
      <c r="C171" s="42"/>
      <c r="D171" s="42"/>
      <c r="E171" s="42"/>
      <c r="F171" s="42"/>
      <c r="G171" s="43"/>
      <c r="H171" s="43"/>
      <c r="I171" s="42"/>
      <c r="J171" s="44"/>
      <c r="K171" s="46"/>
      <c r="L171" s="34" t="str">
        <f t="shared" si="75"/>
        <v/>
      </c>
      <c r="M171" s="33" t="str">
        <f>IF($A171="","",SUMIFS(ASSEGNAZIONI!$F:$F,ASSEGNAZIONI!$B:$B,$A171))</f>
        <v/>
      </c>
      <c r="N171" s="34" t="str">
        <f>IF($A171="","",SUMIFS(ASSEGNAZIONI!$I:$I,ASSEGNAZIONI!$B:$B,$A171))</f>
        <v/>
      </c>
      <c r="O171" s="34" t="str">
        <f>IF($A171="","",SUMIFS(ASSEGNAZIONI!$J:$J,ASSEGNAZIONI!$B:$B,$A171))</f>
        <v/>
      </c>
      <c r="P171" s="34" t="str">
        <f t="shared" si="76"/>
        <v/>
      </c>
      <c r="Q171" s="44"/>
      <c r="R171" s="34" t="str">
        <f t="shared" si="77"/>
        <v/>
      </c>
      <c r="S171" s="35" t="str">
        <f t="shared" si="78"/>
        <v/>
      </c>
      <c r="T171" s="34" t="str">
        <f>IF($A171="","",SUMIFS(ODA!$R:$R,ODA!$B:$B,$A171))</f>
        <v/>
      </c>
      <c r="U171" s="34" t="str">
        <f>IF($A171="","",SUMIFS(ODA!$P:$P,ODA!$B:$B,$A171))</f>
        <v/>
      </c>
      <c r="V171" s="45" t="str">
        <f t="shared" si="79"/>
        <v/>
      </c>
      <c r="W171" s="33" t="str">
        <f>IF($A171="","",SUMIFS(ORE!$F:$F,ORE!$B:$B,$A171))</f>
        <v/>
      </c>
      <c r="X171" s="33" t="str">
        <f>IF($A171="","",SUMIFS(PREVISIONE_ORE!$G:$G,PREVISIONE_ORE!$D:$D,$A171,PREVISIONE_ORE!$K:$K,"Sì"))</f>
        <v/>
      </c>
      <c r="Y171" s="33" t="str">
        <f>IF($A171="","",IF(COUNTIFS(ASSEGNAZIONI!$B:$B,$A171)&gt;0,SUMIFS(ASSEGNAZIONI!$N:$N,ASSEGNAZIONI!$B:$B,$A171),MAX($W171,0)))</f>
        <v/>
      </c>
      <c r="Z171" s="33" t="str">
        <f t="shared" si="80"/>
        <v/>
      </c>
      <c r="AA171" s="34" t="str">
        <f>IF($A171="","",IF(COUNTIFS(ASSEGNAZIONI!$B:$B,$A171)&gt;0,SUMIFS(ASSEGNAZIONI!$P:$P,ASSEGNAZIONI!$B:$B,$A171),0))</f>
        <v/>
      </c>
      <c r="AB171" s="34" t="str">
        <f t="shared" si="81"/>
        <v/>
      </c>
      <c r="AC171" s="34" t="str">
        <f t="shared" si="82"/>
        <v/>
      </c>
      <c r="AD171" s="34" t="str">
        <f t="shared" si="83"/>
        <v/>
      </c>
      <c r="AE171" s="35" t="str">
        <f t="shared" si="84"/>
        <v/>
      </c>
      <c r="AF171" s="34" t="str">
        <f t="shared" si="85"/>
        <v/>
      </c>
      <c r="AG171" s="34" t="str">
        <f t="shared" si="86"/>
        <v/>
      </c>
      <c r="AH171" s="35" t="str">
        <f>IF($A171="","",IFERROR(AVERAGEIFS(FASI!$L:$L,FASI!$B:$B,$A171),0))</f>
        <v/>
      </c>
      <c r="AI171" s="35" t="str">
        <f t="shared" si="87"/>
        <v/>
      </c>
      <c r="AJ171" s="34" t="str">
        <f>IF($A171="","",SUMIFS(SAL!$H:$H,SAL!$B:$B,$A171,SAL!$O:$O,"Emessa")+SUMIFS(SAL!$H:$H,SAL!$B:$B,$A171,SAL!$O:$O,"Incassata")+SUMIFS(SAL!$H:$H,SAL!$B:$B,$A171,SAL!$O:$O,"Scaduta"))</f>
        <v/>
      </c>
      <c r="AK171" s="34" t="str">
        <f>IF($A171="","",SUMIFS(SAL!$H:$H,SAL!$B:$B,$A171,SAL!$O:$O,"Incassata"))</f>
        <v/>
      </c>
      <c r="AL171" s="34" t="str">
        <f t="shared" si="88"/>
        <v/>
      </c>
      <c r="AM171" s="34" t="str">
        <f t="shared" si="89"/>
        <v/>
      </c>
      <c r="AN171" s="36" t="str">
        <f ca="1">IF($A171="","",IF($M171=0,"RISORSE NON ASSEGNATE",IF($AE171&lt;0.1,"MARGINE CRITICO",IF($S171&lt;-SCONTO_MAX,"SCONTO OLTRE SOGLIA",IF($Z171&gt;0,"ORE OLTRE LA STIMA",IF($AI171&gt;ALLERTA_ORE,"CONSUMO ORE ELEVATO",IF(COUNTIFS(SAL!$B:$B,$A171,SAL!$K:$K,"EMETTIBILE")&gt;0,"SAL DA EMETTERE",IF(COUNTIFS(FASI!$B:$B,$A171,FASI!$H:$H,"&lt;"&amp;TODAY(),FASI!$L:$L,"&lt;1")&gt;0,"FASI IN RITARDO","OK"))))))))</f>
        <v/>
      </c>
    </row>
    <row r="172" spans="1:40" x14ac:dyDescent="0.3">
      <c r="A172" s="42"/>
      <c r="B172" s="42"/>
      <c r="C172" s="42"/>
      <c r="D172" s="42"/>
      <c r="E172" s="42"/>
      <c r="F172" s="42"/>
      <c r="G172" s="43"/>
      <c r="H172" s="43"/>
      <c r="I172" s="42"/>
      <c r="J172" s="44"/>
      <c r="K172" s="46"/>
      <c r="L172" s="34" t="str">
        <f t="shared" si="75"/>
        <v/>
      </c>
      <c r="M172" s="33" t="str">
        <f>IF($A172="","",SUMIFS(ASSEGNAZIONI!$F:$F,ASSEGNAZIONI!$B:$B,$A172))</f>
        <v/>
      </c>
      <c r="N172" s="34" t="str">
        <f>IF($A172="","",SUMIFS(ASSEGNAZIONI!$I:$I,ASSEGNAZIONI!$B:$B,$A172))</f>
        <v/>
      </c>
      <c r="O172" s="34" t="str">
        <f>IF($A172="","",SUMIFS(ASSEGNAZIONI!$J:$J,ASSEGNAZIONI!$B:$B,$A172))</f>
        <v/>
      </c>
      <c r="P172" s="34" t="str">
        <f t="shared" si="76"/>
        <v/>
      </c>
      <c r="Q172" s="44"/>
      <c r="R172" s="34" t="str">
        <f t="shared" si="77"/>
        <v/>
      </c>
      <c r="S172" s="35" t="str">
        <f t="shared" si="78"/>
        <v/>
      </c>
      <c r="T172" s="34" t="str">
        <f>IF($A172="","",SUMIFS(ODA!$R:$R,ODA!$B:$B,$A172))</f>
        <v/>
      </c>
      <c r="U172" s="34" t="str">
        <f>IF($A172="","",SUMIFS(ODA!$P:$P,ODA!$B:$B,$A172))</f>
        <v/>
      </c>
      <c r="V172" s="45" t="str">
        <f t="shared" si="79"/>
        <v/>
      </c>
      <c r="W172" s="33" t="str">
        <f>IF($A172="","",SUMIFS(ORE!$F:$F,ORE!$B:$B,$A172))</f>
        <v/>
      </c>
      <c r="X172" s="33" t="str">
        <f>IF($A172="","",SUMIFS(PREVISIONE_ORE!$G:$G,PREVISIONE_ORE!$D:$D,$A172,PREVISIONE_ORE!$K:$K,"Sì"))</f>
        <v/>
      </c>
      <c r="Y172" s="33" t="str">
        <f>IF($A172="","",IF(COUNTIFS(ASSEGNAZIONI!$B:$B,$A172)&gt;0,SUMIFS(ASSEGNAZIONI!$N:$N,ASSEGNAZIONI!$B:$B,$A172),MAX($W172,0)))</f>
        <v/>
      </c>
      <c r="Z172" s="33" t="str">
        <f t="shared" si="80"/>
        <v/>
      </c>
      <c r="AA172" s="34" t="str">
        <f>IF($A172="","",IF(COUNTIFS(ASSEGNAZIONI!$B:$B,$A172)&gt;0,SUMIFS(ASSEGNAZIONI!$P:$P,ASSEGNAZIONI!$B:$B,$A172),0))</f>
        <v/>
      </c>
      <c r="AB172" s="34" t="str">
        <f t="shared" si="81"/>
        <v/>
      </c>
      <c r="AC172" s="34" t="str">
        <f t="shared" si="82"/>
        <v/>
      </c>
      <c r="AD172" s="34" t="str">
        <f t="shared" si="83"/>
        <v/>
      </c>
      <c r="AE172" s="35" t="str">
        <f t="shared" si="84"/>
        <v/>
      </c>
      <c r="AF172" s="34" t="str">
        <f t="shared" si="85"/>
        <v/>
      </c>
      <c r="AG172" s="34" t="str">
        <f t="shared" si="86"/>
        <v/>
      </c>
      <c r="AH172" s="35" t="str">
        <f>IF($A172="","",IFERROR(AVERAGEIFS(FASI!$L:$L,FASI!$B:$B,$A172),0))</f>
        <v/>
      </c>
      <c r="AI172" s="35" t="str">
        <f t="shared" si="87"/>
        <v/>
      </c>
      <c r="AJ172" s="34" t="str">
        <f>IF($A172="","",SUMIFS(SAL!$H:$H,SAL!$B:$B,$A172,SAL!$O:$O,"Emessa")+SUMIFS(SAL!$H:$H,SAL!$B:$B,$A172,SAL!$O:$O,"Incassata")+SUMIFS(SAL!$H:$H,SAL!$B:$B,$A172,SAL!$O:$O,"Scaduta"))</f>
        <v/>
      </c>
      <c r="AK172" s="34" t="str">
        <f>IF($A172="","",SUMIFS(SAL!$H:$H,SAL!$B:$B,$A172,SAL!$O:$O,"Incassata"))</f>
        <v/>
      </c>
      <c r="AL172" s="34" t="str">
        <f t="shared" si="88"/>
        <v/>
      </c>
      <c r="AM172" s="34" t="str">
        <f t="shared" si="89"/>
        <v/>
      </c>
      <c r="AN172" s="36" t="str">
        <f ca="1">IF($A172="","",IF($M172=0,"RISORSE NON ASSEGNATE",IF($AE172&lt;0.1,"MARGINE CRITICO",IF($S172&lt;-SCONTO_MAX,"SCONTO OLTRE SOGLIA",IF($Z172&gt;0,"ORE OLTRE LA STIMA",IF($AI172&gt;ALLERTA_ORE,"CONSUMO ORE ELEVATO",IF(COUNTIFS(SAL!$B:$B,$A172,SAL!$K:$K,"EMETTIBILE")&gt;0,"SAL DA EMETTERE",IF(COUNTIFS(FASI!$B:$B,$A172,FASI!$H:$H,"&lt;"&amp;TODAY(),FASI!$L:$L,"&lt;1")&gt;0,"FASI IN RITARDO","OK"))))))))</f>
        <v/>
      </c>
    </row>
    <row r="173" spans="1:40" x14ac:dyDescent="0.3">
      <c r="A173" s="42"/>
      <c r="B173" s="42"/>
      <c r="C173" s="42"/>
      <c r="D173" s="42"/>
      <c r="E173" s="42"/>
      <c r="F173" s="42"/>
      <c r="G173" s="43"/>
      <c r="H173" s="43"/>
      <c r="I173" s="42"/>
      <c r="J173" s="44"/>
      <c r="K173" s="46"/>
      <c r="L173" s="34" t="str">
        <f t="shared" si="75"/>
        <v/>
      </c>
      <c r="M173" s="33" t="str">
        <f>IF($A173="","",SUMIFS(ASSEGNAZIONI!$F:$F,ASSEGNAZIONI!$B:$B,$A173))</f>
        <v/>
      </c>
      <c r="N173" s="34" t="str">
        <f>IF($A173="","",SUMIFS(ASSEGNAZIONI!$I:$I,ASSEGNAZIONI!$B:$B,$A173))</f>
        <v/>
      </c>
      <c r="O173" s="34" t="str">
        <f>IF($A173="","",SUMIFS(ASSEGNAZIONI!$J:$J,ASSEGNAZIONI!$B:$B,$A173))</f>
        <v/>
      </c>
      <c r="P173" s="34" t="str">
        <f t="shared" si="76"/>
        <v/>
      </c>
      <c r="Q173" s="44"/>
      <c r="R173" s="34" t="str">
        <f t="shared" si="77"/>
        <v/>
      </c>
      <c r="S173" s="35" t="str">
        <f t="shared" si="78"/>
        <v/>
      </c>
      <c r="T173" s="34" t="str">
        <f>IF($A173="","",SUMIFS(ODA!$R:$R,ODA!$B:$B,$A173))</f>
        <v/>
      </c>
      <c r="U173" s="34" t="str">
        <f>IF($A173="","",SUMIFS(ODA!$P:$P,ODA!$B:$B,$A173))</f>
        <v/>
      </c>
      <c r="V173" s="45" t="str">
        <f t="shared" si="79"/>
        <v/>
      </c>
      <c r="W173" s="33" t="str">
        <f>IF($A173="","",SUMIFS(ORE!$F:$F,ORE!$B:$B,$A173))</f>
        <v/>
      </c>
      <c r="X173" s="33" t="str">
        <f>IF($A173="","",SUMIFS(PREVISIONE_ORE!$G:$G,PREVISIONE_ORE!$D:$D,$A173,PREVISIONE_ORE!$K:$K,"Sì"))</f>
        <v/>
      </c>
      <c r="Y173" s="33" t="str">
        <f>IF($A173="","",IF(COUNTIFS(ASSEGNAZIONI!$B:$B,$A173)&gt;0,SUMIFS(ASSEGNAZIONI!$N:$N,ASSEGNAZIONI!$B:$B,$A173),MAX($W173,0)))</f>
        <v/>
      </c>
      <c r="Z173" s="33" t="str">
        <f t="shared" si="80"/>
        <v/>
      </c>
      <c r="AA173" s="34" t="str">
        <f>IF($A173="","",IF(COUNTIFS(ASSEGNAZIONI!$B:$B,$A173)&gt;0,SUMIFS(ASSEGNAZIONI!$P:$P,ASSEGNAZIONI!$B:$B,$A173),0))</f>
        <v/>
      </c>
      <c r="AB173" s="34" t="str">
        <f t="shared" si="81"/>
        <v/>
      </c>
      <c r="AC173" s="34" t="str">
        <f t="shared" si="82"/>
        <v/>
      </c>
      <c r="AD173" s="34" t="str">
        <f t="shared" si="83"/>
        <v/>
      </c>
      <c r="AE173" s="35" t="str">
        <f t="shared" si="84"/>
        <v/>
      </c>
      <c r="AF173" s="34" t="str">
        <f t="shared" si="85"/>
        <v/>
      </c>
      <c r="AG173" s="34" t="str">
        <f t="shared" si="86"/>
        <v/>
      </c>
      <c r="AH173" s="35" t="str">
        <f>IF($A173="","",IFERROR(AVERAGEIFS(FASI!$L:$L,FASI!$B:$B,$A173),0))</f>
        <v/>
      </c>
      <c r="AI173" s="35" t="str">
        <f t="shared" si="87"/>
        <v/>
      </c>
      <c r="AJ173" s="34" t="str">
        <f>IF($A173="","",SUMIFS(SAL!$H:$H,SAL!$B:$B,$A173,SAL!$O:$O,"Emessa")+SUMIFS(SAL!$H:$H,SAL!$B:$B,$A173,SAL!$O:$O,"Incassata")+SUMIFS(SAL!$H:$H,SAL!$B:$B,$A173,SAL!$O:$O,"Scaduta"))</f>
        <v/>
      </c>
      <c r="AK173" s="34" t="str">
        <f>IF($A173="","",SUMIFS(SAL!$H:$H,SAL!$B:$B,$A173,SAL!$O:$O,"Incassata"))</f>
        <v/>
      </c>
      <c r="AL173" s="34" t="str">
        <f t="shared" si="88"/>
        <v/>
      </c>
      <c r="AM173" s="34" t="str">
        <f t="shared" si="89"/>
        <v/>
      </c>
      <c r="AN173" s="36" t="str">
        <f ca="1">IF($A173="","",IF($M173=0,"RISORSE NON ASSEGNATE",IF($AE173&lt;0.1,"MARGINE CRITICO",IF($S173&lt;-SCONTO_MAX,"SCONTO OLTRE SOGLIA",IF($Z173&gt;0,"ORE OLTRE LA STIMA",IF($AI173&gt;ALLERTA_ORE,"CONSUMO ORE ELEVATO",IF(COUNTIFS(SAL!$B:$B,$A173,SAL!$K:$K,"EMETTIBILE")&gt;0,"SAL DA EMETTERE",IF(COUNTIFS(FASI!$B:$B,$A173,FASI!$H:$H,"&lt;"&amp;TODAY(),FASI!$L:$L,"&lt;1")&gt;0,"FASI IN RITARDO","OK"))))))))</f>
        <v/>
      </c>
    </row>
    <row r="174" spans="1:40" x14ac:dyDescent="0.3">
      <c r="A174" s="42"/>
      <c r="B174" s="42"/>
      <c r="C174" s="42"/>
      <c r="D174" s="42"/>
      <c r="E174" s="42"/>
      <c r="F174" s="42"/>
      <c r="G174" s="43"/>
      <c r="H174" s="43"/>
      <c r="I174" s="42"/>
      <c r="J174" s="44"/>
      <c r="K174" s="46"/>
      <c r="L174" s="34" t="str">
        <f t="shared" si="75"/>
        <v/>
      </c>
      <c r="M174" s="33" t="str">
        <f>IF($A174="","",SUMIFS(ASSEGNAZIONI!$F:$F,ASSEGNAZIONI!$B:$B,$A174))</f>
        <v/>
      </c>
      <c r="N174" s="34" t="str">
        <f>IF($A174="","",SUMIFS(ASSEGNAZIONI!$I:$I,ASSEGNAZIONI!$B:$B,$A174))</f>
        <v/>
      </c>
      <c r="O174" s="34" t="str">
        <f>IF($A174="","",SUMIFS(ASSEGNAZIONI!$J:$J,ASSEGNAZIONI!$B:$B,$A174))</f>
        <v/>
      </c>
      <c r="P174" s="34" t="str">
        <f t="shared" si="76"/>
        <v/>
      </c>
      <c r="Q174" s="44"/>
      <c r="R174" s="34" t="str">
        <f t="shared" si="77"/>
        <v/>
      </c>
      <c r="S174" s="35" t="str">
        <f t="shared" si="78"/>
        <v/>
      </c>
      <c r="T174" s="34" t="str">
        <f>IF($A174="","",SUMIFS(ODA!$R:$R,ODA!$B:$B,$A174))</f>
        <v/>
      </c>
      <c r="U174" s="34" t="str">
        <f>IF($A174="","",SUMIFS(ODA!$P:$P,ODA!$B:$B,$A174))</f>
        <v/>
      </c>
      <c r="V174" s="45" t="str">
        <f t="shared" si="79"/>
        <v/>
      </c>
      <c r="W174" s="33" t="str">
        <f>IF($A174="","",SUMIFS(ORE!$F:$F,ORE!$B:$B,$A174))</f>
        <v/>
      </c>
      <c r="X174" s="33" t="str">
        <f>IF($A174="","",SUMIFS(PREVISIONE_ORE!$G:$G,PREVISIONE_ORE!$D:$D,$A174,PREVISIONE_ORE!$K:$K,"Sì"))</f>
        <v/>
      </c>
      <c r="Y174" s="33" t="str">
        <f>IF($A174="","",IF(COUNTIFS(ASSEGNAZIONI!$B:$B,$A174)&gt;0,SUMIFS(ASSEGNAZIONI!$N:$N,ASSEGNAZIONI!$B:$B,$A174),MAX($W174,0)))</f>
        <v/>
      </c>
      <c r="Z174" s="33" t="str">
        <f t="shared" si="80"/>
        <v/>
      </c>
      <c r="AA174" s="34" t="str">
        <f>IF($A174="","",IF(COUNTIFS(ASSEGNAZIONI!$B:$B,$A174)&gt;0,SUMIFS(ASSEGNAZIONI!$P:$P,ASSEGNAZIONI!$B:$B,$A174),0))</f>
        <v/>
      </c>
      <c r="AB174" s="34" t="str">
        <f t="shared" si="81"/>
        <v/>
      </c>
      <c r="AC174" s="34" t="str">
        <f t="shared" si="82"/>
        <v/>
      </c>
      <c r="AD174" s="34" t="str">
        <f t="shared" si="83"/>
        <v/>
      </c>
      <c r="AE174" s="35" t="str">
        <f t="shared" si="84"/>
        <v/>
      </c>
      <c r="AF174" s="34" t="str">
        <f t="shared" si="85"/>
        <v/>
      </c>
      <c r="AG174" s="34" t="str">
        <f t="shared" si="86"/>
        <v/>
      </c>
      <c r="AH174" s="35" t="str">
        <f>IF($A174="","",IFERROR(AVERAGEIFS(FASI!$L:$L,FASI!$B:$B,$A174),0))</f>
        <v/>
      </c>
      <c r="AI174" s="35" t="str">
        <f t="shared" si="87"/>
        <v/>
      </c>
      <c r="AJ174" s="34" t="str">
        <f>IF($A174="","",SUMIFS(SAL!$H:$H,SAL!$B:$B,$A174,SAL!$O:$O,"Emessa")+SUMIFS(SAL!$H:$H,SAL!$B:$B,$A174,SAL!$O:$O,"Incassata")+SUMIFS(SAL!$H:$H,SAL!$B:$B,$A174,SAL!$O:$O,"Scaduta"))</f>
        <v/>
      </c>
      <c r="AK174" s="34" t="str">
        <f>IF($A174="","",SUMIFS(SAL!$H:$H,SAL!$B:$B,$A174,SAL!$O:$O,"Incassata"))</f>
        <v/>
      </c>
      <c r="AL174" s="34" t="str">
        <f t="shared" si="88"/>
        <v/>
      </c>
      <c r="AM174" s="34" t="str">
        <f t="shared" si="89"/>
        <v/>
      </c>
      <c r="AN174" s="36" t="str">
        <f ca="1">IF($A174="","",IF($M174=0,"RISORSE NON ASSEGNATE",IF($AE174&lt;0.1,"MARGINE CRITICO",IF($S174&lt;-SCONTO_MAX,"SCONTO OLTRE SOGLIA",IF($Z174&gt;0,"ORE OLTRE LA STIMA",IF($AI174&gt;ALLERTA_ORE,"CONSUMO ORE ELEVATO",IF(COUNTIFS(SAL!$B:$B,$A174,SAL!$K:$K,"EMETTIBILE")&gt;0,"SAL DA EMETTERE",IF(COUNTIFS(FASI!$B:$B,$A174,FASI!$H:$H,"&lt;"&amp;TODAY(),FASI!$L:$L,"&lt;1")&gt;0,"FASI IN RITARDO","OK"))))))))</f>
        <v/>
      </c>
    </row>
    <row r="175" spans="1:40" x14ac:dyDescent="0.3">
      <c r="A175" s="42"/>
      <c r="B175" s="42"/>
      <c r="C175" s="42"/>
      <c r="D175" s="42"/>
      <c r="E175" s="42"/>
      <c r="F175" s="42"/>
      <c r="G175" s="43"/>
      <c r="H175" s="43"/>
      <c r="I175" s="42"/>
      <c r="J175" s="44"/>
      <c r="K175" s="46"/>
      <c r="L175" s="34" t="str">
        <f t="shared" si="75"/>
        <v/>
      </c>
      <c r="M175" s="33" t="str">
        <f>IF($A175="","",SUMIFS(ASSEGNAZIONI!$F:$F,ASSEGNAZIONI!$B:$B,$A175))</f>
        <v/>
      </c>
      <c r="N175" s="34" t="str">
        <f>IF($A175="","",SUMIFS(ASSEGNAZIONI!$I:$I,ASSEGNAZIONI!$B:$B,$A175))</f>
        <v/>
      </c>
      <c r="O175" s="34" t="str">
        <f>IF($A175="","",SUMIFS(ASSEGNAZIONI!$J:$J,ASSEGNAZIONI!$B:$B,$A175))</f>
        <v/>
      </c>
      <c r="P175" s="34" t="str">
        <f t="shared" si="76"/>
        <v/>
      </c>
      <c r="Q175" s="44"/>
      <c r="R175" s="34" t="str">
        <f t="shared" si="77"/>
        <v/>
      </c>
      <c r="S175" s="35" t="str">
        <f t="shared" si="78"/>
        <v/>
      </c>
      <c r="T175" s="34" t="str">
        <f>IF($A175="","",SUMIFS(ODA!$R:$R,ODA!$B:$B,$A175))</f>
        <v/>
      </c>
      <c r="U175" s="34" t="str">
        <f>IF($A175="","",SUMIFS(ODA!$P:$P,ODA!$B:$B,$A175))</f>
        <v/>
      </c>
      <c r="V175" s="45" t="str">
        <f t="shared" si="79"/>
        <v/>
      </c>
      <c r="W175" s="33" t="str">
        <f>IF($A175="","",SUMIFS(ORE!$F:$F,ORE!$B:$B,$A175))</f>
        <v/>
      </c>
      <c r="X175" s="33" t="str">
        <f>IF($A175="","",SUMIFS(PREVISIONE_ORE!$G:$G,PREVISIONE_ORE!$D:$D,$A175,PREVISIONE_ORE!$K:$K,"Sì"))</f>
        <v/>
      </c>
      <c r="Y175" s="33" t="str">
        <f>IF($A175="","",IF(COUNTIFS(ASSEGNAZIONI!$B:$B,$A175)&gt;0,SUMIFS(ASSEGNAZIONI!$N:$N,ASSEGNAZIONI!$B:$B,$A175),MAX($W175,0)))</f>
        <v/>
      </c>
      <c r="Z175" s="33" t="str">
        <f t="shared" si="80"/>
        <v/>
      </c>
      <c r="AA175" s="34" t="str">
        <f>IF($A175="","",IF(COUNTIFS(ASSEGNAZIONI!$B:$B,$A175)&gt;0,SUMIFS(ASSEGNAZIONI!$P:$P,ASSEGNAZIONI!$B:$B,$A175),0))</f>
        <v/>
      </c>
      <c r="AB175" s="34" t="str">
        <f t="shared" si="81"/>
        <v/>
      </c>
      <c r="AC175" s="34" t="str">
        <f t="shared" si="82"/>
        <v/>
      </c>
      <c r="AD175" s="34" t="str">
        <f t="shared" si="83"/>
        <v/>
      </c>
      <c r="AE175" s="35" t="str">
        <f t="shared" si="84"/>
        <v/>
      </c>
      <c r="AF175" s="34" t="str">
        <f t="shared" si="85"/>
        <v/>
      </c>
      <c r="AG175" s="34" t="str">
        <f t="shared" si="86"/>
        <v/>
      </c>
      <c r="AH175" s="35" t="str">
        <f>IF($A175="","",IFERROR(AVERAGEIFS(FASI!$L:$L,FASI!$B:$B,$A175),0))</f>
        <v/>
      </c>
      <c r="AI175" s="35" t="str">
        <f t="shared" si="87"/>
        <v/>
      </c>
      <c r="AJ175" s="34" t="str">
        <f>IF($A175="","",SUMIFS(SAL!$H:$H,SAL!$B:$B,$A175,SAL!$O:$O,"Emessa")+SUMIFS(SAL!$H:$H,SAL!$B:$B,$A175,SAL!$O:$O,"Incassata")+SUMIFS(SAL!$H:$H,SAL!$B:$B,$A175,SAL!$O:$O,"Scaduta"))</f>
        <v/>
      </c>
      <c r="AK175" s="34" t="str">
        <f>IF($A175="","",SUMIFS(SAL!$H:$H,SAL!$B:$B,$A175,SAL!$O:$O,"Incassata"))</f>
        <v/>
      </c>
      <c r="AL175" s="34" t="str">
        <f t="shared" si="88"/>
        <v/>
      </c>
      <c r="AM175" s="34" t="str">
        <f t="shared" si="89"/>
        <v/>
      </c>
      <c r="AN175" s="36" t="str">
        <f ca="1">IF($A175="","",IF($M175=0,"RISORSE NON ASSEGNATE",IF($AE175&lt;0.1,"MARGINE CRITICO",IF($S175&lt;-SCONTO_MAX,"SCONTO OLTRE SOGLIA",IF($Z175&gt;0,"ORE OLTRE LA STIMA",IF($AI175&gt;ALLERTA_ORE,"CONSUMO ORE ELEVATO",IF(COUNTIFS(SAL!$B:$B,$A175,SAL!$K:$K,"EMETTIBILE")&gt;0,"SAL DA EMETTERE",IF(COUNTIFS(FASI!$B:$B,$A175,FASI!$H:$H,"&lt;"&amp;TODAY(),FASI!$L:$L,"&lt;1")&gt;0,"FASI IN RITARDO","OK"))))))))</f>
        <v/>
      </c>
    </row>
    <row r="176" spans="1:40" x14ac:dyDescent="0.3">
      <c r="A176" s="42"/>
      <c r="B176" s="42"/>
      <c r="C176" s="42"/>
      <c r="D176" s="42"/>
      <c r="E176" s="42"/>
      <c r="F176" s="42"/>
      <c r="G176" s="43"/>
      <c r="H176" s="43"/>
      <c r="I176" s="42"/>
      <c r="J176" s="44"/>
      <c r="K176" s="46"/>
      <c r="L176" s="34" t="str">
        <f t="shared" si="75"/>
        <v/>
      </c>
      <c r="M176" s="33" t="str">
        <f>IF($A176="","",SUMIFS(ASSEGNAZIONI!$F:$F,ASSEGNAZIONI!$B:$B,$A176))</f>
        <v/>
      </c>
      <c r="N176" s="34" t="str">
        <f>IF($A176="","",SUMIFS(ASSEGNAZIONI!$I:$I,ASSEGNAZIONI!$B:$B,$A176))</f>
        <v/>
      </c>
      <c r="O176" s="34" t="str">
        <f>IF($A176="","",SUMIFS(ASSEGNAZIONI!$J:$J,ASSEGNAZIONI!$B:$B,$A176))</f>
        <v/>
      </c>
      <c r="P176" s="34" t="str">
        <f t="shared" si="76"/>
        <v/>
      </c>
      <c r="Q176" s="44"/>
      <c r="R176" s="34" t="str">
        <f t="shared" si="77"/>
        <v/>
      </c>
      <c r="S176" s="35" t="str">
        <f t="shared" si="78"/>
        <v/>
      </c>
      <c r="T176" s="34" t="str">
        <f>IF($A176="","",SUMIFS(ODA!$R:$R,ODA!$B:$B,$A176))</f>
        <v/>
      </c>
      <c r="U176" s="34" t="str">
        <f>IF($A176="","",SUMIFS(ODA!$P:$P,ODA!$B:$B,$A176))</f>
        <v/>
      </c>
      <c r="V176" s="45" t="str">
        <f t="shared" si="79"/>
        <v/>
      </c>
      <c r="W176" s="33" t="str">
        <f>IF($A176="","",SUMIFS(ORE!$F:$F,ORE!$B:$B,$A176))</f>
        <v/>
      </c>
      <c r="X176" s="33" t="str">
        <f>IF($A176="","",SUMIFS(PREVISIONE_ORE!$G:$G,PREVISIONE_ORE!$D:$D,$A176,PREVISIONE_ORE!$K:$K,"Sì"))</f>
        <v/>
      </c>
      <c r="Y176" s="33" t="str">
        <f>IF($A176="","",IF(COUNTIFS(ASSEGNAZIONI!$B:$B,$A176)&gt;0,SUMIFS(ASSEGNAZIONI!$N:$N,ASSEGNAZIONI!$B:$B,$A176),MAX($W176,0)))</f>
        <v/>
      </c>
      <c r="Z176" s="33" t="str">
        <f t="shared" si="80"/>
        <v/>
      </c>
      <c r="AA176" s="34" t="str">
        <f>IF($A176="","",IF(COUNTIFS(ASSEGNAZIONI!$B:$B,$A176)&gt;0,SUMIFS(ASSEGNAZIONI!$P:$P,ASSEGNAZIONI!$B:$B,$A176),0))</f>
        <v/>
      </c>
      <c r="AB176" s="34" t="str">
        <f t="shared" si="81"/>
        <v/>
      </c>
      <c r="AC176" s="34" t="str">
        <f t="shared" si="82"/>
        <v/>
      </c>
      <c r="AD176" s="34" t="str">
        <f t="shared" si="83"/>
        <v/>
      </c>
      <c r="AE176" s="35" t="str">
        <f t="shared" si="84"/>
        <v/>
      </c>
      <c r="AF176" s="34" t="str">
        <f t="shared" si="85"/>
        <v/>
      </c>
      <c r="AG176" s="34" t="str">
        <f t="shared" si="86"/>
        <v/>
      </c>
      <c r="AH176" s="35" t="str">
        <f>IF($A176="","",IFERROR(AVERAGEIFS(FASI!$L:$L,FASI!$B:$B,$A176),0))</f>
        <v/>
      </c>
      <c r="AI176" s="35" t="str">
        <f t="shared" si="87"/>
        <v/>
      </c>
      <c r="AJ176" s="34" t="str">
        <f>IF($A176="","",SUMIFS(SAL!$H:$H,SAL!$B:$B,$A176,SAL!$O:$O,"Emessa")+SUMIFS(SAL!$H:$H,SAL!$B:$B,$A176,SAL!$O:$O,"Incassata")+SUMIFS(SAL!$H:$H,SAL!$B:$B,$A176,SAL!$O:$O,"Scaduta"))</f>
        <v/>
      </c>
      <c r="AK176" s="34" t="str">
        <f>IF($A176="","",SUMIFS(SAL!$H:$H,SAL!$B:$B,$A176,SAL!$O:$O,"Incassata"))</f>
        <v/>
      </c>
      <c r="AL176" s="34" t="str">
        <f t="shared" si="88"/>
        <v/>
      </c>
      <c r="AM176" s="34" t="str">
        <f t="shared" si="89"/>
        <v/>
      </c>
      <c r="AN176" s="36" t="str">
        <f ca="1">IF($A176="","",IF($M176=0,"RISORSE NON ASSEGNATE",IF($AE176&lt;0.1,"MARGINE CRITICO",IF($S176&lt;-SCONTO_MAX,"SCONTO OLTRE SOGLIA",IF($Z176&gt;0,"ORE OLTRE LA STIMA",IF($AI176&gt;ALLERTA_ORE,"CONSUMO ORE ELEVATO",IF(COUNTIFS(SAL!$B:$B,$A176,SAL!$K:$K,"EMETTIBILE")&gt;0,"SAL DA EMETTERE",IF(COUNTIFS(FASI!$B:$B,$A176,FASI!$H:$H,"&lt;"&amp;TODAY(),FASI!$L:$L,"&lt;1")&gt;0,"FASI IN RITARDO","OK"))))))))</f>
        <v/>
      </c>
    </row>
    <row r="177" spans="1:40" x14ac:dyDescent="0.3">
      <c r="A177" s="42"/>
      <c r="B177" s="42"/>
      <c r="C177" s="42"/>
      <c r="D177" s="42"/>
      <c r="E177" s="42"/>
      <c r="F177" s="42"/>
      <c r="G177" s="43"/>
      <c r="H177" s="43"/>
      <c r="I177" s="42"/>
      <c r="J177" s="44"/>
      <c r="K177" s="46"/>
      <c r="L177" s="34" t="str">
        <f t="shared" si="75"/>
        <v/>
      </c>
      <c r="M177" s="33" t="str">
        <f>IF($A177="","",SUMIFS(ASSEGNAZIONI!$F:$F,ASSEGNAZIONI!$B:$B,$A177))</f>
        <v/>
      </c>
      <c r="N177" s="34" t="str">
        <f>IF($A177="","",SUMIFS(ASSEGNAZIONI!$I:$I,ASSEGNAZIONI!$B:$B,$A177))</f>
        <v/>
      </c>
      <c r="O177" s="34" t="str">
        <f>IF($A177="","",SUMIFS(ASSEGNAZIONI!$J:$J,ASSEGNAZIONI!$B:$B,$A177))</f>
        <v/>
      </c>
      <c r="P177" s="34" t="str">
        <f t="shared" si="76"/>
        <v/>
      </c>
      <c r="Q177" s="44"/>
      <c r="R177" s="34" t="str">
        <f t="shared" si="77"/>
        <v/>
      </c>
      <c r="S177" s="35" t="str">
        <f t="shared" si="78"/>
        <v/>
      </c>
      <c r="T177" s="34" t="str">
        <f>IF($A177="","",SUMIFS(ODA!$R:$R,ODA!$B:$B,$A177))</f>
        <v/>
      </c>
      <c r="U177" s="34" t="str">
        <f>IF($A177="","",SUMIFS(ODA!$P:$P,ODA!$B:$B,$A177))</f>
        <v/>
      </c>
      <c r="V177" s="45" t="str">
        <f t="shared" si="79"/>
        <v/>
      </c>
      <c r="W177" s="33" t="str">
        <f>IF($A177="","",SUMIFS(ORE!$F:$F,ORE!$B:$B,$A177))</f>
        <v/>
      </c>
      <c r="X177" s="33" t="str">
        <f>IF($A177="","",SUMIFS(PREVISIONE_ORE!$G:$G,PREVISIONE_ORE!$D:$D,$A177,PREVISIONE_ORE!$K:$K,"Sì"))</f>
        <v/>
      </c>
      <c r="Y177" s="33" t="str">
        <f>IF($A177="","",IF(COUNTIFS(ASSEGNAZIONI!$B:$B,$A177)&gt;0,SUMIFS(ASSEGNAZIONI!$N:$N,ASSEGNAZIONI!$B:$B,$A177),MAX($W177,0)))</f>
        <v/>
      </c>
      <c r="Z177" s="33" t="str">
        <f t="shared" si="80"/>
        <v/>
      </c>
      <c r="AA177" s="34" t="str">
        <f>IF($A177="","",IF(COUNTIFS(ASSEGNAZIONI!$B:$B,$A177)&gt;0,SUMIFS(ASSEGNAZIONI!$P:$P,ASSEGNAZIONI!$B:$B,$A177),0))</f>
        <v/>
      </c>
      <c r="AB177" s="34" t="str">
        <f t="shared" si="81"/>
        <v/>
      </c>
      <c r="AC177" s="34" t="str">
        <f t="shared" si="82"/>
        <v/>
      </c>
      <c r="AD177" s="34" t="str">
        <f t="shared" si="83"/>
        <v/>
      </c>
      <c r="AE177" s="35" t="str">
        <f t="shared" si="84"/>
        <v/>
      </c>
      <c r="AF177" s="34" t="str">
        <f t="shared" si="85"/>
        <v/>
      </c>
      <c r="AG177" s="34" t="str">
        <f t="shared" si="86"/>
        <v/>
      </c>
      <c r="AH177" s="35" t="str">
        <f>IF($A177="","",IFERROR(AVERAGEIFS(FASI!$L:$L,FASI!$B:$B,$A177),0))</f>
        <v/>
      </c>
      <c r="AI177" s="35" t="str">
        <f t="shared" si="87"/>
        <v/>
      </c>
      <c r="AJ177" s="34" t="str">
        <f>IF($A177="","",SUMIFS(SAL!$H:$H,SAL!$B:$B,$A177,SAL!$O:$O,"Emessa")+SUMIFS(SAL!$H:$H,SAL!$B:$B,$A177,SAL!$O:$O,"Incassata")+SUMIFS(SAL!$H:$H,SAL!$B:$B,$A177,SAL!$O:$O,"Scaduta"))</f>
        <v/>
      </c>
      <c r="AK177" s="34" t="str">
        <f>IF($A177="","",SUMIFS(SAL!$H:$H,SAL!$B:$B,$A177,SAL!$O:$O,"Incassata"))</f>
        <v/>
      </c>
      <c r="AL177" s="34" t="str">
        <f t="shared" si="88"/>
        <v/>
      </c>
      <c r="AM177" s="34" t="str">
        <f t="shared" si="89"/>
        <v/>
      </c>
      <c r="AN177" s="36" t="str">
        <f ca="1">IF($A177="","",IF($M177=0,"RISORSE NON ASSEGNATE",IF($AE177&lt;0.1,"MARGINE CRITICO",IF($S177&lt;-SCONTO_MAX,"SCONTO OLTRE SOGLIA",IF($Z177&gt;0,"ORE OLTRE LA STIMA",IF($AI177&gt;ALLERTA_ORE,"CONSUMO ORE ELEVATO",IF(COUNTIFS(SAL!$B:$B,$A177,SAL!$K:$K,"EMETTIBILE")&gt;0,"SAL DA EMETTERE",IF(COUNTIFS(FASI!$B:$B,$A177,FASI!$H:$H,"&lt;"&amp;TODAY(),FASI!$L:$L,"&lt;1")&gt;0,"FASI IN RITARDO","OK"))))))))</f>
        <v/>
      </c>
    </row>
    <row r="178" spans="1:40" x14ac:dyDescent="0.3">
      <c r="A178" s="42"/>
      <c r="B178" s="42"/>
      <c r="C178" s="42"/>
      <c r="D178" s="42"/>
      <c r="E178" s="42"/>
      <c r="F178" s="42"/>
      <c r="G178" s="43"/>
      <c r="H178" s="43"/>
      <c r="I178" s="42"/>
      <c r="J178" s="44"/>
      <c r="K178" s="46"/>
      <c r="L178" s="34" t="str">
        <f t="shared" si="75"/>
        <v/>
      </c>
      <c r="M178" s="33" t="str">
        <f>IF($A178="","",SUMIFS(ASSEGNAZIONI!$F:$F,ASSEGNAZIONI!$B:$B,$A178))</f>
        <v/>
      </c>
      <c r="N178" s="34" t="str">
        <f>IF($A178="","",SUMIFS(ASSEGNAZIONI!$I:$I,ASSEGNAZIONI!$B:$B,$A178))</f>
        <v/>
      </c>
      <c r="O178" s="34" t="str">
        <f>IF($A178="","",SUMIFS(ASSEGNAZIONI!$J:$J,ASSEGNAZIONI!$B:$B,$A178))</f>
        <v/>
      </c>
      <c r="P178" s="34" t="str">
        <f t="shared" si="76"/>
        <v/>
      </c>
      <c r="Q178" s="44"/>
      <c r="R178" s="34" t="str">
        <f t="shared" si="77"/>
        <v/>
      </c>
      <c r="S178" s="35" t="str">
        <f t="shared" si="78"/>
        <v/>
      </c>
      <c r="T178" s="34" t="str">
        <f>IF($A178="","",SUMIFS(ODA!$R:$R,ODA!$B:$B,$A178))</f>
        <v/>
      </c>
      <c r="U178" s="34" t="str">
        <f>IF($A178="","",SUMIFS(ODA!$P:$P,ODA!$B:$B,$A178))</f>
        <v/>
      </c>
      <c r="V178" s="45" t="str">
        <f t="shared" si="79"/>
        <v/>
      </c>
      <c r="W178" s="33" t="str">
        <f>IF($A178="","",SUMIFS(ORE!$F:$F,ORE!$B:$B,$A178))</f>
        <v/>
      </c>
      <c r="X178" s="33" t="str">
        <f>IF($A178="","",SUMIFS(PREVISIONE_ORE!$G:$G,PREVISIONE_ORE!$D:$D,$A178,PREVISIONE_ORE!$K:$K,"Sì"))</f>
        <v/>
      </c>
      <c r="Y178" s="33" t="str">
        <f>IF($A178="","",IF(COUNTIFS(ASSEGNAZIONI!$B:$B,$A178)&gt;0,SUMIFS(ASSEGNAZIONI!$N:$N,ASSEGNAZIONI!$B:$B,$A178),MAX($W178,0)))</f>
        <v/>
      </c>
      <c r="Z178" s="33" t="str">
        <f t="shared" si="80"/>
        <v/>
      </c>
      <c r="AA178" s="34" t="str">
        <f>IF($A178="","",IF(COUNTIFS(ASSEGNAZIONI!$B:$B,$A178)&gt;0,SUMIFS(ASSEGNAZIONI!$P:$P,ASSEGNAZIONI!$B:$B,$A178),0))</f>
        <v/>
      </c>
      <c r="AB178" s="34" t="str">
        <f t="shared" si="81"/>
        <v/>
      </c>
      <c r="AC178" s="34" t="str">
        <f t="shared" si="82"/>
        <v/>
      </c>
      <c r="AD178" s="34" t="str">
        <f t="shared" si="83"/>
        <v/>
      </c>
      <c r="AE178" s="35" t="str">
        <f t="shared" si="84"/>
        <v/>
      </c>
      <c r="AF178" s="34" t="str">
        <f t="shared" si="85"/>
        <v/>
      </c>
      <c r="AG178" s="34" t="str">
        <f t="shared" si="86"/>
        <v/>
      </c>
      <c r="AH178" s="35" t="str">
        <f>IF($A178="","",IFERROR(AVERAGEIFS(FASI!$L:$L,FASI!$B:$B,$A178),0))</f>
        <v/>
      </c>
      <c r="AI178" s="35" t="str">
        <f t="shared" si="87"/>
        <v/>
      </c>
      <c r="AJ178" s="34" t="str">
        <f>IF($A178="","",SUMIFS(SAL!$H:$H,SAL!$B:$B,$A178,SAL!$O:$O,"Emessa")+SUMIFS(SAL!$H:$H,SAL!$B:$B,$A178,SAL!$O:$O,"Incassata")+SUMIFS(SAL!$H:$H,SAL!$B:$B,$A178,SAL!$O:$O,"Scaduta"))</f>
        <v/>
      </c>
      <c r="AK178" s="34" t="str">
        <f>IF($A178="","",SUMIFS(SAL!$H:$H,SAL!$B:$B,$A178,SAL!$O:$O,"Incassata"))</f>
        <v/>
      </c>
      <c r="AL178" s="34" t="str">
        <f t="shared" si="88"/>
        <v/>
      </c>
      <c r="AM178" s="34" t="str">
        <f t="shared" si="89"/>
        <v/>
      </c>
      <c r="AN178" s="36" t="str">
        <f ca="1">IF($A178="","",IF($M178=0,"RISORSE NON ASSEGNATE",IF($AE178&lt;0.1,"MARGINE CRITICO",IF($S178&lt;-SCONTO_MAX,"SCONTO OLTRE SOGLIA",IF($Z178&gt;0,"ORE OLTRE LA STIMA",IF($AI178&gt;ALLERTA_ORE,"CONSUMO ORE ELEVATO",IF(COUNTIFS(SAL!$B:$B,$A178,SAL!$K:$K,"EMETTIBILE")&gt;0,"SAL DA EMETTERE",IF(COUNTIFS(FASI!$B:$B,$A178,FASI!$H:$H,"&lt;"&amp;TODAY(),FASI!$L:$L,"&lt;1")&gt;0,"FASI IN RITARDO","OK"))))))))</f>
        <v/>
      </c>
    </row>
    <row r="179" spans="1:40" x14ac:dyDescent="0.3">
      <c r="A179" s="42"/>
      <c r="B179" s="42"/>
      <c r="C179" s="42"/>
      <c r="D179" s="42"/>
      <c r="E179" s="42"/>
      <c r="F179" s="42"/>
      <c r="G179" s="43"/>
      <c r="H179" s="43"/>
      <c r="I179" s="42"/>
      <c r="J179" s="44"/>
      <c r="K179" s="46"/>
      <c r="L179" s="34" t="str">
        <f t="shared" si="75"/>
        <v/>
      </c>
      <c r="M179" s="33" t="str">
        <f>IF($A179="","",SUMIFS(ASSEGNAZIONI!$F:$F,ASSEGNAZIONI!$B:$B,$A179))</f>
        <v/>
      </c>
      <c r="N179" s="34" t="str">
        <f>IF($A179="","",SUMIFS(ASSEGNAZIONI!$I:$I,ASSEGNAZIONI!$B:$B,$A179))</f>
        <v/>
      </c>
      <c r="O179" s="34" t="str">
        <f>IF($A179="","",SUMIFS(ASSEGNAZIONI!$J:$J,ASSEGNAZIONI!$B:$B,$A179))</f>
        <v/>
      </c>
      <c r="P179" s="34" t="str">
        <f t="shared" si="76"/>
        <v/>
      </c>
      <c r="Q179" s="44"/>
      <c r="R179" s="34" t="str">
        <f t="shared" si="77"/>
        <v/>
      </c>
      <c r="S179" s="35" t="str">
        <f t="shared" si="78"/>
        <v/>
      </c>
      <c r="T179" s="34" t="str">
        <f>IF($A179="","",SUMIFS(ODA!$R:$R,ODA!$B:$B,$A179))</f>
        <v/>
      </c>
      <c r="U179" s="34" t="str">
        <f>IF($A179="","",SUMIFS(ODA!$P:$P,ODA!$B:$B,$A179))</f>
        <v/>
      </c>
      <c r="V179" s="45" t="str">
        <f t="shared" si="79"/>
        <v/>
      </c>
      <c r="W179" s="33" t="str">
        <f>IF($A179="","",SUMIFS(ORE!$F:$F,ORE!$B:$B,$A179))</f>
        <v/>
      </c>
      <c r="X179" s="33" t="str">
        <f>IF($A179="","",SUMIFS(PREVISIONE_ORE!$G:$G,PREVISIONE_ORE!$D:$D,$A179,PREVISIONE_ORE!$K:$K,"Sì"))</f>
        <v/>
      </c>
      <c r="Y179" s="33" t="str">
        <f>IF($A179="","",IF(COUNTIFS(ASSEGNAZIONI!$B:$B,$A179)&gt;0,SUMIFS(ASSEGNAZIONI!$N:$N,ASSEGNAZIONI!$B:$B,$A179),MAX($W179,0)))</f>
        <v/>
      </c>
      <c r="Z179" s="33" t="str">
        <f t="shared" si="80"/>
        <v/>
      </c>
      <c r="AA179" s="34" t="str">
        <f>IF($A179="","",IF(COUNTIFS(ASSEGNAZIONI!$B:$B,$A179)&gt;0,SUMIFS(ASSEGNAZIONI!$P:$P,ASSEGNAZIONI!$B:$B,$A179),0))</f>
        <v/>
      </c>
      <c r="AB179" s="34" t="str">
        <f t="shared" si="81"/>
        <v/>
      </c>
      <c r="AC179" s="34" t="str">
        <f t="shared" si="82"/>
        <v/>
      </c>
      <c r="AD179" s="34" t="str">
        <f t="shared" si="83"/>
        <v/>
      </c>
      <c r="AE179" s="35" t="str">
        <f t="shared" si="84"/>
        <v/>
      </c>
      <c r="AF179" s="34" t="str">
        <f t="shared" si="85"/>
        <v/>
      </c>
      <c r="AG179" s="34" t="str">
        <f t="shared" si="86"/>
        <v/>
      </c>
      <c r="AH179" s="35" t="str">
        <f>IF($A179="","",IFERROR(AVERAGEIFS(FASI!$L:$L,FASI!$B:$B,$A179),0))</f>
        <v/>
      </c>
      <c r="AI179" s="35" t="str">
        <f t="shared" si="87"/>
        <v/>
      </c>
      <c r="AJ179" s="34" t="str">
        <f>IF($A179="","",SUMIFS(SAL!$H:$H,SAL!$B:$B,$A179,SAL!$O:$O,"Emessa")+SUMIFS(SAL!$H:$H,SAL!$B:$B,$A179,SAL!$O:$O,"Incassata")+SUMIFS(SAL!$H:$H,SAL!$B:$B,$A179,SAL!$O:$O,"Scaduta"))</f>
        <v/>
      </c>
      <c r="AK179" s="34" t="str">
        <f>IF($A179="","",SUMIFS(SAL!$H:$H,SAL!$B:$B,$A179,SAL!$O:$O,"Incassata"))</f>
        <v/>
      </c>
      <c r="AL179" s="34" t="str">
        <f t="shared" si="88"/>
        <v/>
      </c>
      <c r="AM179" s="34" t="str">
        <f t="shared" si="89"/>
        <v/>
      </c>
      <c r="AN179" s="36" t="str">
        <f ca="1">IF($A179="","",IF($M179=0,"RISORSE NON ASSEGNATE",IF($AE179&lt;0.1,"MARGINE CRITICO",IF($S179&lt;-SCONTO_MAX,"SCONTO OLTRE SOGLIA",IF($Z179&gt;0,"ORE OLTRE LA STIMA",IF($AI179&gt;ALLERTA_ORE,"CONSUMO ORE ELEVATO",IF(COUNTIFS(SAL!$B:$B,$A179,SAL!$K:$K,"EMETTIBILE")&gt;0,"SAL DA EMETTERE",IF(COUNTIFS(FASI!$B:$B,$A179,FASI!$H:$H,"&lt;"&amp;TODAY(),FASI!$L:$L,"&lt;1")&gt;0,"FASI IN RITARDO","OK"))))))))</f>
        <v/>
      </c>
    </row>
    <row r="180" spans="1:40" x14ac:dyDescent="0.3">
      <c r="A180" s="42"/>
      <c r="B180" s="42"/>
      <c r="C180" s="42"/>
      <c r="D180" s="42"/>
      <c r="E180" s="42"/>
      <c r="F180" s="42"/>
      <c r="G180" s="43"/>
      <c r="H180" s="43"/>
      <c r="I180" s="42"/>
      <c r="J180" s="44"/>
      <c r="K180" s="46"/>
      <c r="L180" s="34" t="str">
        <f t="shared" si="75"/>
        <v/>
      </c>
      <c r="M180" s="33" t="str">
        <f>IF($A180="","",SUMIFS(ASSEGNAZIONI!$F:$F,ASSEGNAZIONI!$B:$B,$A180))</f>
        <v/>
      </c>
      <c r="N180" s="34" t="str">
        <f>IF($A180="","",SUMIFS(ASSEGNAZIONI!$I:$I,ASSEGNAZIONI!$B:$B,$A180))</f>
        <v/>
      </c>
      <c r="O180" s="34" t="str">
        <f>IF($A180="","",SUMIFS(ASSEGNAZIONI!$J:$J,ASSEGNAZIONI!$B:$B,$A180))</f>
        <v/>
      </c>
      <c r="P180" s="34" t="str">
        <f t="shared" si="76"/>
        <v/>
      </c>
      <c r="Q180" s="44"/>
      <c r="R180" s="34" t="str">
        <f t="shared" si="77"/>
        <v/>
      </c>
      <c r="S180" s="35" t="str">
        <f t="shared" si="78"/>
        <v/>
      </c>
      <c r="T180" s="34" t="str">
        <f>IF($A180="","",SUMIFS(ODA!$R:$R,ODA!$B:$B,$A180))</f>
        <v/>
      </c>
      <c r="U180" s="34" t="str">
        <f>IF($A180="","",SUMIFS(ODA!$P:$P,ODA!$B:$B,$A180))</f>
        <v/>
      </c>
      <c r="V180" s="45" t="str">
        <f t="shared" si="79"/>
        <v/>
      </c>
      <c r="W180" s="33" t="str">
        <f>IF($A180="","",SUMIFS(ORE!$F:$F,ORE!$B:$B,$A180))</f>
        <v/>
      </c>
      <c r="X180" s="33" t="str">
        <f>IF($A180="","",SUMIFS(PREVISIONE_ORE!$G:$G,PREVISIONE_ORE!$D:$D,$A180,PREVISIONE_ORE!$K:$K,"Sì"))</f>
        <v/>
      </c>
      <c r="Y180" s="33" t="str">
        <f>IF($A180="","",IF(COUNTIFS(ASSEGNAZIONI!$B:$B,$A180)&gt;0,SUMIFS(ASSEGNAZIONI!$N:$N,ASSEGNAZIONI!$B:$B,$A180),MAX($W180,0)))</f>
        <v/>
      </c>
      <c r="Z180" s="33" t="str">
        <f t="shared" si="80"/>
        <v/>
      </c>
      <c r="AA180" s="34" t="str">
        <f>IF($A180="","",IF(COUNTIFS(ASSEGNAZIONI!$B:$B,$A180)&gt;0,SUMIFS(ASSEGNAZIONI!$P:$P,ASSEGNAZIONI!$B:$B,$A180),0))</f>
        <v/>
      </c>
      <c r="AB180" s="34" t="str">
        <f t="shared" si="81"/>
        <v/>
      </c>
      <c r="AC180" s="34" t="str">
        <f t="shared" si="82"/>
        <v/>
      </c>
      <c r="AD180" s="34" t="str">
        <f t="shared" si="83"/>
        <v/>
      </c>
      <c r="AE180" s="35" t="str">
        <f t="shared" si="84"/>
        <v/>
      </c>
      <c r="AF180" s="34" t="str">
        <f t="shared" si="85"/>
        <v/>
      </c>
      <c r="AG180" s="34" t="str">
        <f t="shared" si="86"/>
        <v/>
      </c>
      <c r="AH180" s="35" t="str">
        <f>IF($A180="","",IFERROR(AVERAGEIFS(FASI!$L:$L,FASI!$B:$B,$A180),0))</f>
        <v/>
      </c>
      <c r="AI180" s="35" t="str">
        <f t="shared" si="87"/>
        <v/>
      </c>
      <c r="AJ180" s="34" t="str">
        <f>IF($A180="","",SUMIFS(SAL!$H:$H,SAL!$B:$B,$A180,SAL!$O:$O,"Emessa")+SUMIFS(SAL!$H:$H,SAL!$B:$B,$A180,SAL!$O:$O,"Incassata")+SUMIFS(SAL!$H:$H,SAL!$B:$B,$A180,SAL!$O:$O,"Scaduta"))</f>
        <v/>
      </c>
      <c r="AK180" s="34" t="str">
        <f>IF($A180="","",SUMIFS(SAL!$H:$H,SAL!$B:$B,$A180,SAL!$O:$O,"Incassata"))</f>
        <v/>
      </c>
      <c r="AL180" s="34" t="str">
        <f t="shared" si="88"/>
        <v/>
      </c>
      <c r="AM180" s="34" t="str">
        <f t="shared" si="89"/>
        <v/>
      </c>
      <c r="AN180" s="36" t="str">
        <f ca="1">IF($A180="","",IF($M180=0,"RISORSE NON ASSEGNATE",IF($AE180&lt;0.1,"MARGINE CRITICO",IF($S180&lt;-SCONTO_MAX,"SCONTO OLTRE SOGLIA",IF($Z180&gt;0,"ORE OLTRE LA STIMA",IF($AI180&gt;ALLERTA_ORE,"CONSUMO ORE ELEVATO",IF(COUNTIFS(SAL!$B:$B,$A180,SAL!$K:$K,"EMETTIBILE")&gt;0,"SAL DA EMETTERE",IF(COUNTIFS(FASI!$B:$B,$A180,FASI!$H:$H,"&lt;"&amp;TODAY(),FASI!$L:$L,"&lt;1")&gt;0,"FASI IN RITARDO","OK"))))))))</f>
        <v/>
      </c>
    </row>
    <row r="181" spans="1:40" x14ac:dyDescent="0.3">
      <c r="A181" s="42"/>
      <c r="B181" s="42"/>
      <c r="C181" s="42"/>
      <c r="D181" s="42"/>
      <c r="E181" s="42"/>
      <c r="F181" s="42"/>
      <c r="G181" s="43"/>
      <c r="H181" s="43"/>
      <c r="I181" s="42"/>
      <c r="J181" s="44"/>
      <c r="K181" s="46"/>
      <c r="L181" s="34" t="str">
        <f t="shared" si="75"/>
        <v/>
      </c>
      <c r="M181" s="33" t="str">
        <f>IF($A181="","",SUMIFS(ASSEGNAZIONI!$F:$F,ASSEGNAZIONI!$B:$B,$A181))</f>
        <v/>
      </c>
      <c r="N181" s="34" t="str">
        <f>IF($A181="","",SUMIFS(ASSEGNAZIONI!$I:$I,ASSEGNAZIONI!$B:$B,$A181))</f>
        <v/>
      </c>
      <c r="O181" s="34" t="str">
        <f>IF($A181="","",SUMIFS(ASSEGNAZIONI!$J:$J,ASSEGNAZIONI!$B:$B,$A181))</f>
        <v/>
      </c>
      <c r="P181" s="34" t="str">
        <f t="shared" si="76"/>
        <v/>
      </c>
      <c r="Q181" s="44"/>
      <c r="R181" s="34" t="str">
        <f t="shared" si="77"/>
        <v/>
      </c>
      <c r="S181" s="35" t="str">
        <f t="shared" si="78"/>
        <v/>
      </c>
      <c r="T181" s="34" t="str">
        <f>IF($A181="","",SUMIFS(ODA!$R:$R,ODA!$B:$B,$A181))</f>
        <v/>
      </c>
      <c r="U181" s="34" t="str">
        <f>IF($A181="","",SUMIFS(ODA!$P:$P,ODA!$B:$B,$A181))</f>
        <v/>
      </c>
      <c r="V181" s="45" t="str">
        <f t="shared" si="79"/>
        <v/>
      </c>
      <c r="W181" s="33" t="str">
        <f>IF($A181="","",SUMIFS(ORE!$F:$F,ORE!$B:$B,$A181))</f>
        <v/>
      </c>
      <c r="X181" s="33" t="str">
        <f>IF($A181="","",SUMIFS(PREVISIONE_ORE!$G:$G,PREVISIONE_ORE!$D:$D,$A181,PREVISIONE_ORE!$K:$K,"Sì"))</f>
        <v/>
      </c>
      <c r="Y181" s="33" t="str">
        <f>IF($A181="","",IF(COUNTIFS(ASSEGNAZIONI!$B:$B,$A181)&gt;0,SUMIFS(ASSEGNAZIONI!$N:$N,ASSEGNAZIONI!$B:$B,$A181),MAX($W181,0)))</f>
        <v/>
      </c>
      <c r="Z181" s="33" t="str">
        <f t="shared" si="80"/>
        <v/>
      </c>
      <c r="AA181" s="34" t="str">
        <f>IF($A181="","",IF(COUNTIFS(ASSEGNAZIONI!$B:$B,$A181)&gt;0,SUMIFS(ASSEGNAZIONI!$P:$P,ASSEGNAZIONI!$B:$B,$A181),0))</f>
        <v/>
      </c>
      <c r="AB181" s="34" t="str">
        <f t="shared" si="81"/>
        <v/>
      </c>
      <c r="AC181" s="34" t="str">
        <f t="shared" si="82"/>
        <v/>
      </c>
      <c r="AD181" s="34" t="str">
        <f t="shared" si="83"/>
        <v/>
      </c>
      <c r="AE181" s="35" t="str">
        <f t="shared" si="84"/>
        <v/>
      </c>
      <c r="AF181" s="34" t="str">
        <f t="shared" si="85"/>
        <v/>
      </c>
      <c r="AG181" s="34" t="str">
        <f t="shared" si="86"/>
        <v/>
      </c>
      <c r="AH181" s="35" t="str">
        <f>IF($A181="","",IFERROR(AVERAGEIFS(FASI!$L:$L,FASI!$B:$B,$A181),0))</f>
        <v/>
      </c>
      <c r="AI181" s="35" t="str">
        <f t="shared" si="87"/>
        <v/>
      </c>
      <c r="AJ181" s="34" t="str">
        <f>IF($A181="","",SUMIFS(SAL!$H:$H,SAL!$B:$B,$A181,SAL!$O:$O,"Emessa")+SUMIFS(SAL!$H:$H,SAL!$B:$B,$A181,SAL!$O:$O,"Incassata")+SUMIFS(SAL!$H:$H,SAL!$B:$B,$A181,SAL!$O:$O,"Scaduta"))</f>
        <v/>
      </c>
      <c r="AK181" s="34" t="str">
        <f>IF($A181="","",SUMIFS(SAL!$H:$H,SAL!$B:$B,$A181,SAL!$O:$O,"Incassata"))</f>
        <v/>
      </c>
      <c r="AL181" s="34" t="str">
        <f t="shared" si="88"/>
        <v/>
      </c>
      <c r="AM181" s="34" t="str">
        <f t="shared" si="89"/>
        <v/>
      </c>
      <c r="AN181" s="36" t="str">
        <f ca="1">IF($A181="","",IF($M181=0,"RISORSE NON ASSEGNATE",IF($AE181&lt;0.1,"MARGINE CRITICO",IF($S181&lt;-SCONTO_MAX,"SCONTO OLTRE SOGLIA",IF($Z181&gt;0,"ORE OLTRE LA STIMA",IF($AI181&gt;ALLERTA_ORE,"CONSUMO ORE ELEVATO",IF(COUNTIFS(SAL!$B:$B,$A181,SAL!$K:$K,"EMETTIBILE")&gt;0,"SAL DA EMETTERE",IF(COUNTIFS(FASI!$B:$B,$A181,FASI!$H:$H,"&lt;"&amp;TODAY(),FASI!$L:$L,"&lt;1")&gt;0,"FASI IN RITARDO","OK"))))))))</f>
        <v/>
      </c>
    </row>
    <row r="182" spans="1:40" x14ac:dyDescent="0.3">
      <c r="A182" s="42"/>
      <c r="B182" s="42"/>
      <c r="C182" s="42"/>
      <c r="D182" s="42"/>
      <c r="E182" s="42"/>
      <c r="F182" s="42"/>
      <c r="G182" s="43"/>
      <c r="H182" s="43"/>
      <c r="I182" s="42"/>
      <c r="J182" s="44"/>
      <c r="K182" s="46"/>
      <c r="L182" s="34" t="str">
        <f t="shared" si="75"/>
        <v/>
      </c>
      <c r="M182" s="33" t="str">
        <f>IF($A182="","",SUMIFS(ASSEGNAZIONI!$F:$F,ASSEGNAZIONI!$B:$B,$A182))</f>
        <v/>
      </c>
      <c r="N182" s="34" t="str">
        <f>IF($A182="","",SUMIFS(ASSEGNAZIONI!$I:$I,ASSEGNAZIONI!$B:$B,$A182))</f>
        <v/>
      </c>
      <c r="O182" s="34" t="str">
        <f>IF($A182="","",SUMIFS(ASSEGNAZIONI!$J:$J,ASSEGNAZIONI!$B:$B,$A182))</f>
        <v/>
      </c>
      <c r="P182" s="34" t="str">
        <f t="shared" si="76"/>
        <v/>
      </c>
      <c r="Q182" s="44"/>
      <c r="R182" s="34" t="str">
        <f t="shared" si="77"/>
        <v/>
      </c>
      <c r="S182" s="35" t="str">
        <f t="shared" si="78"/>
        <v/>
      </c>
      <c r="T182" s="34" t="str">
        <f>IF($A182="","",SUMIFS(ODA!$R:$R,ODA!$B:$B,$A182))</f>
        <v/>
      </c>
      <c r="U182" s="34" t="str">
        <f>IF($A182="","",SUMIFS(ODA!$P:$P,ODA!$B:$B,$A182))</f>
        <v/>
      </c>
      <c r="V182" s="45" t="str">
        <f t="shared" si="79"/>
        <v/>
      </c>
      <c r="W182" s="33" t="str">
        <f>IF($A182="","",SUMIFS(ORE!$F:$F,ORE!$B:$B,$A182))</f>
        <v/>
      </c>
      <c r="X182" s="33" t="str">
        <f>IF($A182="","",SUMIFS(PREVISIONE_ORE!$G:$G,PREVISIONE_ORE!$D:$D,$A182,PREVISIONE_ORE!$K:$K,"Sì"))</f>
        <v/>
      </c>
      <c r="Y182" s="33" t="str">
        <f>IF($A182="","",IF(COUNTIFS(ASSEGNAZIONI!$B:$B,$A182)&gt;0,SUMIFS(ASSEGNAZIONI!$N:$N,ASSEGNAZIONI!$B:$B,$A182),MAX($W182,0)))</f>
        <v/>
      </c>
      <c r="Z182" s="33" t="str">
        <f t="shared" si="80"/>
        <v/>
      </c>
      <c r="AA182" s="34" t="str">
        <f>IF($A182="","",IF(COUNTIFS(ASSEGNAZIONI!$B:$B,$A182)&gt;0,SUMIFS(ASSEGNAZIONI!$P:$P,ASSEGNAZIONI!$B:$B,$A182),0))</f>
        <v/>
      </c>
      <c r="AB182" s="34" t="str">
        <f t="shared" si="81"/>
        <v/>
      </c>
      <c r="AC182" s="34" t="str">
        <f t="shared" si="82"/>
        <v/>
      </c>
      <c r="AD182" s="34" t="str">
        <f t="shared" si="83"/>
        <v/>
      </c>
      <c r="AE182" s="35" t="str">
        <f t="shared" si="84"/>
        <v/>
      </c>
      <c r="AF182" s="34" t="str">
        <f t="shared" si="85"/>
        <v/>
      </c>
      <c r="AG182" s="34" t="str">
        <f t="shared" si="86"/>
        <v/>
      </c>
      <c r="AH182" s="35" t="str">
        <f>IF($A182="","",IFERROR(AVERAGEIFS(FASI!$L:$L,FASI!$B:$B,$A182),0))</f>
        <v/>
      </c>
      <c r="AI182" s="35" t="str">
        <f t="shared" si="87"/>
        <v/>
      </c>
      <c r="AJ182" s="34" t="str">
        <f>IF($A182="","",SUMIFS(SAL!$H:$H,SAL!$B:$B,$A182,SAL!$O:$O,"Emessa")+SUMIFS(SAL!$H:$H,SAL!$B:$B,$A182,SAL!$O:$O,"Incassata")+SUMIFS(SAL!$H:$H,SAL!$B:$B,$A182,SAL!$O:$O,"Scaduta"))</f>
        <v/>
      </c>
      <c r="AK182" s="34" t="str">
        <f>IF($A182="","",SUMIFS(SAL!$H:$H,SAL!$B:$B,$A182,SAL!$O:$O,"Incassata"))</f>
        <v/>
      </c>
      <c r="AL182" s="34" t="str">
        <f t="shared" si="88"/>
        <v/>
      </c>
      <c r="AM182" s="34" t="str">
        <f t="shared" si="89"/>
        <v/>
      </c>
      <c r="AN182" s="36" t="str">
        <f ca="1">IF($A182="","",IF($M182=0,"RISORSE NON ASSEGNATE",IF($AE182&lt;0.1,"MARGINE CRITICO",IF($S182&lt;-SCONTO_MAX,"SCONTO OLTRE SOGLIA",IF($Z182&gt;0,"ORE OLTRE LA STIMA",IF($AI182&gt;ALLERTA_ORE,"CONSUMO ORE ELEVATO",IF(COUNTIFS(SAL!$B:$B,$A182,SAL!$K:$K,"EMETTIBILE")&gt;0,"SAL DA EMETTERE",IF(COUNTIFS(FASI!$B:$B,$A182,FASI!$H:$H,"&lt;"&amp;TODAY(),FASI!$L:$L,"&lt;1")&gt;0,"FASI IN RITARDO","OK"))))))))</f>
        <v/>
      </c>
    </row>
    <row r="183" spans="1:40" x14ac:dyDescent="0.3">
      <c r="A183" s="42"/>
      <c r="B183" s="42"/>
      <c r="C183" s="42"/>
      <c r="D183" s="42"/>
      <c r="E183" s="42"/>
      <c r="F183" s="42"/>
      <c r="G183" s="43"/>
      <c r="H183" s="43"/>
      <c r="I183" s="42"/>
      <c r="J183" s="44"/>
      <c r="K183" s="46"/>
      <c r="L183" s="34" t="str">
        <f t="shared" si="75"/>
        <v/>
      </c>
      <c r="M183" s="33" t="str">
        <f>IF($A183="","",SUMIFS(ASSEGNAZIONI!$F:$F,ASSEGNAZIONI!$B:$B,$A183))</f>
        <v/>
      </c>
      <c r="N183" s="34" t="str">
        <f>IF($A183="","",SUMIFS(ASSEGNAZIONI!$I:$I,ASSEGNAZIONI!$B:$B,$A183))</f>
        <v/>
      </c>
      <c r="O183" s="34" t="str">
        <f>IF($A183="","",SUMIFS(ASSEGNAZIONI!$J:$J,ASSEGNAZIONI!$B:$B,$A183))</f>
        <v/>
      </c>
      <c r="P183" s="34" t="str">
        <f t="shared" si="76"/>
        <v/>
      </c>
      <c r="Q183" s="44"/>
      <c r="R183" s="34" t="str">
        <f t="shared" si="77"/>
        <v/>
      </c>
      <c r="S183" s="35" t="str">
        <f t="shared" si="78"/>
        <v/>
      </c>
      <c r="T183" s="34" t="str">
        <f>IF($A183="","",SUMIFS(ODA!$R:$R,ODA!$B:$B,$A183))</f>
        <v/>
      </c>
      <c r="U183" s="34" t="str">
        <f>IF($A183="","",SUMIFS(ODA!$P:$P,ODA!$B:$B,$A183))</f>
        <v/>
      </c>
      <c r="V183" s="45" t="str">
        <f t="shared" si="79"/>
        <v/>
      </c>
      <c r="W183" s="33" t="str">
        <f>IF($A183="","",SUMIFS(ORE!$F:$F,ORE!$B:$B,$A183))</f>
        <v/>
      </c>
      <c r="X183" s="33" t="str">
        <f>IF($A183="","",SUMIFS(PREVISIONE_ORE!$G:$G,PREVISIONE_ORE!$D:$D,$A183,PREVISIONE_ORE!$K:$K,"Sì"))</f>
        <v/>
      </c>
      <c r="Y183" s="33" t="str">
        <f>IF($A183="","",IF(COUNTIFS(ASSEGNAZIONI!$B:$B,$A183)&gt;0,SUMIFS(ASSEGNAZIONI!$N:$N,ASSEGNAZIONI!$B:$B,$A183),MAX($W183,0)))</f>
        <v/>
      </c>
      <c r="Z183" s="33" t="str">
        <f t="shared" si="80"/>
        <v/>
      </c>
      <c r="AA183" s="34" t="str">
        <f>IF($A183="","",IF(COUNTIFS(ASSEGNAZIONI!$B:$B,$A183)&gt;0,SUMIFS(ASSEGNAZIONI!$P:$P,ASSEGNAZIONI!$B:$B,$A183),0))</f>
        <v/>
      </c>
      <c r="AB183" s="34" t="str">
        <f t="shared" si="81"/>
        <v/>
      </c>
      <c r="AC183" s="34" t="str">
        <f t="shared" si="82"/>
        <v/>
      </c>
      <c r="AD183" s="34" t="str">
        <f t="shared" si="83"/>
        <v/>
      </c>
      <c r="AE183" s="35" t="str">
        <f t="shared" si="84"/>
        <v/>
      </c>
      <c r="AF183" s="34" t="str">
        <f t="shared" si="85"/>
        <v/>
      </c>
      <c r="AG183" s="34" t="str">
        <f t="shared" si="86"/>
        <v/>
      </c>
      <c r="AH183" s="35" t="str">
        <f>IF($A183="","",IFERROR(AVERAGEIFS(FASI!$L:$L,FASI!$B:$B,$A183),0))</f>
        <v/>
      </c>
      <c r="AI183" s="35" t="str">
        <f t="shared" si="87"/>
        <v/>
      </c>
      <c r="AJ183" s="34" t="str">
        <f>IF($A183="","",SUMIFS(SAL!$H:$H,SAL!$B:$B,$A183,SAL!$O:$O,"Emessa")+SUMIFS(SAL!$H:$H,SAL!$B:$B,$A183,SAL!$O:$O,"Incassata")+SUMIFS(SAL!$H:$H,SAL!$B:$B,$A183,SAL!$O:$O,"Scaduta"))</f>
        <v/>
      </c>
      <c r="AK183" s="34" t="str">
        <f>IF($A183="","",SUMIFS(SAL!$H:$H,SAL!$B:$B,$A183,SAL!$O:$O,"Incassata"))</f>
        <v/>
      </c>
      <c r="AL183" s="34" t="str">
        <f t="shared" si="88"/>
        <v/>
      </c>
      <c r="AM183" s="34" t="str">
        <f t="shared" si="89"/>
        <v/>
      </c>
      <c r="AN183" s="36" t="str">
        <f ca="1">IF($A183="","",IF($M183=0,"RISORSE NON ASSEGNATE",IF($AE183&lt;0.1,"MARGINE CRITICO",IF($S183&lt;-SCONTO_MAX,"SCONTO OLTRE SOGLIA",IF($Z183&gt;0,"ORE OLTRE LA STIMA",IF($AI183&gt;ALLERTA_ORE,"CONSUMO ORE ELEVATO",IF(COUNTIFS(SAL!$B:$B,$A183,SAL!$K:$K,"EMETTIBILE")&gt;0,"SAL DA EMETTERE",IF(COUNTIFS(FASI!$B:$B,$A183,FASI!$H:$H,"&lt;"&amp;TODAY(),FASI!$L:$L,"&lt;1")&gt;0,"FASI IN RITARDO","OK"))))))))</f>
        <v/>
      </c>
    </row>
    <row r="184" spans="1:40" x14ac:dyDescent="0.3">
      <c r="A184" s="42"/>
      <c r="B184" s="42"/>
      <c r="C184" s="42"/>
      <c r="D184" s="42"/>
      <c r="E184" s="42"/>
      <c r="F184" s="42"/>
      <c r="G184" s="43"/>
      <c r="H184" s="43"/>
      <c r="I184" s="42"/>
      <c r="J184" s="44"/>
      <c r="K184" s="46"/>
      <c r="L184" s="34" t="str">
        <f t="shared" si="75"/>
        <v/>
      </c>
      <c r="M184" s="33" t="str">
        <f>IF($A184="","",SUMIFS(ASSEGNAZIONI!$F:$F,ASSEGNAZIONI!$B:$B,$A184))</f>
        <v/>
      </c>
      <c r="N184" s="34" t="str">
        <f>IF($A184="","",SUMIFS(ASSEGNAZIONI!$I:$I,ASSEGNAZIONI!$B:$B,$A184))</f>
        <v/>
      </c>
      <c r="O184" s="34" t="str">
        <f>IF($A184="","",SUMIFS(ASSEGNAZIONI!$J:$J,ASSEGNAZIONI!$B:$B,$A184))</f>
        <v/>
      </c>
      <c r="P184" s="34" t="str">
        <f t="shared" si="76"/>
        <v/>
      </c>
      <c r="Q184" s="44"/>
      <c r="R184" s="34" t="str">
        <f t="shared" si="77"/>
        <v/>
      </c>
      <c r="S184" s="35" t="str">
        <f t="shared" si="78"/>
        <v/>
      </c>
      <c r="T184" s="34" t="str">
        <f>IF($A184="","",SUMIFS(ODA!$R:$R,ODA!$B:$B,$A184))</f>
        <v/>
      </c>
      <c r="U184" s="34" t="str">
        <f>IF($A184="","",SUMIFS(ODA!$P:$P,ODA!$B:$B,$A184))</f>
        <v/>
      </c>
      <c r="V184" s="45" t="str">
        <f t="shared" si="79"/>
        <v/>
      </c>
      <c r="W184" s="33" t="str">
        <f>IF($A184="","",SUMIFS(ORE!$F:$F,ORE!$B:$B,$A184))</f>
        <v/>
      </c>
      <c r="X184" s="33" t="str">
        <f>IF($A184="","",SUMIFS(PREVISIONE_ORE!$G:$G,PREVISIONE_ORE!$D:$D,$A184,PREVISIONE_ORE!$K:$K,"Sì"))</f>
        <v/>
      </c>
      <c r="Y184" s="33" t="str">
        <f>IF($A184="","",IF(COUNTIFS(ASSEGNAZIONI!$B:$B,$A184)&gt;0,SUMIFS(ASSEGNAZIONI!$N:$N,ASSEGNAZIONI!$B:$B,$A184),MAX($W184,0)))</f>
        <v/>
      </c>
      <c r="Z184" s="33" t="str">
        <f t="shared" si="80"/>
        <v/>
      </c>
      <c r="AA184" s="34" t="str">
        <f>IF($A184="","",IF(COUNTIFS(ASSEGNAZIONI!$B:$B,$A184)&gt;0,SUMIFS(ASSEGNAZIONI!$P:$P,ASSEGNAZIONI!$B:$B,$A184),0))</f>
        <v/>
      </c>
      <c r="AB184" s="34" t="str">
        <f t="shared" si="81"/>
        <v/>
      </c>
      <c r="AC184" s="34" t="str">
        <f t="shared" si="82"/>
        <v/>
      </c>
      <c r="AD184" s="34" t="str">
        <f t="shared" si="83"/>
        <v/>
      </c>
      <c r="AE184" s="35" t="str">
        <f t="shared" si="84"/>
        <v/>
      </c>
      <c r="AF184" s="34" t="str">
        <f t="shared" si="85"/>
        <v/>
      </c>
      <c r="AG184" s="34" t="str">
        <f t="shared" si="86"/>
        <v/>
      </c>
      <c r="AH184" s="35" t="str">
        <f>IF($A184="","",IFERROR(AVERAGEIFS(FASI!$L:$L,FASI!$B:$B,$A184),0))</f>
        <v/>
      </c>
      <c r="AI184" s="35" t="str">
        <f t="shared" si="87"/>
        <v/>
      </c>
      <c r="AJ184" s="34" t="str">
        <f>IF($A184="","",SUMIFS(SAL!$H:$H,SAL!$B:$B,$A184,SAL!$O:$O,"Emessa")+SUMIFS(SAL!$H:$H,SAL!$B:$B,$A184,SAL!$O:$O,"Incassata")+SUMIFS(SAL!$H:$H,SAL!$B:$B,$A184,SAL!$O:$O,"Scaduta"))</f>
        <v/>
      </c>
      <c r="AK184" s="34" t="str">
        <f>IF($A184="","",SUMIFS(SAL!$H:$H,SAL!$B:$B,$A184,SAL!$O:$O,"Incassata"))</f>
        <v/>
      </c>
      <c r="AL184" s="34" t="str">
        <f t="shared" si="88"/>
        <v/>
      </c>
      <c r="AM184" s="34" t="str">
        <f t="shared" si="89"/>
        <v/>
      </c>
      <c r="AN184" s="36" t="str">
        <f ca="1">IF($A184="","",IF($M184=0,"RISORSE NON ASSEGNATE",IF($AE184&lt;0.1,"MARGINE CRITICO",IF($S184&lt;-SCONTO_MAX,"SCONTO OLTRE SOGLIA",IF($Z184&gt;0,"ORE OLTRE LA STIMA",IF($AI184&gt;ALLERTA_ORE,"CONSUMO ORE ELEVATO",IF(COUNTIFS(SAL!$B:$B,$A184,SAL!$K:$K,"EMETTIBILE")&gt;0,"SAL DA EMETTERE",IF(COUNTIFS(FASI!$B:$B,$A184,FASI!$H:$H,"&lt;"&amp;TODAY(),FASI!$L:$L,"&lt;1")&gt;0,"FASI IN RITARDO","OK"))))))))</f>
        <v/>
      </c>
    </row>
    <row r="185" spans="1:40" x14ac:dyDescent="0.3">
      <c r="A185" s="42"/>
      <c r="B185" s="42"/>
      <c r="C185" s="42"/>
      <c r="D185" s="42"/>
      <c r="E185" s="42"/>
      <c r="F185" s="42"/>
      <c r="G185" s="43"/>
      <c r="H185" s="43"/>
      <c r="I185" s="42"/>
      <c r="J185" s="44"/>
      <c r="K185" s="46"/>
      <c r="L185" s="34" t="str">
        <f t="shared" si="75"/>
        <v/>
      </c>
      <c r="M185" s="33" t="str">
        <f>IF($A185="","",SUMIFS(ASSEGNAZIONI!$F:$F,ASSEGNAZIONI!$B:$B,$A185))</f>
        <v/>
      </c>
      <c r="N185" s="34" t="str">
        <f>IF($A185="","",SUMIFS(ASSEGNAZIONI!$I:$I,ASSEGNAZIONI!$B:$B,$A185))</f>
        <v/>
      </c>
      <c r="O185" s="34" t="str">
        <f>IF($A185="","",SUMIFS(ASSEGNAZIONI!$J:$J,ASSEGNAZIONI!$B:$B,$A185))</f>
        <v/>
      </c>
      <c r="P185" s="34" t="str">
        <f t="shared" si="76"/>
        <v/>
      </c>
      <c r="Q185" s="44"/>
      <c r="R185" s="34" t="str">
        <f t="shared" si="77"/>
        <v/>
      </c>
      <c r="S185" s="35" t="str">
        <f t="shared" si="78"/>
        <v/>
      </c>
      <c r="T185" s="34" t="str">
        <f>IF($A185="","",SUMIFS(ODA!$R:$R,ODA!$B:$B,$A185))</f>
        <v/>
      </c>
      <c r="U185" s="34" t="str">
        <f>IF($A185="","",SUMIFS(ODA!$P:$P,ODA!$B:$B,$A185))</f>
        <v/>
      </c>
      <c r="V185" s="45" t="str">
        <f t="shared" si="79"/>
        <v/>
      </c>
      <c r="W185" s="33" t="str">
        <f>IF($A185="","",SUMIFS(ORE!$F:$F,ORE!$B:$B,$A185))</f>
        <v/>
      </c>
      <c r="X185" s="33" t="str">
        <f>IF($A185="","",SUMIFS(PREVISIONE_ORE!$G:$G,PREVISIONE_ORE!$D:$D,$A185,PREVISIONE_ORE!$K:$K,"Sì"))</f>
        <v/>
      </c>
      <c r="Y185" s="33" t="str">
        <f>IF($A185="","",IF(COUNTIFS(ASSEGNAZIONI!$B:$B,$A185)&gt;0,SUMIFS(ASSEGNAZIONI!$N:$N,ASSEGNAZIONI!$B:$B,$A185),MAX($W185,0)))</f>
        <v/>
      </c>
      <c r="Z185" s="33" t="str">
        <f t="shared" si="80"/>
        <v/>
      </c>
      <c r="AA185" s="34" t="str">
        <f>IF($A185="","",IF(COUNTIFS(ASSEGNAZIONI!$B:$B,$A185)&gt;0,SUMIFS(ASSEGNAZIONI!$P:$P,ASSEGNAZIONI!$B:$B,$A185),0))</f>
        <v/>
      </c>
      <c r="AB185" s="34" t="str">
        <f t="shared" si="81"/>
        <v/>
      </c>
      <c r="AC185" s="34" t="str">
        <f t="shared" si="82"/>
        <v/>
      </c>
      <c r="AD185" s="34" t="str">
        <f t="shared" si="83"/>
        <v/>
      </c>
      <c r="AE185" s="35" t="str">
        <f t="shared" si="84"/>
        <v/>
      </c>
      <c r="AF185" s="34" t="str">
        <f t="shared" si="85"/>
        <v/>
      </c>
      <c r="AG185" s="34" t="str">
        <f t="shared" si="86"/>
        <v/>
      </c>
      <c r="AH185" s="35" t="str">
        <f>IF($A185="","",IFERROR(AVERAGEIFS(FASI!$L:$L,FASI!$B:$B,$A185),0))</f>
        <v/>
      </c>
      <c r="AI185" s="35" t="str">
        <f t="shared" si="87"/>
        <v/>
      </c>
      <c r="AJ185" s="34" t="str">
        <f>IF($A185="","",SUMIFS(SAL!$H:$H,SAL!$B:$B,$A185,SAL!$O:$O,"Emessa")+SUMIFS(SAL!$H:$H,SAL!$B:$B,$A185,SAL!$O:$O,"Incassata")+SUMIFS(SAL!$H:$H,SAL!$B:$B,$A185,SAL!$O:$O,"Scaduta"))</f>
        <v/>
      </c>
      <c r="AK185" s="34" t="str">
        <f>IF($A185="","",SUMIFS(SAL!$H:$H,SAL!$B:$B,$A185,SAL!$O:$O,"Incassata"))</f>
        <v/>
      </c>
      <c r="AL185" s="34" t="str">
        <f t="shared" si="88"/>
        <v/>
      </c>
      <c r="AM185" s="34" t="str">
        <f t="shared" si="89"/>
        <v/>
      </c>
      <c r="AN185" s="36" t="str">
        <f ca="1">IF($A185="","",IF($M185=0,"RISORSE NON ASSEGNATE",IF($AE185&lt;0.1,"MARGINE CRITICO",IF($S185&lt;-SCONTO_MAX,"SCONTO OLTRE SOGLIA",IF($Z185&gt;0,"ORE OLTRE LA STIMA",IF($AI185&gt;ALLERTA_ORE,"CONSUMO ORE ELEVATO",IF(COUNTIFS(SAL!$B:$B,$A185,SAL!$K:$K,"EMETTIBILE")&gt;0,"SAL DA EMETTERE",IF(COUNTIFS(FASI!$B:$B,$A185,FASI!$H:$H,"&lt;"&amp;TODAY(),FASI!$L:$L,"&lt;1")&gt;0,"FASI IN RITARDO","OK"))))))))</f>
        <v/>
      </c>
    </row>
    <row r="186" spans="1:40" x14ac:dyDescent="0.3">
      <c r="A186" s="42"/>
      <c r="B186" s="42"/>
      <c r="C186" s="42"/>
      <c r="D186" s="42"/>
      <c r="E186" s="42"/>
      <c r="F186" s="42"/>
      <c r="G186" s="43"/>
      <c r="H186" s="43"/>
      <c r="I186" s="42"/>
      <c r="J186" s="44"/>
      <c r="K186" s="46"/>
      <c r="L186" s="34" t="str">
        <f t="shared" si="75"/>
        <v/>
      </c>
      <c r="M186" s="33" t="str">
        <f>IF($A186="","",SUMIFS(ASSEGNAZIONI!$F:$F,ASSEGNAZIONI!$B:$B,$A186))</f>
        <v/>
      </c>
      <c r="N186" s="34" t="str">
        <f>IF($A186="","",SUMIFS(ASSEGNAZIONI!$I:$I,ASSEGNAZIONI!$B:$B,$A186))</f>
        <v/>
      </c>
      <c r="O186" s="34" t="str">
        <f>IF($A186="","",SUMIFS(ASSEGNAZIONI!$J:$J,ASSEGNAZIONI!$B:$B,$A186))</f>
        <v/>
      </c>
      <c r="P186" s="34" t="str">
        <f t="shared" si="76"/>
        <v/>
      </c>
      <c r="Q186" s="44"/>
      <c r="R186" s="34" t="str">
        <f t="shared" si="77"/>
        <v/>
      </c>
      <c r="S186" s="35" t="str">
        <f t="shared" si="78"/>
        <v/>
      </c>
      <c r="T186" s="34" t="str">
        <f>IF($A186="","",SUMIFS(ODA!$R:$R,ODA!$B:$B,$A186))</f>
        <v/>
      </c>
      <c r="U186" s="34" t="str">
        <f>IF($A186="","",SUMIFS(ODA!$P:$P,ODA!$B:$B,$A186))</f>
        <v/>
      </c>
      <c r="V186" s="45" t="str">
        <f t="shared" si="79"/>
        <v/>
      </c>
      <c r="W186" s="33" t="str">
        <f>IF($A186="","",SUMIFS(ORE!$F:$F,ORE!$B:$B,$A186))</f>
        <v/>
      </c>
      <c r="X186" s="33" t="str">
        <f>IF($A186="","",SUMIFS(PREVISIONE_ORE!$G:$G,PREVISIONE_ORE!$D:$D,$A186,PREVISIONE_ORE!$K:$K,"Sì"))</f>
        <v/>
      </c>
      <c r="Y186" s="33" t="str">
        <f>IF($A186="","",IF(COUNTIFS(ASSEGNAZIONI!$B:$B,$A186)&gt;0,SUMIFS(ASSEGNAZIONI!$N:$N,ASSEGNAZIONI!$B:$B,$A186),MAX($W186,0)))</f>
        <v/>
      </c>
      <c r="Z186" s="33" t="str">
        <f t="shared" si="80"/>
        <v/>
      </c>
      <c r="AA186" s="34" t="str">
        <f>IF($A186="","",IF(COUNTIFS(ASSEGNAZIONI!$B:$B,$A186)&gt;0,SUMIFS(ASSEGNAZIONI!$P:$P,ASSEGNAZIONI!$B:$B,$A186),0))</f>
        <v/>
      </c>
      <c r="AB186" s="34" t="str">
        <f t="shared" si="81"/>
        <v/>
      </c>
      <c r="AC186" s="34" t="str">
        <f t="shared" si="82"/>
        <v/>
      </c>
      <c r="AD186" s="34" t="str">
        <f t="shared" si="83"/>
        <v/>
      </c>
      <c r="AE186" s="35" t="str">
        <f t="shared" si="84"/>
        <v/>
      </c>
      <c r="AF186" s="34" t="str">
        <f t="shared" si="85"/>
        <v/>
      </c>
      <c r="AG186" s="34" t="str">
        <f t="shared" si="86"/>
        <v/>
      </c>
      <c r="AH186" s="35" t="str">
        <f>IF($A186="","",IFERROR(AVERAGEIFS(FASI!$L:$L,FASI!$B:$B,$A186),0))</f>
        <v/>
      </c>
      <c r="AI186" s="35" t="str">
        <f t="shared" si="87"/>
        <v/>
      </c>
      <c r="AJ186" s="34" t="str">
        <f>IF($A186="","",SUMIFS(SAL!$H:$H,SAL!$B:$B,$A186,SAL!$O:$O,"Emessa")+SUMIFS(SAL!$H:$H,SAL!$B:$B,$A186,SAL!$O:$O,"Incassata")+SUMIFS(SAL!$H:$H,SAL!$B:$B,$A186,SAL!$O:$O,"Scaduta"))</f>
        <v/>
      </c>
      <c r="AK186" s="34" t="str">
        <f>IF($A186="","",SUMIFS(SAL!$H:$H,SAL!$B:$B,$A186,SAL!$O:$O,"Incassata"))</f>
        <v/>
      </c>
      <c r="AL186" s="34" t="str">
        <f t="shared" si="88"/>
        <v/>
      </c>
      <c r="AM186" s="34" t="str">
        <f t="shared" si="89"/>
        <v/>
      </c>
      <c r="AN186" s="36" t="str">
        <f ca="1">IF($A186="","",IF($M186=0,"RISORSE NON ASSEGNATE",IF($AE186&lt;0.1,"MARGINE CRITICO",IF($S186&lt;-SCONTO_MAX,"SCONTO OLTRE SOGLIA",IF($Z186&gt;0,"ORE OLTRE LA STIMA",IF($AI186&gt;ALLERTA_ORE,"CONSUMO ORE ELEVATO",IF(COUNTIFS(SAL!$B:$B,$A186,SAL!$K:$K,"EMETTIBILE")&gt;0,"SAL DA EMETTERE",IF(COUNTIFS(FASI!$B:$B,$A186,FASI!$H:$H,"&lt;"&amp;TODAY(),FASI!$L:$L,"&lt;1")&gt;0,"FASI IN RITARDO","OK"))))))))</f>
        <v/>
      </c>
    </row>
    <row r="187" spans="1:40" x14ac:dyDescent="0.3">
      <c r="A187" s="42"/>
      <c r="B187" s="42"/>
      <c r="C187" s="42"/>
      <c r="D187" s="42"/>
      <c r="E187" s="42"/>
      <c r="F187" s="42"/>
      <c r="G187" s="43"/>
      <c r="H187" s="43"/>
      <c r="I187" s="42"/>
      <c r="J187" s="44"/>
      <c r="K187" s="46"/>
      <c r="L187" s="34" t="str">
        <f t="shared" si="75"/>
        <v/>
      </c>
      <c r="M187" s="33" t="str">
        <f>IF($A187="","",SUMIFS(ASSEGNAZIONI!$F:$F,ASSEGNAZIONI!$B:$B,$A187))</f>
        <v/>
      </c>
      <c r="N187" s="34" t="str">
        <f>IF($A187="","",SUMIFS(ASSEGNAZIONI!$I:$I,ASSEGNAZIONI!$B:$B,$A187))</f>
        <v/>
      </c>
      <c r="O187" s="34" t="str">
        <f>IF($A187="","",SUMIFS(ASSEGNAZIONI!$J:$J,ASSEGNAZIONI!$B:$B,$A187))</f>
        <v/>
      </c>
      <c r="P187" s="34" t="str">
        <f t="shared" si="76"/>
        <v/>
      </c>
      <c r="Q187" s="44"/>
      <c r="R187" s="34" t="str">
        <f t="shared" si="77"/>
        <v/>
      </c>
      <c r="S187" s="35" t="str">
        <f t="shared" si="78"/>
        <v/>
      </c>
      <c r="T187" s="34" t="str">
        <f>IF($A187="","",SUMIFS(ODA!$R:$R,ODA!$B:$B,$A187))</f>
        <v/>
      </c>
      <c r="U187" s="34" t="str">
        <f>IF($A187="","",SUMIFS(ODA!$P:$P,ODA!$B:$B,$A187))</f>
        <v/>
      </c>
      <c r="V187" s="45" t="str">
        <f t="shared" si="79"/>
        <v/>
      </c>
      <c r="W187" s="33" t="str">
        <f>IF($A187="","",SUMIFS(ORE!$F:$F,ORE!$B:$B,$A187))</f>
        <v/>
      </c>
      <c r="X187" s="33" t="str">
        <f>IF($A187="","",SUMIFS(PREVISIONE_ORE!$G:$G,PREVISIONE_ORE!$D:$D,$A187,PREVISIONE_ORE!$K:$K,"Sì"))</f>
        <v/>
      </c>
      <c r="Y187" s="33" t="str">
        <f>IF($A187="","",IF(COUNTIFS(ASSEGNAZIONI!$B:$B,$A187)&gt;0,SUMIFS(ASSEGNAZIONI!$N:$N,ASSEGNAZIONI!$B:$B,$A187),MAX($W187,0)))</f>
        <v/>
      </c>
      <c r="Z187" s="33" t="str">
        <f t="shared" si="80"/>
        <v/>
      </c>
      <c r="AA187" s="34" t="str">
        <f>IF($A187="","",IF(COUNTIFS(ASSEGNAZIONI!$B:$B,$A187)&gt;0,SUMIFS(ASSEGNAZIONI!$P:$P,ASSEGNAZIONI!$B:$B,$A187),0))</f>
        <v/>
      </c>
      <c r="AB187" s="34" t="str">
        <f t="shared" si="81"/>
        <v/>
      </c>
      <c r="AC187" s="34" t="str">
        <f t="shared" si="82"/>
        <v/>
      </c>
      <c r="AD187" s="34" t="str">
        <f t="shared" si="83"/>
        <v/>
      </c>
      <c r="AE187" s="35" t="str">
        <f t="shared" si="84"/>
        <v/>
      </c>
      <c r="AF187" s="34" t="str">
        <f t="shared" si="85"/>
        <v/>
      </c>
      <c r="AG187" s="34" t="str">
        <f t="shared" si="86"/>
        <v/>
      </c>
      <c r="AH187" s="35" t="str">
        <f>IF($A187="","",IFERROR(AVERAGEIFS(FASI!$L:$L,FASI!$B:$B,$A187),0))</f>
        <v/>
      </c>
      <c r="AI187" s="35" t="str">
        <f t="shared" si="87"/>
        <v/>
      </c>
      <c r="AJ187" s="34" t="str">
        <f>IF($A187="","",SUMIFS(SAL!$H:$H,SAL!$B:$B,$A187,SAL!$O:$O,"Emessa")+SUMIFS(SAL!$H:$H,SAL!$B:$B,$A187,SAL!$O:$O,"Incassata")+SUMIFS(SAL!$H:$H,SAL!$B:$B,$A187,SAL!$O:$O,"Scaduta"))</f>
        <v/>
      </c>
      <c r="AK187" s="34" t="str">
        <f>IF($A187="","",SUMIFS(SAL!$H:$H,SAL!$B:$B,$A187,SAL!$O:$O,"Incassata"))</f>
        <v/>
      </c>
      <c r="AL187" s="34" t="str">
        <f t="shared" si="88"/>
        <v/>
      </c>
      <c r="AM187" s="34" t="str">
        <f t="shared" si="89"/>
        <v/>
      </c>
      <c r="AN187" s="36" t="str">
        <f ca="1">IF($A187="","",IF($M187=0,"RISORSE NON ASSEGNATE",IF($AE187&lt;0.1,"MARGINE CRITICO",IF($S187&lt;-SCONTO_MAX,"SCONTO OLTRE SOGLIA",IF($Z187&gt;0,"ORE OLTRE LA STIMA",IF($AI187&gt;ALLERTA_ORE,"CONSUMO ORE ELEVATO",IF(COUNTIFS(SAL!$B:$B,$A187,SAL!$K:$K,"EMETTIBILE")&gt;0,"SAL DA EMETTERE",IF(COUNTIFS(FASI!$B:$B,$A187,FASI!$H:$H,"&lt;"&amp;TODAY(),FASI!$L:$L,"&lt;1")&gt;0,"FASI IN RITARDO","OK"))))))))</f>
        <v/>
      </c>
    </row>
    <row r="188" spans="1:40" x14ac:dyDescent="0.3">
      <c r="A188" s="42"/>
      <c r="B188" s="42"/>
      <c r="C188" s="42"/>
      <c r="D188" s="42"/>
      <c r="E188" s="42"/>
      <c r="F188" s="42"/>
      <c r="G188" s="43"/>
      <c r="H188" s="43"/>
      <c r="I188" s="42"/>
      <c r="J188" s="44"/>
      <c r="K188" s="46"/>
      <c r="L188" s="34" t="str">
        <f t="shared" si="75"/>
        <v/>
      </c>
      <c r="M188" s="33" t="str">
        <f>IF($A188="","",SUMIFS(ASSEGNAZIONI!$F:$F,ASSEGNAZIONI!$B:$B,$A188))</f>
        <v/>
      </c>
      <c r="N188" s="34" t="str">
        <f>IF($A188="","",SUMIFS(ASSEGNAZIONI!$I:$I,ASSEGNAZIONI!$B:$B,$A188))</f>
        <v/>
      </c>
      <c r="O188" s="34" t="str">
        <f>IF($A188="","",SUMIFS(ASSEGNAZIONI!$J:$J,ASSEGNAZIONI!$B:$B,$A188))</f>
        <v/>
      </c>
      <c r="P188" s="34" t="str">
        <f t="shared" si="76"/>
        <v/>
      </c>
      <c r="Q188" s="44"/>
      <c r="R188" s="34" t="str">
        <f t="shared" si="77"/>
        <v/>
      </c>
      <c r="S188" s="35" t="str">
        <f t="shared" si="78"/>
        <v/>
      </c>
      <c r="T188" s="34" t="str">
        <f>IF($A188="","",SUMIFS(ODA!$R:$R,ODA!$B:$B,$A188))</f>
        <v/>
      </c>
      <c r="U188" s="34" t="str">
        <f>IF($A188="","",SUMIFS(ODA!$P:$P,ODA!$B:$B,$A188))</f>
        <v/>
      </c>
      <c r="V188" s="45" t="str">
        <f t="shared" si="79"/>
        <v/>
      </c>
      <c r="W188" s="33" t="str">
        <f>IF($A188="","",SUMIFS(ORE!$F:$F,ORE!$B:$B,$A188))</f>
        <v/>
      </c>
      <c r="X188" s="33" t="str">
        <f>IF($A188="","",SUMIFS(PREVISIONE_ORE!$G:$G,PREVISIONE_ORE!$D:$D,$A188,PREVISIONE_ORE!$K:$K,"Sì"))</f>
        <v/>
      </c>
      <c r="Y188" s="33" t="str">
        <f>IF($A188="","",IF(COUNTIFS(ASSEGNAZIONI!$B:$B,$A188)&gt;0,SUMIFS(ASSEGNAZIONI!$N:$N,ASSEGNAZIONI!$B:$B,$A188),MAX($W188,0)))</f>
        <v/>
      </c>
      <c r="Z188" s="33" t="str">
        <f t="shared" si="80"/>
        <v/>
      </c>
      <c r="AA188" s="34" t="str">
        <f>IF($A188="","",IF(COUNTIFS(ASSEGNAZIONI!$B:$B,$A188)&gt;0,SUMIFS(ASSEGNAZIONI!$P:$P,ASSEGNAZIONI!$B:$B,$A188),0))</f>
        <v/>
      </c>
      <c r="AB188" s="34" t="str">
        <f t="shared" si="81"/>
        <v/>
      </c>
      <c r="AC188" s="34" t="str">
        <f t="shared" si="82"/>
        <v/>
      </c>
      <c r="AD188" s="34" t="str">
        <f t="shared" si="83"/>
        <v/>
      </c>
      <c r="AE188" s="35" t="str">
        <f t="shared" si="84"/>
        <v/>
      </c>
      <c r="AF188" s="34" t="str">
        <f t="shared" si="85"/>
        <v/>
      </c>
      <c r="AG188" s="34" t="str">
        <f t="shared" si="86"/>
        <v/>
      </c>
      <c r="AH188" s="35" t="str">
        <f>IF($A188="","",IFERROR(AVERAGEIFS(FASI!$L:$L,FASI!$B:$B,$A188),0))</f>
        <v/>
      </c>
      <c r="AI188" s="35" t="str">
        <f t="shared" si="87"/>
        <v/>
      </c>
      <c r="AJ188" s="34" t="str">
        <f>IF($A188="","",SUMIFS(SAL!$H:$H,SAL!$B:$B,$A188,SAL!$O:$O,"Emessa")+SUMIFS(SAL!$H:$H,SAL!$B:$B,$A188,SAL!$O:$O,"Incassata")+SUMIFS(SAL!$H:$H,SAL!$B:$B,$A188,SAL!$O:$O,"Scaduta"))</f>
        <v/>
      </c>
      <c r="AK188" s="34" t="str">
        <f>IF($A188="","",SUMIFS(SAL!$H:$H,SAL!$B:$B,$A188,SAL!$O:$O,"Incassata"))</f>
        <v/>
      </c>
      <c r="AL188" s="34" t="str">
        <f t="shared" si="88"/>
        <v/>
      </c>
      <c r="AM188" s="34" t="str">
        <f t="shared" si="89"/>
        <v/>
      </c>
      <c r="AN188" s="36" t="str">
        <f ca="1">IF($A188="","",IF($M188=0,"RISORSE NON ASSEGNATE",IF($AE188&lt;0.1,"MARGINE CRITICO",IF($S188&lt;-SCONTO_MAX,"SCONTO OLTRE SOGLIA",IF($Z188&gt;0,"ORE OLTRE LA STIMA",IF($AI188&gt;ALLERTA_ORE,"CONSUMO ORE ELEVATO",IF(COUNTIFS(SAL!$B:$B,$A188,SAL!$K:$K,"EMETTIBILE")&gt;0,"SAL DA EMETTERE",IF(COUNTIFS(FASI!$B:$B,$A188,FASI!$H:$H,"&lt;"&amp;TODAY(),FASI!$L:$L,"&lt;1")&gt;0,"FASI IN RITARDO","OK"))))))))</f>
        <v/>
      </c>
    </row>
    <row r="189" spans="1:40" x14ac:dyDescent="0.3">
      <c r="A189" s="42"/>
      <c r="B189" s="42"/>
      <c r="C189" s="42"/>
      <c r="D189" s="42"/>
      <c r="E189" s="42"/>
      <c r="F189" s="42"/>
      <c r="G189" s="43"/>
      <c r="H189" s="43"/>
      <c r="I189" s="42"/>
      <c r="J189" s="44"/>
      <c r="K189" s="46"/>
      <c r="L189" s="34" t="str">
        <f t="shared" si="75"/>
        <v/>
      </c>
      <c r="M189" s="33" t="str">
        <f>IF($A189="","",SUMIFS(ASSEGNAZIONI!$F:$F,ASSEGNAZIONI!$B:$B,$A189))</f>
        <v/>
      </c>
      <c r="N189" s="34" t="str">
        <f>IF($A189="","",SUMIFS(ASSEGNAZIONI!$I:$I,ASSEGNAZIONI!$B:$B,$A189))</f>
        <v/>
      </c>
      <c r="O189" s="34" t="str">
        <f>IF($A189="","",SUMIFS(ASSEGNAZIONI!$J:$J,ASSEGNAZIONI!$B:$B,$A189))</f>
        <v/>
      </c>
      <c r="P189" s="34" t="str">
        <f t="shared" si="76"/>
        <v/>
      </c>
      <c r="Q189" s="44"/>
      <c r="R189" s="34" t="str">
        <f t="shared" si="77"/>
        <v/>
      </c>
      <c r="S189" s="35" t="str">
        <f t="shared" si="78"/>
        <v/>
      </c>
      <c r="T189" s="34" t="str">
        <f>IF($A189="","",SUMIFS(ODA!$R:$R,ODA!$B:$B,$A189))</f>
        <v/>
      </c>
      <c r="U189" s="34" t="str">
        <f>IF($A189="","",SUMIFS(ODA!$P:$P,ODA!$B:$B,$A189))</f>
        <v/>
      </c>
      <c r="V189" s="45" t="str">
        <f t="shared" si="79"/>
        <v/>
      </c>
      <c r="W189" s="33" t="str">
        <f>IF($A189="","",SUMIFS(ORE!$F:$F,ORE!$B:$B,$A189))</f>
        <v/>
      </c>
      <c r="X189" s="33" t="str">
        <f>IF($A189="","",SUMIFS(PREVISIONE_ORE!$G:$G,PREVISIONE_ORE!$D:$D,$A189,PREVISIONE_ORE!$K:$K,"Sì"))</f>
        <v/>
      </c>
      <c r="Y189" s="33" t="str">
        <f>IF($A189="","",IF(COUNTIFS(ASSEGNAZIONI!$B:$B,$A189)&gt;0,SUMIFS(ASSEGNAZIONI!$N:$N,ASSEGNAZIONI!$B:$B,$A189),MAX($W189,0)))</f>
        <v/>
      </c>
      <c r="Z189" s="33" t="str">
        <f t="shared" si="80"/>
        <v/>
      </c>
      <c r="AA189" s="34" t="str">
        <f>IF($A189="","",IF(COUNTIFS(ASSEGNAZIONI!$B:$B,$A189)&gt;0,SUMIFS(ASSEGNAZIONI!$P:$P,ASSEGNAZIONI!$B:$B,$A189),0))</f>
        <v/>
      </c>
      <c r="AB189" s="34" t="str">
        <f t="shared" si="81"/>
        <v/>
      </c>
      <c r="AC189" s="34" t="str">
        <f t="shared" si="82"/>
        <v/>
      </c>
      <c r="AD189" s="34" t="str">
        <f t="shared" si="83"/>
        <v/>
      </c>
      <c r="AE189" s="35" t="str">
        <f t="shared" si="84"/>
        <v/>
      </c>
      <c r="AF189" s="34" t="str">
        <f t="shared" si="85"/>
        <v/>
      </c>
      <c r="AG189" s="34" t="str">
        <f t="shared" si="86"/>
        <v/>
      </c>
      <c r="AH189" s="35" t="str">
        <f>IF($A189="","",IFERROR(AVERAGEIFS(FASI!$L:$L,FASI!$B:$B,$A189),0))</f>
        <v/>
      </c>
      <c r="AI189" s="35" t="str">
        <f t="shared" si="87"/>
        <v/>
      </c>
      <c r="AJ189" s="34" t="str">
        <f>IF($A189="","",SUMIFS(SAL!$H:$H,SAL!$B:$B,$A189,SAL!$O:$O,"Emessa")+SUMIFS(SAL!$H:$H,SAL!$B:$B,$A189,SAL!$O:$O,"Incassata")+SUMIFS(SAL!$H:$H,SAL!$B:$B,$A189,SAL!$O:$O,"Scaduta"))</f>
        <v/>
      </c>
      <c r="AK189" s="34" t="str">
        <f>IF($A189="","",SUMIFS(SAL!$H:$H,SAL!$B:$B,$A189,SAL!$O:$O,"Incassata"))</f>
        <v/>
      </c>
      <c r="AL189" s="34" t="str">
        <f t="shared" si="88"/>
        <v/>
      </c>
      <c r="AM189" s="34" t="str">
        <f t="shared" si="89"/>
        <v/>
      </c>
      <c r="AN189" s="36" t="str">
        <f ca="1">IF($A189="","",IF($M189=0,"RISORSE NON ASSEGNATE",IF($AE189&lt;0.1,"MARGINE CRITICO",IF($S189&lt;-SCONTO_MAX,"SCONTO OLTRE SOGLIA",IF($Z189&gt;0,"ORE OLTRE LA STIMA",IF($AI189&gt;ALLERTA_ORE,"CONSUMO ORE ELEVATO",IF(COUNTIFS(SAL!$B:$B,$A189,SAL!$K:$K,"EMETTIBILE")&gt;0,"SAL DA EMETTERE",IF(COUNTIFS(FASI!$B:$B,$A189,FASI!$H:$H,"&lt;"&amp;TODAY(),FASI!$L:$L,"&lt;1")&gt;0,"FASI IN RITARDO","OK"))))))))</f>
        <v/>
      </c>
    </row>
    <row r="190" spans="1:40" x14ac:dyDescent="0.3">
      <c r="A190" s="42"/>
      <c r="B190" s="42"/>
      <c r="C190" s="42"/>
      <c r="D190" s="42"/>
      <c r="E190" s="42"/>
      <c r="F190" s="42"/>
      <c r="G190" s="43"/>
      <c r="H190" s="43"/>
      <c r="I190" s="42"/>
      <c r="J190" s="44"/>
      <c r="K190" s="46"/>
      <c r="L190" s="34" t="str">
        <f t="shared" si="75"/>
        <v/>
      </c>
      <c r="M190" s="33" t="str">
        <f>IF($A190="","",SUMIFS(ASSEGNAZIONI!$F:$F,ASSEGNAZIONI!$B:$B,$A190))</f>
        <v/>
      </c>
      <c r="N190" s="34" t="str">
        <f>IF($A190="","",SUMIFS(ASSEGNAZIONI!$I:$I,ASSEGNAZIONI!$B:$B,$A190))</f>
        <v/>
      </c>
      <c r="O190" s="34" t="str">
        <f>IF($A190="","",SUMIFS(ASSEGNAZIONI!$J:$J,ASSEGNAZIONI!$B:$B,$A190))</f>
        <v/>
      </c>
      <c r="P190" s="34" t="str">
        <f t="shared" si="76"/>
        <v/>
      </c>
      <c r="Q190" s="44"/>
      <c r="R190" s="34" t="str">
        <f t="shared" si="77"/>
        <v/>
      </c>
      <c r="S190" s="35" t="str">
        <f t="shared" si="78"/>
        <v/>
      </c>
      <c r="T190" s="34" t="str">
        <f>IF($A190="","",SUMIFS(ODA!$R:$R,ODA!$B:$B,$A190))</f>
        <v/>
      </c>
      <c r="U190" s="34" t="str">
        <f>IF($A190="","",SUMIFS(ODA!$P:$P,ODA!$B:$B,$A190))</f>
        <v/>
      </c>
      <c r="V190" s="45" t="str">
        <f t="shared" si="79"/>
        <v/>
      </c>
      <c r="W190" s="33" t="str">
        <f>IF($A190="","",SUMIFS(ORE!$F:$F,ORE!$B:$B,$A190))</f>
        <v/>
      </c>
      <c r="X190" s="33" t="str">
        <f>IF($A190="","",SUMIFS(PREVISIONE_ORE!$G:$G,PREVISIONE_ORE!$D:$D,$A190,PREVISIONE_ORE!$K:$K,"Sì"))</f>
        <v/>
      </c>
      <c r="Y190" s="33" t="str">
        <f>IF($A190="","",IF(COUNTIFS(ASSEGNAZIONI!$B:$B,$A190)&gt;0,SUMIFS(ASSEGNAZIONI!$N:$N,ASSEGNAZIONI!$B:$B,$A190),MAX($W190,0)))</f>
        <v/>
      </c>
      <c r="Z190" s="33" t="str">
        <f t="shared" si="80"/>
        <v/>
      </c>
      <c r="AA190" s="34" t="str">
        <f>IF($A190="","",IF(COUNTIFS(ASSEGNAZIONI!$B:$B,$A190)&gt;0,SUMIFS(ASSEGNAZIONI!$P:$P,ASSEGNAZIONI!$B:$B,$A190),0))</f>
        <v/>
      </c>
      <c r="AB190" s="34" t="str">
        <f t="shared" si="81"/>
        <v/>
      </c>
      <c r="AC190" s="34" t="str">
        <f t="shared" si="82"/>
        <v/>
      </c>
      <c r="AD190" s="34" t="str">
        <f t="shared" si="83"/>
        <v/>
      </c>
      <c r="AE190" s="35" t="str">
        <f t="shared" si="84"/>
        <v/>
      </c>
      <c r="AF190" s="34" t="str">
        <f t="shared" si="85"/>
        <v/>
      </c>
      <c r="AG190" s="34" t="str">
        <f t="shared" si="86"/>
        <v/>
      </c>
      <c r="AH190" s="35" t="str">
        <f>IF($A190="","",IFERROR(AVERAGEIFS(FASI!$L:$L,FASI!$B:$B,$A190),0))</f>
        <v/>
      </c>
      <c r="AI190" s="35" t="str">
        <f t="shared" si="87"/>
        <v/>
      </c>
      <c r="AJ190" s="34" t="str">
        <f>IF($A190="","",SUMIFS(SAL!$H:$H,SAL!$B:$B,$A190,SAL!$O:$O,"Emessa")+SUMIFS(SAL!$H:$H,SAL!$B:$B,$A190,SAL!$O:$O,"Incassata")+SUMIFS(SAL!$H:$H,SAL!$B:$B,$A190,SAL!$O:$O,"Scaduta"))</f>
        <v/>
      </c>
      <c r="AK190" s="34" t="str">
        <f>IF($A190="","",SUMIFS(SAL!$H:$H,SAL!$B:$B,$A190,SAL!$O:$O,"Incassata"))</f>
        <v/>
      </c>
      <c r="AL190" s="34" t="str">
        <f t="shared" si="88"/>
        <v/>
      </c>
      <c r="AM190" s="34" t="str">
        <f t="shared" si="89"/>
        <v/>
      </c>
      <c r="AN190" s="36" t="str">
        <f ca="1">IF($A190="","",IF($M190=0,"RISORSE NON ASSEGNATE",IF($AE190&lt;0.1,"MARGINE CRITICO",IF($S190&lt;-SCONTO_MAX,"SCONTO OLTRE SOGLIA",IF($Z190&gt;0,"ORE OLTRE LA STIMA",IF($AI190&gt;ALLERTA_ORE,"CONSUMO ORE ELEVATO",IF(COUNTIFS(SAL!$B:$B,$A190,SAL!$K:$K,"EMETTIBILE")&gt;0,"SAL DA EMETTERE",IF(COUNTIFS(FASI!$B:$B,$A190,FASI!$H:$H,"&lt;"&amp;TODAY(),FASI!$L:$L,"&lt;1")&gt;0,"FASI IN RITARDO","OK"))))))))</f>
        <v/>
      </c>
    </row>
    <row r="191" spans="1:40" x14ac:dyDescent="0.3">
      <c r="A191" s="42"/>
      <c r="B191" s="42"/>
      <c r="C191" s="42"/>
      <c r="D191" s="42"/>
      <c r="E191" s="42"/>
      <c r="F191" s="42"/>
      <c r="G191" s="43"/>
      <c r="H191" s="43"/>
      <c r="I191" s="42"/>
      <c r="J191" s="44"/>
      <c r="K191" s="46"/>
      <c r="L191" s="34" t="str">
        <f t="shared" si="75"/>
        <v/>
      </c>
      <c r="M191" s="33" t="str">
        <f>IF($A191="","",SUMIFS(ASSEGNAZIONI!$F:$F,ASSEGNAZIONI!$B:$B,$A191))</f>
        <v/>
      </c>
      <c r="N191" s="34" t="str">
        <f>IF($A191="","",SUMIFS(ASSEGNAZIONI!$I:$I,ASSEGNAZIONI!$B:$B,$A191))</f>
        <v/>
      </c>
      <c r="O191" s="34" t="str">
        <f>IF($A191="","",SUMIFS(ASSEGNAZIONI!$J:$J,ASSEGNAZIONI!$B:$B,$A191))</f>
        <v/>
      </c>
      <c r="P191" s="34" t="str">
        <f t="shared" si="76"/>
        <v/>
      </c>
      <c r="Q191" s="44"/>
      <c r="R191" s="34" t="str">
        <f t="shared" si="77"/>
        <v/>
      </c>
      <c r="S191" s="35" t="str">
        <f t="shared" si="78"/>
        <v/>
      </c>
      <c r="T191" s="34" t="str">
        <f>IF($A191="","",SUMIFS(ODA!$R:$R,ODA!$B:$B,$A191))</f>
        <v/>
      </c>
      <c r="U191" s="34" t="str">
        <f>IF($A191="","",SUMIFS(ODA!$P:$P,ODA!$B:$B,$A191))</f>
        <v/>
      </c>
      <c r="V191" s="45" t="str">
        <f t="shared" si="79"/>
        <v/>
      </c>
      <c r="W191" s="33" t="str">
        <f>IF($A191="","",SUMIFS(ORE!$F:$F,ORE!$B:$B,$A191))</f>
        <v/>
      </c>
      <c r="X191" s="33" t="str">
        <f>IF($A191="","",SUMIFS(PREVISIONE_ORE!$G:$G,PREVISIONE_ORE!$D:$D,$A191,PREVISIONE_ORE!$K:$K,"Sì"))</f>
        <v/>
      </c>
      <c r="Y191" s="33" t="str">
        <f>IF($A191="","",IF(COUNTIFS(ASSEGNAZIONI!$B:$B,$A191)&gt;0,SUMIFS(ASSEGNAZIONI!$N:$N,ASSEGNAZIONI!$B:$B,$A191),MAX($W191,0)))</f>
        <v/>
      </c>
      <c r="Z191" s="33" t="str">
        <f t="shared" si="80"/>
        <v/>
      </c>
      <c r="AA191" s="34" t="str">
        <f>IF($A191="","",IF(COUNTIFS(ASSEGNAZIONI!$B:$B,$A191)&gt;0,SUMIFS(ASSEGNAZIONI!$P:$P,ASSEGNAZIONI!$B:$B,$A191),0))</f>
        <v/>
      </c>
      <c r="AB191" s="34" t="str">
        <f t="shared" si="81"/>
        <v/>
      </c>
      <c r="AC191" s="34" t="str">
        <f t="shared" si="82"/>
        <v/>
      </c>
      <c r="AD191" s="34" t="str">
        <f t="shared" si="83"/>
        <v/>
      </c>
      <c r="AE191" s="35" t="str">
        <f t="shared" si="84"/>
        <v/>
      </c>
      <c r="AF191" s="34" t="str">
        <f t="shared" si="85"/>
        <v/>
      </c>
      <c r="AG191" s="34" t="str">
        <f t="shared" si="86"/>
        <v/>
      </c>
      <c r="AH191" s="35" t="str">
        <f>IF($A191="","",IFERROR(AVERAGEIFS(FASI!$L:$L,FASI!$B:$B,$A191),0))</f>
        <v/>
      </c>
      <c r="AI191" s="35" t="str">
        <f t="shared" si="87"/>
        <v/>
      </c>
      <c r="AJ191" s="34" t="str">
        <f>IF($A191="","",SUMIFS(SAL!$H:$H,SAL!$B:$B,$A191,SAL!$O:$O,"Emessa")+SUMIFS(SAL!$H:$H,SAL!$B:$B,$A191,SAL!$O:$O,"Incassata")+SUMIFS(SAL!$H:$H,SAL!$B:$B,$A191,SAL!$O:$O,"Scaduta"))</f>
        <v/>
      </c>
      <c r="AK191" s="34" t="str">
        <f>IF($A191="","",SUMIFS(SAL!$H:$H,SAL!$B:$B,$A191,SAL!$O:$O,"Incassata"))</f>
        <v/>
      </c>
      <c r="AL191" s="34" t="str">
        <f t="shared" si="88"/>
        <v/>
      </c>
      <c r="AM191" s="34" t="str">
        <f t="shared" si="89"/>
        <v/>
      </c>
      <c r="AN191" s="36" t="str">
        <f ca="1">IF($A191="","",IF($M191=0,"RISORSE NON ASSEGNATE",IF($AE191&lt;0.1,"MARGINE CRITICO",IF($S191&lt;-SCONTO_MAX,"SCONTO OLTRE SOGLIA",IF($Z191&gt;0,"ORE OLTRE LA STIMA",IF($AI191&gt;ALLERTA_ORE,"CONSUMO ORE ELEVATO",IF(COUNTIFS(SAL!$B:$B,$A191,SAL!$K:$K,"EMETTIBILE")&gt;0,"SAL DA EMETTERE",IF(COUNTIFS(FASI!$B:$B,$A191,FASI!$H:$H,"&lt;"&amp;TODAY(),FASI!$L:$L,"&lt;1")&gt;0,"FASI IN RITARDO","OK"))))))))</f>
        <v/>
      </c>
    </row>
    <row r="192" spans="1:40" x14ac:dyDescent="0.3">
      <c r="A192" s="42"/>
      <c r="B192" s="42"/>
      <c r="C192" s="42"/>
      <c r="D192" s="42"/>
      <c r="E192" s="42"/>
      <c r="F192" s="42"/>
      <c r="G192" s="43"/>
      <c r="H192" s="43"/>
      <c r="I192" s="42"/>
      <c r="J192" s="44"/>
      <c r="K192" s="46"/>
      <c r="L192" s="34" t="str">
        <f t="shared" si="75"/>
        <v/>
      </c>
      <c r="M192" s="33" t="str">
        <f>IF($A192="","",SUMIFS(ASSEGNAZIONI!$F:$F,ASSEGNAZIONI!$B:$B,$A192))</f>
        <v/>
      </c>
      <c r="N192" s="34" t="str">
        <f>IF($A192="","",SUMIFS(ASSEGNAZIONI!$I:$I,ASSEGNAZIONI!$B:$B,$A192))</f>
        <v/>
      </c>
      <c r="O192" s="34" t="str">
        <f>IF($A192="","",SUMIFS(ASSEGNAZIONI!$J:$J,ASSEGNAZIONI!$B:$B,$A192))</f>
        <v/>
      </c>
      <c r="P192" s="34" t="str">
        <f t="shared" si="76"/>
        <v/>
      </c>
      <c r="Q192" s="44"/>
      <c r="R192" s="34" t="str">
        <f t="shared" si="77"/>
        <v/>
      </c>
      <c r="S192" s="35" t="str">
        <f t="shared" si="78"/>
        <v/>
      </c>
      <c r="T192" s="34" t="str">
        <f>IF($A192="","",SUMIFS(ODA!$R:$R,ODA!$B:$B,$A192))</f>
        <v/>
      </c>
      <c r="U192" s="34" t="str">
        <f>IF($A192="","",SUMIFS(ODA!$P:$P,ODA!$B:$B,$A192))</f>
        <v/>
      </c>
      <c r="V192" s="45" t="str">
        <f t="shared" si="79"/>
        <v/>
      </c>
      <c r="W192" s="33" t="str">
        <f>IF($A192="","",SUMIFS(ORE!$F:$F,ORE!$B:$B,$A192))</f>
        <v/>
      </c>
      <c r="X192" s="33" t="str">
        <f>IF($A192="","",SUMIFS(PREVISIONE_ORE!$G:$G,PREVISIONE_ORE!$D:$D,$A192,PREVISIONE_ORE!$K:$K,"Sì"))</f>
        <v/>
      </c>
      <c r="Y192" s="33" t="str">
        <f>IF($A192="","",IF(COUNTIFS(ASSEGNAZIONI!$B:$B,$A192)&gt;0,SUMIFS(ASSEGNAZIONI!$N:$N,ASSEGNAZIONI!$B:$B,$A192),MAX($W192,0)))</f>
        <v/>
      </c>
      <c r="Z192" s="33" t="str">
        <f t="shared" si="80"/>
        <v/>
      </c>
      <c r="AA192" s="34" t="str">
        <f>IF($A192="","",IF(COUNTIFS(ASSEGNAZIONI!$B:$B,$A192)&gt;0,SUMIFS(ASSEGNAZIONI!$P:$P,ASSEGNAZIONI!$B:$B,$A192),0))</f>
        <v/>
      </c>
      <c r="AB192" s="34" t="str">
        <f t="shared" si="81"/>
        <v/>
      </c>
      <c r="AC192" s="34" t="str">
        <f t="shared" si="82"/>
        <v/>
      </c>
      <c r="AD192" s="34" t="str">
        <f t="shared" si="83"/>
        <v/>
      </c>
      <c r="AE192" s="35" t="str">
        <f t="shared" si="84"/>
        <v/>
      </c>
      <c r="AF192" s="34" t="str">
        <f t="shared" si="85"/>
        <v/>
      </c>
      <c r="AG192" s="34" t="str">
        <f t="shared" si="86"/>
        <v/>
      </c>
      <c r="AH192" s="35" t="str">
        <f>IF($A192="","",IFERROR(AVERAGEIFS(FASI!$L:$L,FASI!$B:$B,$A192),0))</f>
        <v/>
      </c>
      <c r="AI192" s="35" t="str">
        <f t="shared" si="87"/>
        <v/>
      </c>
      <c r="AJ192" s="34" t="str">
        <f>IF($A192="","",SUMIFS(SAL!$H:$H,SAL!$B:$B,$A192,SAL!$O:$O,"Emessa")+SUMIFS(SAL!$H:$H,SAL!$B:$B,$A192,SAL!$O:$O,"Incassata")+SUMIFS(SAL!$H:$H,SAL!$B:$B,$A192,SAL!$O:$O,"Scaduta"))</f>
        <v/>
      </c>
      <c r="AK192" s="34" t="str">
        <f>IF($A192="","",SUMIFS(SAL!$H:$H,SAL!$B:$B,$A192,SAL!$O:$O,"Incassata"))</f>
        <v/>
      </c>
      <c r="AL192" s="34" t="str">
        <f t="shared" si="88"/>
        <v/>
      </c>
      <c r="AM192" s="34" t="str">
        <f t="shared" si="89"/>
        <v/>
      </c>
      <c r="AN192" s="36" t="str">
        <f ca="1">IF($A192="","",IF($M192=0,"RISORSE NON ASSEGNATE",IF($AE192&lt;0.1,"MARGINE CRITICO",IF($S192&lt;-SCONTO_MAX,"SCONTO OLTRE SOGLIA",IF($Z192&gt;0,"ORE OLTRE LA STIMA",IF($AI192&gt;ALLERTA_ORE,"CONSUMO ORE ELEVATO",IF(COUNTIFS(SAL!$B:$B,$A192,SAL!$K:$K,"EMETTIBILE")&gt;0,"SAL DA EMETTERE",IF(COUNTIFS(FASI!$B:$B,$A192,FASI!$H:$H,"&lt;"&amp;TODAY(),FASI!$L:$L,"&lt;1")&gt;0,"FASI IN RITARDO","OK"))))))))</f>
        <v/>
      </c>
    </row>
    <row r="193" spans="1:40" x14ac:dyDescent="0.3">
      <c r="A193" s="42"/>
      <c r="B193" s="42"/>
      <c r="C193" s="42"/>
      <c r="D193" s="42"/>
      <c r="E193" s="42"/>
      <c r="F193" s="42"/>
      <c r="G193" s="43"/>
      <c r="H193" s="43"/>
      <c r="I193" s="42"/>
      <c r="J193" s="44"/>
      <c r="K193" s="46"/>
      <c r="L193" s="34" t="str">
        <f t="shared" si="75"/>
        <v/>
      </c>
      <c r="M193" s="33" t="str">
        <f>IF($A193="","",SUMIFS(ASSEGNAZIONI!$F:$F,ASSEGNAZIONI!$B:$B,$A193))</f>
        <v/>
      </c>
      <c r="N193" s="34" t="str">
        <f>IF($A193="","",SUMIFS(ASSEGNAZIONI!$I:$I,ASSEGNAZIONI!$B:$B,$A193))</f>
        <v/>
      </c>
      <c r="O193" s="34" t="str">
        <f>IF($A193="","",SUMIFS(ASSEGNAZIONI!$J:$J,ASSEGNAZIONI!$B:$B,$A193))</f>
        <v/>
      </c>
      <c r="P193" s="34" t="str">
        <f t="shared" si="76"/>
        <v/>
      </c>
      <c r="Q193" s="44"/>
      <c r="R193" s="34" t="str">
        <f t="shared" si="77"/>
        <v/>
      </c>
      <c r="S193" s="35" t="str">
        <f t="shared" si="78"/>
        <v/>
      </c>
      <c r="T193" s="34" t="str">
        <f>IF($A193="","",SUMIFS(ODA!$R:$R,ODA!$B:$B,$A193))</f>
        <v/>
      </c>
      <c r="U193" s="34" t="str">
        <f>IF($A193="","",SUMIFS(ODA!$P:$P,ODA!$B:$B,$A193))</f>
        <v/>
      </c>
      <c r="V193" s="45" t="str">
        <f t="shared" si="79"/>
        <v/>
      </c>
      <c r="W193" s="33" t="str">
        <f>IF($A193="","",SUMIFS(ORE!$F:$F,ORE!$B:$B,$A193))</f>
        <v/>
      </c>
      <c r="X193" s="33" t="str">
        <f>IF($A193="","",SUMIFS(PREVISIONE_ORE!$G:$G,PREVISIONE_ORE!$D:$D,$A193,PREVISIONE_ORE!$K:$K,"Sì"))</f>
        <v/>
      </c>
      <c r="Y193" s="33" t="str">
        <f>IF($A193="","",IF(COUNTIFS(ASSEGNAZIONI!$B:$B,$A193)&gt;0,SUMIFS(ASSEGNAZIONI!$N:$N,ASSEGNAZIONI!$B:$B,$A193),MAX($W193,0)))</f>
        <v/>
      </c>
      <c r="Z193" s="33" t="str">
        <f t="shared" si="80"/>
        <v/>
      </c>
      <c r="AA193" s="34" t="str">
        <f>IF($A193="","",IF(COUNTIFS(ASSEGNAZIONI!$B:$B,$A193)&gt;0,SUMIFS(ASSEGNAZIONI!$P:$P,ASSEGNAZIONI!$B:$B,$A193),0))</f>
        <v/>
      </c>
      <c r="AB193" s="34" t="str">
        <f t="shared" si="81"/>
        <v/>
      </c>
      <c r="AC193" s="34" t="str">
        <f t="shared" si="82"/>
        <v/>
      </c>
      <c r="AD193" s="34" t="str">
        <f t="shared" si="83"/>
        <v/>
      </c>
      <c r="AE193" s="35" t="str">
        <f t="shared" si="84"/>
        <v/>
      </c>
      <c r="AF193" s="34" t="str">
        <f t="shared" si="85"/>
        <v/>
      </c>
      <c r="AG193" s="34" t="str">
        <f t="shared" si="86"/>
        <v/>
      </c>
      <c r="AH193" s="35" t="str">
        <f>IF($A193="","",IFERROR(AVERAGEIFS(FASI!$L:$L,FASI!$B:$B,$A193),0))</f>
        <v/>
      </c>
      <c r="AI193" s="35" t="str">
        <f t="shared" si="87"/>
        <v/>
      </c>
      <c r="AJ193" s="34" t="str">
        <f>IF($A193="","",SUMIFS(SAL!$H:$H,SAL!$B:$B,$A193,SAL!$O:$O,"Emessa")+SUMIFS(SAL!$H:$H,SAL!$B:$B,$A193,SAL!$O:$O,"Incassata")+SUMIFS(SAL!$H:$H,SAL!$B:$B,$A193,SAL!$O:$O,"Scaduta"))</f>
        <v/>
      </c>
      <c r="AK193" s="34" t="str">
        <f>IF($A193="","",SUMIFS(SAL!$H:$H,SAL!$B:$B,$A193,SAL!$O:$O,"Incassata"))</f>
        <v/>
      </c>
      <c r="AL193" s="34" t="str">
        <f t="shared" si="88"/>
        <v/>
      </c>
      <c r="AM193" s="34" t="str">
        <f t="shared" si="89"/>
        <v/>
      </c>
      <c r="AN193" s="36" t="str">
        <f ca="1">IF($A193="","",IF($M193=0,"RISORSE NON ASSEGNATE",IF($AE193&lt;0.1,"MARGINE CRITICO",IF($S193&lt;-SCONTO_MAX,"SCONTO OLTRE SOGLIA",IF($Z193&gt;0,"ORE OLTRE LA STIMA",IF($AI193&gt;ALLERTA_ORE,"CONSUMO ORE ELEVATO",IF(COUNTIFS(SAL!$B:$B,$A193,SAL!$K:$K,"EMETTIBILE")&gt;0,"SAL DA EMETTERE",IF(COUNTIFS(FASI!$B:$B,$A193,FASI!$H:$H,"&lt;"&amp;TODAY(),FASI!$L:$L,"&lt;1")&gt;0,"FASI IN RITARDO","OK"))))))))</f>
        <v/>
      </c>
    </row>
    <row r="194" spans="1:40" x14ac:dyDescent="0.3">
      <c r="A194" s="42"/>
      <c r="B194" s="42"/>
      <c r="C194" s="42"/>
      <c r="D194" s="42"/>
      <c r="E194" s="42"/>
      <c r="F194" s="42"/>
      <c r="G194" s="43"/>
      <c r="H194" s="43"/>
      <c r="I194" s="42"/>
      <c r="J194" s="44"/>
      <c r="K194" s="46"/>
      <c r="L194" s="34" t="str">
        <f t="shared" ref="L194:L201" si="90">IF($A194="","",$J194*IF($K194="",MARKUP_DEF,$K194))</f>
        <v/>
      </c>
      <c r="M194" s="33" t="str">
        <f>IF($A194="","",SUMIFS(ASSEGNAZIONI!$F:$F,ASSEGNAZIONI!$B:$B,$A194))</f>
        <v/>
      </c>
      <c r="N194" s="34" t="str">
        <f>IF($A194="","",SUMIFS(ASSEGNAZIONI!$I:$I,ASSEGNAZIONI!$B:$B,$A194))</f>
        <v/>
      </c>
      <c r="O194" s="34" t="str">
        <f>IF($A194="","",SUMIFS(ASSEGNAZIONI!$J:$J,ASSEGNAZIONI!$B:$B,$A194))</f>
        <v/>
      </c>
      <c r="P194" s="34" t="str">
        <f t="shared" ref="P194:P201" si="91">IF($A194="","",$L194+$N194)</f>
        <v/>
      </c>
      <c r="Q194" s="44"/>
      <c r="R194" s="34" t="str">
        <f t="shared" ref="R194:R201" si="92">IF($A194="","",IF($Q194="",0,$Q194-$P194))</f>
        <v/>
      </c>
      <c r="S194" s="35" t="str">
        <f t="shared" ref="S194:S201" si="93">IF($A194="","",IFERROR($R194/$P194,0))</f>
        <v/>
      </c>
      <c r="T194" s="34" t="str">
        <f>IF($A194="","",SUMIFS(ODA!$R:$R,ODA!$B:$B,$A194))</f>
        <v/>
      </c>
      <c r="U194" s="34" t="str">
        <f>IF($A194="","",SUMIFS(ODA!$P:$P,ODA!$B:$B,$A194))</f>
        <v/>
      </c>
      <c r="V194" s="45" t="str">
        <f t="shared" ref="V194:V201" si="94">IF($A194="","",IFERROR($L194/$T194,0))</f>
        <v/>
      </c>
      <c r="W194" s="33" t="str">
        <f>IF($A194="","",SUMIFS(ORE!$F:$F,ORE!$B:$B,$A194))</f>
        <v/>
      </c>
      <c r="X194" s="33" t="str">
        <f>IF($A194="","",SUMIFS(PREVISIONE_ORE!$G:$G,PREVISIONE_ORE!$D:$D,$A194,PREVISIONE_ORE!$K:$K,"Sì"))</f>
        <v/>
      </c>
      <c r="Y194" s="33" t="str">
        <f>IF($A194="","",IF(COUNTIFS(ASSEGNAZIONI!$B:$B,$A194)&gt;0,SUMIFS(ASSEGNAZIONI!$N:$N,ASSEGNAZIONI!$B:$B,$A194),MAX($W194,0)))</f>
        <v/>
      </c>
      <c r="Z194" s="33" t="str">
        <f t="shared" ref="Z194:Z201" si="95">IF($A194="","",$Y194-$M194)</f>
        <v/>
      </c>
      <c r="AA194" s="34" t="str">
        <f>IF($A194="","",IF(COUNTIFS(ASSEGNAZIONI!$B:$B,$A194)&gt;0,SUMIFS(ASSEGNAZIONI!$P:$P,ASSEGNAZIONI!$B:$B,$A194),0))</f>
        <v/>
      </c>
      <c r="AB194" s="34" t="str">
        <f t="shared" ref="AB194:AB201" si="96">IF($A194="","",MAX($T194,$J194))</f>
        <v/>
      </c>
      <c r="AC194" s="34" t="str">
        <f t="shared" ref="AC194:AC201" si="97">IF($A194="","",$AA194+$AB194)</f>
        <v/>
      </c>
      <c r="AD194" s="34" t="str">
        <f t="shared" ref="AD194:AD201" si="98">IF($A194="","",IF($Q194="",0,$Q194-$AC194))</f>
        <v/>
      </c>
      <c r="AE194" s="35" t="str">
        <f t="shared" ref="AE194:AE201" si="99">IF($A194="","",IFERROR($AD194/$Q194,0))</f>
        <v/>
      </c>
      <c r="AF194" s="34" t="str">
        <f t="shared" ref="AF194:AF201" si="100">IF($A194="","",$N194-$AA194)</f>
        <v/>
      </c>
      <c r="AG194" s="34" t="str">
        <f t="shared" ref="AG194:AG201" si="101">IF($A194="","",$L194-$AB194)</f>
        <v/>
      </c>
      <c r="AH194" s="35" t="str">
        <f>IF($A194="","",IFERROR(AVERAGEIFS(FASI!$L:$L,FASI!$B:$B,$A194),0))</f>
        <v/>
      </c>
      <c r="AI194" s="35" t="str">
        <f t="shared" ref="AI194:AI201" si="102">IF($A194="","",IFERROR($W194/$M194,0))</f>
        <v/>
      </c>
      <c r="AJ194" s="34" t="str">
        <f>IF($A194="","",SUMIFS(SAL!$H:$H,SAL!$B:$B,$A194,SAL!$O:$O,"Emessa")+SUMIFS(SAL!$H:$H,SAL!$B:$B,$A194,SAL!$O:$O,"Incassata")+SUMIFS(SAL!$H:$H,SAL!$B:$B,$A194,SAL!$O:$O,"Scaduta"))</f>
        <v/>
      </c>
      <c r="AK194" s="34" t="str">
        <f>IF($A194="","",SUMIFS(SAL!$H:$H,SAL!$B:$B,$A194,SAL!$O:$O,"Incassata"))</f>
        <v/>
      </c>
      <c r="AL194" s="34" t="str">
        <f t="shared" ref="AL194:AL201" si="103">IF($A194="","",IF($Q194="",0,$Q194-$AJ194))</f>
        <v/>
      </c>
      <c r="AM194" s="34" t="str">
        <f t="shared" ref="AM194:AM201" si="104">IF($A194="","",$U194-$AK194)</f>
        <v/>
      </c>
      <c r="AN194" s="36" t="str">
        <f ca="1">IF($A194="","",IF($M194=0,"RISORSE NON ASSEGNATE",IF($AE194&lt;0.1,"MARGINE CRITICO",IF($S194&lt;-SCONTO_MAX,"SCONTO OLTRE SOGLIA",IF($Z194&gt;0,"ORE OLTRE LA STIMA",IF($AI194&gt;ALLERTA_ORE,"CONSUMO ORE ELEVATO",IF(COUNTIFS(SAL!$B:$B,$A194,SAL!$K:$K,"EMETTIBILE")&gt;0,"SAL DA EMETTERE",IF(COUNTIFS(FASI!$B:$B,$A194,FASI!$H:$H,"&lt;"&amp;TODAY(),FASI!$L:$L,"&lt;1")&gt;0,"FASI IN RITARDO","OK"))))))))</f>
        <v/>
      </c>
    </row>
    <row r="195" spans="1:40" x14ac:dyDescent="0.3">
      <c r="A195" s="42"/>
      <c r="B195" s="42"/>
      <c r="C195" s="42"/>
      <c r="D195" s="42"/>
      <c r="E195" s="42"/>
      <c r="F195" s="42"/>
      <c r="G195" s="43"/>
      <c r="H195" s="43"/>
      <c r="I195" s="42"/>
      <c r="J195" s="44"/>
      <c r="K195" s="46"/>
      <c r="L195" s="34" t="str">
        <f t="shared" si="90"/>
        <v/>
      </c>
      <c r="M195" s="33" t="str">
        <f>IF($A195="","",SUMIFS(ASSEGNAZIONI!$F:$F,ASSEGNAZIONI!$B:$B,$A195))</f>
        <v/>
      </c>
      <c r="N195" s="34" t="str">
        <f>IF($A195="","",SUMIFS(ASSEGNAZIONI!$I:$I,ASSEGNAZIONI!$B:$B,$A195))</f>
        <v/>
      </c>
      <c r="O195" s="34" t="str">
        <f>IF($A195="","",SUMIFS(ASSEGNAZIONI!$J:$J,ASSEGNAZIONI!$B:$B,$A195))</f>
        <v/>
      </c>
      <c r="P195" s="34" t="str">
        <f t="shared" si="91"/>
        <v/>
      </c>
      <c r="Q195" s="44"/>
      <c r="R195" s="34" t="str">
        <f t="shared" si="92"/>
        <v/>
      </c>
      <c r="S195" s="35" t="str">
        <f t="shared" si="93"/>
        <v/>
      </c>
      <c r="T195" s="34" t="str">
        <f>IF($A195="","",SUMIFS(ODA!$R:$R,ODA!$B:$B,$A195))</f>
        <v/>
      </c>
      <c r="U195" s="34" t="str">
        <f>IF($A195="","",SUMIFS(ODA!$P:$P,ODA!$B:$B,$A195))</f>
        <v/>
      </c>
      <c r="V195" s="45" t="str">
        <f t="shared" si="94"/>
        <v/>
      </c>
      <c r="W195" s="33" t="str">
        <f>IF($A195="","",SUMIFS(ORE!$F:$F,ORE!$B:$B,$A195))</f>
        <v/>
      </c>
      <c r="X195" s="33" t="str">
        <f>IF($A195="","",SUMIFS(PREVISIONE_ORE!$G:$G,PREVISIONE_ORE!$D:$D,$A195,PREVISIONE_ORE!$K:$K,"Sì"))</f>
        <v/>
      </c>
      <c r="Y195" s="33" t="str">
        <f>IF($A195="","",IF(COUNTIFS(ASSEGNAZIONI!$B:$B,$A195)&gt;0,SUMIFS(ASSEGNAZIONI!$N:$N,ASSEGNAZIONI!$B:$B,$A195),MAX($W195,0)))</f>
        <v/>
      </c>
      <c r="Z195" s="33" t="str">
        <f t="shared" si="95"/>
        <v/>
      </c>
      <c r="AA195" s="34" t="str">
        <f>IF($A195="","",IF(COUNTIFS(ASSEGNAZIONI!$B:$B,$A195)&gt;0,SUMIFS(ASSEGNAZIONI!$P:$P,ASSEGNAZIONI!$B:$B,$A195),0))</f>
        <v/>
      </c>
      <c r="AB195" s="34" t="str">
        <f t="shared" si="96"/>
        <v/>
      </c>
      <c r="AC195" s="34" t="str">
        <f t="shared" si="97"/>
        <v/>
      </c>
      <c r="AD195" s="34" t="str">
        <f t="shared" si="98"/>
        <v/>
      </c>
      <c r="AE195" s="35" t="str">
        <f t="shared" si="99"/>
        <v/>
      </c>
      <c r="AF195" s="34" t="str">
        <f t="shared" si="100"/>
        <v/>
      </c>
      <c r="AG195" s="34" t="str">
        <f t="shared" si="101"/>
        <v/>
      </c>
      <c r="AH195" s="35" t="str">
        <f>IF($A195="","",IFERROR(AVERAGEIFS(FASI!$L:$L,FASI!$B:$B,$A195),0))</f>
        <v/>
      </c>
      <c r="AI195" s="35" t="str">
        <f t="shared" si="102"/>
        <v/>
      </c>
      <c r="AJ195" s="34" t="str">
        <f>IF($A195="","",SUMIFS(SAL!$H:$H,SAL!$B:$B,$A195,SAL!$O:$O,"Emessa")+SUMIFS(SAL!$H:$H,SAL!$B:$B,$A195,SAL!$O:$O,"Incassata")+SUMIFS(SAL!$H:$H,SAL!$B:$B,$A195,SAL!$O:$O,"Scaduta"))</f>
        <v/>
      </c>
      <c r="AK195" s="34" t="str">
        <f>IF($A195="","",SUMIFS(SAL!$H:$H,SAL!$B:$B,$A195,SAL!$O:$O,"Incassata"))</f>
        <v/>
      </c>
      <c r="AL195" s="34" t="str">
        <f t="shared" si="103"/>
        <v/>
      </c>
      <c r="AM195" s="34" t="str">
        <f t="shared" si="104"/>
        <v/>
      </c>
      <c r="AN195" s="36" t="str">
        <f ca="1">IF($A195="","",IF($M195=0,"RISORSE NON ASSEGNATE",IF($AE195&lt;0.1,"MARGINE CRITICO",IF($S195&lt;-SCONTO_MAX,"SCONTO OLTRE SOGLIA",IF($Z195&gt;0,"ORE OLTRE LA STIMA",IF($AI195&gt;ALLERTA_ORE,"CONSUMO ORE ELEVATO",IF(COUNTIFS(SAL!$B:$B,$A195,SAL!$K:$K,"EMETTIBILE")&gt;0,"SAL DA EMETTERE",IF(COUNTIFS(FASI!$B:$B,$A195,FASI!$H:$H,"&lt;"&amp;TODAY(),FASI!$L:$L,"&lt;1")&gt;0,"FASI IN RITARDO","OK"))))))))</f>
        <v/>
      </c>
    </row>
    <row r="196" spans="1:40" x14ac:dyDescent="0.3">
      <c r="A196" s="42"/>
      <c r="B196" s="42"/>
      <c r="C196" s="42"/>
      <c r="D196" s="42"/>
      <c r="E196" s="42"/>
      <c r="F196" s="42"/>
      <c r="G196" s="43"/>
      <c r="H196" s="43"/>
      <c r="I196" s="42"/>
      <c r="J196" s="44"/>
      <c r="K196" s="46"/>
      <c r="L196" s="34" t="str">
        <f t="shared" si="90"/>
        <v/>
      </c>
      <c r="M196" s="33" t="str">
        <f>IF($A196="","",SUMIFS(ASSEGNAZIONI!$F:$F,ASSEGNAZIONI!$B:$B,$A196))</f>
        <v/>
      </c>
      <c r="N196" s="34" t="str">
        <f>IF($A196="","",SUMIFS(ASSEGNAZIONI!$I:$I,ASSEGNAZIONI!$B:$B,$A196))</f>
        <v/>
      </c>
      <c r="O196" s="34" t="str">
        <f>IF($A196="","",SUMIFS(ASSEGNAZIONI!$J:$J,ASSEGNAZIONI!$B:$B,$A196))</f>
        <v/>
      </c>
      <c r="P196" s="34" t="str">
        <f t="shared" si="91"/>
        <v/>
      </c>
      <c r="Q196" s="44"/>
      <c r="R196" s="34" t="str">
        <f t="shared" si="92"/>
        <v/>
      </c>
      <c r="S196" s="35" t="str">
        <f t="shared" si="93"/>
        <v/>
      </c>
      <c r="T196" s="34" t="str">
        <f>IF($A196="","",SUMIFS(ODA!$R:$R,ODA!$B:$B,$A196))</f>
        <v/>
      </c>
      <c r="U196" s="34" t="str">
        <f>IF($A196="","",SUMIFS(ODA!$P:$P,ODA!$B:$B,$A196))</f>
        <v/>
      </c>
      <c r="V196" s="45" t="str">
        <f t="shared" si="94"/>
        <v/>
      </c>
      <c r="W196" s="33" t="str">
        <f>IF($A196="","",SUMIFS(ORE!$F:$F,ORE!$B:$B,$A196))</f>
        <v/>
      </c>
      <c r="X196" s="33" t="str">
        <f>IF($A196="","",SUMIFS(PREVISIONE_ORE!$G:$G,PREVISIONE_ORE!$D:$D,$A196,PREVISIONE_ORE!$K:$K,"Sì"))</f>
        <v/>
      </c>
      <c r="Y196" s="33" t="str">
        <f>IF($A196="","",IF(COUNTIFS(ASSEGNAZIONI!$B:$B,$A196)&gt;0,SUMIFS(ASSEGNAZIONI!$N:$N,ASSEGNAZIONI!$B:$B,$A196),MAX($W196,0)))</f>
        <v/>
      </c>
      <c r="Z196" s="33" t="str">
        <f t="shared" si="95"/>
        <v/>
      </c>
      <c r="AA196" s="34" t="str">
        <f>IF($A196="","",IF(COUNTIFS(ASSEGNAZIONI!$B:$B,$A196)&gt;0,SUMIFS(ASSEGNAZIONI!$P:$P,ASSEGNAZIONI!$B:$B,$A196),0))</f>
        <v/>
      </c>
      <c r="AB196" s="34" t="str">
        <f t="shared" si="96"/>
        <v/>
      </c>
      <c r="AC196" s="34" t="str">
        <f t="shared" si="97"/>
        <v/>
      </c>
      <c r="AD196" s="34" t="str">
        <f t="shared" si="98"/>
        <v/>
      </c>
      <c r="AE196" s="35" t="str">
        <f t="shared" si="99"/>
        <v/>
      </c>
      <c r="AF196" s="34" t="str">
        <f t="shared" si="100"/>
        <v/>
      </c>
      <c r="AG196" s="34" t="str">
        <f t="shared" si="101"/>
        <v/>
      </c>
      <c r="AH196" s="35" t="str">
        <f>IF($A196="","",IFERROR(AVERAGEIFS(FASI!$L:$L,FASI!$B:$B,$A196),0))</f>
        <v/>
      </c>
      <c r="AI196" s="35" t="str">
        <f t="shared" si="102"/>
        <v/>
      </c>
      <c r="AJ196" s="34" t="str">
        <f>IF($A196="","",SUMIFS(SAL!$H:$H,SAL!$B:$B,$A196,SAL!$O:$O,"Emessa")+SUMIFS(SAL!$H:$H,SAL!$B:$B,$A196,SAL!$O:$O,"Incassata")+SUMIFS(SAL!$H:$H,SAL!$B:$B,$A196,SAL!$O:$O,"Scaduta"))</f>
        <v/>
      </c>
      <c r="AK196" s="34" t="str">
        <f>IF($A196="","",SUMIFS(SAL!$H:$H,SAL!$B:$B,$A196,SAL!$O:$O,"Incassata"))</f>
        <v/>
      </c>
      <c r="AL196" s="34" t="str">
        <f t="shared" si="103"/>
        <v/>
      </c>
      <c r="AM196" s="34" t="str">
        <f t="shared" si="104"/>
        <v/>
      </c>
      <c r="AN196" s="36" t="str">
        <f ca="1">IF($A196="","",IF($M196=0,"RISORSE NON ASSEGNATE",IF($AE196&lt;0.1,"MARGINE CRITICO",IF($S196&lt;-SCONTO_MAX,"SCONTO OLTRE SOGLIA",IF($Z196&gt;0,"ORE OLTRE LA STIMA",IF($AI196&gt;ALLERTA_ORE,"CONSUMO ORE ELEVATO",IF(COUNTIFS(SAL!$B:$B,$A196,SAL!$K:$K,"EMETTIBILE")&gt;0,"SAL DA EMETTERE",IF(COUNTIFS(FASI!$B:$B,$A196,FASI!$H:$H,"&lt;"&amp;TODAY(),FASI!$L:$L,"&lt;1")&gt;0,"FASI IN RITARDO","OK"))))))))</f>
        <v/>
      </c>
    </row>
    <row r="197" spans="1:40" x14ac:dyDescent="0.3">
      <c r="A197" s="42"/>
      <c r="B197" s="42"/>
      <c r="C197" s="42"/>
      <c r="D197" s="42"/>
      <c r="E197" s="42"/>
      <c r="F197" s="42"/>
      <c r="G197" s="43"/>
      <c r="H197" s="43"/>
      <c r="I197" s="42"/>
      <c r="J197" s="44"/>
      <c r="K197" s="46"/>
      <c r="L197" s="34" t="str">
        <f t="shared" si="90"/>
        <v/>
      </c>
      <c r="M197" s="33" t="str">
        <f>IF($A197="","",SUMIFS(ASSEGNAZIONI!$F:$F,ASSEGNAZIONI!$B:$B,$A197))</f>
        <v/>
      </c>
      <c r="N197" s="34" t="str">
        <f>IF($A197="","",SUMIFS(ASSEGNAZIONI!$I:$I,ASSEGNAZIONI!$B:$B,$A197))</f>
        <v/>
      </c>
      <c r="O197" s="34" t="str">
        <f>IF($A197="","",SUMIFS(ASSEGNAZIONI!$J:$J,ASSEGNAZIONI!$B:$B,$A197))</f>
        <v/>
      </c>
      <c r="P197" s="34" t="str">
        <f t="shared" si="91"/>
        <v/>
      </c>
      <c r="Q197" s="44"/>
      <c r="R197" s="34" t="str">
        <f t="shared" si="92"/>
        <v/>
      </c>
      <c r="S197" s="35" t="str">
        <f t="shared" si="93"/>
        <v/>
      </c>
      <c r="T197" s="34" t="str">
        <f>IF($A197="","",SUMIFS(ODA!$R:$R,ODA!$B:$B,$A197))</f>
        <v/>
      </c>
      <c r="U197" s="34" t="str">
        <f>IF($A197="","",SUMIFS(ODA!$P:$P,ODA!$B:$B,$A197))</f>
        <v/>
      </c>
      <c r="V197" s="45" t="str">
        <f t="shared" si="94"/>
        <v/>
      </c>
      <c r="W197" s="33" t="str">
        <f>IF($A197="","",SUMIFS(ORE!$F:$F,ORE!$B:$B,$A197))</f>
        <v/>
      </c>
      <c r="X197" s="33" t="str">
        <f>IF($A197="","",SUMIFS(PREVISIONE_ORE!$G:$G,PREVISIONE_ORE!$D:$D,$A197,PREVISIONE_ORE!$K:$K,"Sì"))</f>
        <v/>
      </c>
      <c r="Y197" s="33" t="str">
        <f>IF($A197="","",IF(COUNTIFS(ASSEGNAZIONI!$B:$B,$A197)&gt;0,SUMIFS(ASSEGNAZIONI!$N:$N,ASSEGNAZIONI!$B:$B,$A197),MAX($W197,0)))</f>
        <v/>
      </c>
      <c r="Z197" s="33" t="str">
        <f t="shared" si="95"/>
        <v/>
      </c>
      <c r="AA197" s="34" t="str">
        <f>IF($A197="","",IF(COUNTIFS(ASSEGNAZIONI!$B:$B,$A197)&gt;0,SUMIFS(ASSEGNAZIONI!$P:$P,ASSEGNAZIONI!$B:$B,$A197),0))</f>
        <v/>
      </c>
      <c r="AB197" s="34" t="str">
        <f t="shared" si="96"/>
        <v/>
      </c>
      <c r="AC197" s="34" t="str">
        <f t="shared" si="97"/>
        <v/>
      </c>
      <c r="AD197" s="34" t="str">
        <f t="shared" si="98"/>
        <v/>
      </c>
      <c r="AE197" s="35" t="str">
        <f t="shared" si="99"/>
        <v/>
      </c>
      <c r="AF197" s="34" t="str">
        <f t="shared" si="100"/>
        <v/>
      </c>
      <c r="AG197" s="34" t="str">
        <f t="shared" si="101"/>
        <v/>
      </c>
      <c r="AH197" s="35" t="str">
        <f>IF($A197="","",IFERROR(AVERAGEIFS(FASI!$L:$L,FASI!$B:$B,$A197),0))</f>
        <v/>
      </c>
      <c r="AI197" s="35" t="str">
        <f t="shared" si="102"/>
        <v/>
      </c>
      <c r="AJ197" s="34" t="str">
        <f>IF($A197="","",SUMIFS(SAL!$H:$H,SAL!$B:$B,$A197,SAL!$O:$O,"Emessa")+SUMIFS(SAL!$H:$H,SAL!$B:$B,$A197,SAL!$O:$O,"Incassata")+SUMIFS(SAL!$H:$H,SAL!$B:$B,$A197,SAL!$O:$O,"Scaduta"))</f>
        <v/>
      </c>
      <c r="AK197" s="34" t="str">
        <f>IF($A197="","",SUMIFS(SAL!$H:$H,SAL!$B:$B,$A197,SAL!$O:$O,"Incassata"))</f>
        <v/>
      </c>
      <c r="AL197" s="34" t="str">
        <f t="shared" si="103"/>
        <v/>
      </c>
      <c r="AM197" s="34" t="str">
        <f t="shared" si="104"/>
        <v/>
      </c>
      <c r="AN197" s="36" t="str">
        <f ca="1">IF($A197="","",IF($M197=0,"RISORSE NON ASSEGNATE",IF($AE197&lt;0.1,"MARGINE CRITICO",IF($S197&lt;-SCONTO_MAX,"SCONTO OLTRE SOGLIA",IF($Z197&gt;0,"ORE OLTRE LA STIMA",IF($AI197&gt;ALLERTA_ORE,"CONSUMO ORE ELEVATO",IF(COUNTIFS(SAL!$B:$B,$A197,SAL!$K:$K,"EMETTIBILE")&gt;0,"SAL DA EMETTERE",IF(COUNTIFS(FASI!$B:$B,$A197,FASI!$H:$H,"&lt;"&amp;TODAY(),FASI!$L:$L,"&lt;1")&gt;0,"FASI IN RITARDO","OK"))))))))</f>
        <v/>
      </c>
    </row>
    <row r="198" spans="1:40" x14ac:dyDescent="0.3">
      <c r="A198" s="42"/>
      <c r="B198" s="42"/>
      <c r="C198" s="42"/>
      <c r="D198" s="42"/>
      <c r="E198" s="42"/>
      <c r="F198" s="42"/>
      <c r="G198" s="43"/>
      <c r="H198" s="43"/>
      <c r="I198" s="42"/>
      <c r="J198" s="44"/>
      <c r="K198" s="46"/>
      <c r="L198" s="34" t="str">
        <f t="shared" si="90"/>
        <v/>
      </c>
      <c r="M198" s="33" t="str">
        <f>IF($A198="","",SUMIFS(ASSEGNAZIONI!$F:$F,ASSEGNAZIONI!$B:$B,$A198))</f>
        <v/>
      </c>
      <c r="N198" s="34" t="str">
        <f>IF($A198="","",SUMIFS(ASSEGNAZIONI!$I:$I,ASSEGNAZIONI!$B:$B,$A198))</f>
        <v/>
      </c>
      <c r="O198" s="34" t="str">
        <f>IF($A198="","",SUMIFS(ASSEGNAZIONI!$J:$J,ASSEGNAZIONI!$B:$B,$A198))</f>
        <v/>
      </c>
      <c r="P198" s="34" t="str">
        <f t="shared" si="91"/>
        <v/>
      </c>
      <c r="Q198" s="44"/>
      <c r="R198" s="34" t="str">
        <f t="shared" si="92"/>
        <v/>
      </c>
      <c r="S198" s="35" t="str">
        <f t="shared" si="93"/>
        <v/>
      </c>
      <c r="T198" s="34" t="str">
        <f>IF($A198="","",SUMIFS(ODA!$R:$R,ODA!$B:$B,$A198))</f>
        <v/>
      </c>
      <c r="U198" s="34" t="str">
        <f>IF($A198="","",SUMIFS(ODA!$P:$P,ODA!$B:$B,$A198))</f>
        <v/>
      </c>
      <c r="V198" s="45" t="str">
        <f t="shared" si="94"/>
        <v/>
      </c>
      <c r="W198" s="33" t="str">
        <f>IF($A198="","",SUMIFS(ORE!$F:$F,ORE!$B:$B,$A198))</f>
        <v/>
      </c>
      <c r="X198" s="33" t="str">
        <f>IF($A198="","",SUMIFS(PREVISIONE_ORE!$G:$G,PREVISIONE_ORE!$D:$D,$A198,PREVISIONE_ORE!$K:$K,"Sì"))</f>
        <v/>
      </c>
      <c r="Y198" s="33" t="str">
        <f>IF($A198="","",IF(COUNTIFS(ASSEGNAZIONI!$B:$B,$A198)&gt;0,SUMIFS(ASSEGNAZIONI!$N:$N,ASSEGNAZIONI!$B:$B,$A198),MAX($W198,0)))</f>
        <v/>
      </c>
      <c r="Z198" s="33" t="str">
        <f t="shared" si="95"/>
        <v/>
      </c>
      <c r="AA198" s="34" t="str">
        <f>IF($A198="","",IF(COUNTIFS(ASSEGNAZIONI!$B:$B,$A198)&gt;0,SUMIFS(ASSEGNAZIONI!$P:$P,ASSEGNAZIONI!$B:$B,$A198),0))</f>
        <v/>
      </c>
      <c r="AB198" s="34" t="str">
        <f t="shared" si="96"/>
        <v/>
      </c>
      <c r="AC198" s="34" t="str">
        <f t="shared" si="97"/>
        <v/>
      </c>
      <c r="AD198" s="34" t="str">
        <f t="shared" si="98"/>
        <v/>
      </c>
      <c r="AE198" s="35" t="str">
        <f t="shared" si="99"/>
        <v/>
      </c>
      <c r="AF198" s="34" t="str">
        <f t="shared" si="100"/>
        <v/>
      </c>
      <c r="AG198" s="34" t="str">
        <f t="shared" si="101"/>
        <v/>
      </c>
      <c r="AH198" s="35" t="str">
        <f>IF($A198="","",IFERROR(AVERAGEIFS(FASI!$L:$L,FASI!$B:$B,$A198),0))</f>
        <v/>
      </c>
      <c r="AI198" s="35" t="str">
        <f t="shared" si="102"/>
        <v/>
      </c>
      <c r="AJ198" s="34" t="str">
        <f>IF($A198="","",SUMIFS(SAL!$H:$H,SAL!$B:$B,$A198,SAL!$O:$O,"Emessa")+SUMIFS(SAL!$H:$H,SAL!$B:$B,$A198,SAL!$O:$O,"Incassata")+SUMIFS(SAL!$H:$H,SAL!$B:$B,$A198,SAL!$O:$O,"Scaduta"))</f>
        <v/>
      </c>
      <c r="AK198" s="34" t="str">
        <f>IF($A198="","",SUMIFS(SAL!$H:$H,SAL!$B:$B,$A198,SAL!$O:$O,"Incassata"))</f>
        <v/>
      </c>
      <c r="AL198" s="34" t="str">
        <f t="shared" si="103"/>
        <v/>
      </c>
      <c r="AM198" s="34" t="str">
        <f t="shared" si="104"/>
        <v/>
      </c>
      <c r="AN198" s="36" t="str">
        <f ca="1">IF($A198="","",IF($M198=0,"RISORSE NON ASSEGNATE",IF($AE198&lt;0.1,"MARGINE CRITICO",IF($S198&lt;-SCONTO_MAX,"SCONTO OLTRE SOGLIA",IF($Z198&gt;0,"ORE OLTRE LA STIMA",IF($AI198&gt;ALLERTA_ORE,"CONSUMO ORE ELEVATO",IF(COUNTIFS(SAL!$B:$B,$A198,SAL!$K:$K,"EMETTIBILE")&gt;0,"SAL DA EMETTERE",IF(COUNTIFS(FASI!$B:$B,$A198,FASI!$H:$H,"&lt;"&amp;TODAY(),FASI!$L:$L,"&lt;1")&gt;0,"FASI IN RITARDO","OK"))))))))</f>
        <v/>
      </c>
    </row>
    <row r="199" spans="1:40" x14ac:dyDescent="0.3">
      <c r="A199" s="42"/>
      <c r="B199" s="42"/>
      <c r="C199" s="42"/>
      <c r="D199" s="42"/>
      <c r="E199" s="42"/>
      <c r="F199" s="42"/>
      <c r="G199" s="43"/>
      <c r="H199" s="43"/>
      <c r="I199" s="42"/>
      <c r="J199" s="44"/>
      <c r="K199" s="46"/>
      <c r="L199" s="34" t="str">
        <f t="shared" si="90"/>
        <v/>
      </c>
      <c r="M199" s="33" t="str">
        <f>IF($A199="","",SUMIFS(ASSEGNAZIONI!$F:$F,ASSEGNAZIONI!$B:$B,$A199))</f>
        <v/>
      </c>
      <c r="N199" s="34" t="str">
        <f>IF($A199="","",SUMIFS(ASSEGNAZIONI!$I:$I,ASSEGNAZIONI!$B:$B,$A199))</f>
        <v/>
      </c>
      <c r="O199" s="34" t="str">
        <f>IF($A199="","",SUMIFS(ASSEGNAZIONI!$J:$J,ASSEGNAZIONI!$B:$B,$A199))</f>
        <v/>
      </c>
      <c r="P199" s="34" t="str">
        <f t="shared" si="91"/>
        <v/>
      </c>
      <c r="Q199" s="44"/>
      <c r="R199" s="34" t="str">
        <f t="shared" si="92"/>
        <v/>
      </c>
      <c r="S199" s="35" t="str">
        <f t="shared" si="93"/>
        <v/>
      </c>
      <c r="T199" s="34" t="str">
        <f>IF($A199="","",SUMIFS(ODA!$R:$R,ODA!$B:$B,$A199))</f>
        <v/>
      </c>
      <c r="U199" s="34" t="str">
        <f>IF($A199="","",SUMIFS(ODA!$P:$P,ODA!$B:$B,$A199))</f>
        <v/>
      </c>
      <c r="V199" s="45" t="str">
        <f t="shared" si="94"/>
        <v/>
      </c>
      <c r="W199" s="33" t="str">
        <f>IF($A199="","",SUMIFS(ORE!$F:$F,ORE!$B:$B,$A199))</f>
        <v/>
      </c>
      <c r="X199" s="33" t="str">
        <f>IF($A199="","",SUMIFS(PREVISIONE_ORE!$G:$G,PREVISIONE_ORE!$D:$D,$A199,PREVISIONE_ORE!$K:$K,"Sì"))</f>
        <v/>
      </c>
      <c r="Y199" s="33" t="str">
        <f>IF($A199="","",IF(COUNTIFS(ASSEGNAZIONI!$B:$B,$A199)&gt;0,SUMIFS(ASSEGNAZIONI!$N:$N,ASSEGNAZIONI!$B:$B,$A199),MAX($W199,0)))</f>
        <v/>
      </c>
      <c r="Z199" s="33" t="str">
        <f t="shared" si="95"/>
        <v/>
      </c>
      <c r="AA199" s="34" t="str">
        <f>IF($A199="","",IF(COUNTIFS(ASSEGNAZIONI!$B:$B,$A199)&gt;0,SUMIFS(ASSEGNAZIONI!$P:$P,ASSEGNAZIONI!$B:$B,$A199),0))</f>
        <v/>
      </c>
      <c r="AB199" s="34" t="str">
        <f t="shared" si="96"/>
        <v/>
      </c>
      <c r="AC199" s="34" t="str">
        <f t="shared" si="97"/>
        <v/>
      </c>
      <c r="AD199" s="34" t="str">
        <f t="shared" si="98"/>
        <v/>
      </c>
      <c r="AE199" s="35" t="str">
        <f t="shared" si="99"/>
        <v/>
      </c>
      <c r="AF199" s="34" t="str">
        <f t="shared" si="100"/>
        <v/>
      </c>
      <c r="AG199" s="34" t="str">
        <f t="shared" si="101"/>
        <v/>
      </c>
      <c r="AH199" s="35" t="str">
        <f>IF($A199="","",IFERROR(AVERAGEIFS(FASI!$L:$L,FASI!$B:$B,$A199),0))</f>
        <v/>
      </c>
      <c r="AI199" s="35" t="str">
        <f t="shared" si="102"/>
        <v/>
      </c>
      <c r="AJ199" s="34" t="str">
        <f>IF($A199="","",SUMIFS(SAL!$H:$H,SAL!$B:$B,$A199,SAL!$O:$O,"Emessa")+SUMIFS(SAL!$H:$H,SAL!$B:$B,$A199,SAL!$O:$O,"Incassata")+SUMIFS(SAL!$H:$H,SAL!$B:$B,$A199,SAL!$O:$O,"Scaduta"))</f>
        <v/>
      </c>
      <c r="AK199" s="34" t="str">
        <f>IF($A199="","",SUMIFS(SAL!$H:$H,SAL!$B:$B,$A199,SAL!$O:$O,"Incassata"))</f>
        <v/>
      </c>
      <c r="AL199" s="34" t="str">
        <f t="shared" si="103"/>
        <v/>
      </c>
      <c r="AM199" s="34" t="str">
        <f t="shared" si="104"/>
        <v/>
      </c>
      <c r="AN199" s="36" t="str">
        <f ca="1">IF($A199="","",IF($M199=0,"RISORSE NON ASSEGNATE",IF($AE199&lt;0.1,"MARGINE CRITICO",IF($S199&lt;-SCONTO_MAX,"SCONTO OLTRE SOGLIA",IF($Z199&gt;0,"ORE OLTRE LA STIMA",IF($AI199&gt;ALLERTA_ORE,"CONSUMO ORE ELEVATO",IF(COUNTIFS(SAL!$B:$B,$A199,SAL!$K:$K,"EMETTIBILE")&gt;0,"SAL DA EMETTERE",IF(COUNTIFS(FASI!$B:$B,$A199,FASI!$H:$H,"&lt;"&amp;TODAY(),FASI!$L:$L,"&lt;1")&gt;0,"FASI IN RITARDO","OK"))))))))</f>
        <v/>
      </c>
    </row>
    <row r="200" spans="1:40" x14ac:dyDescent="0.3">
      <c r="A200" s="42"/>
      <c r="B200" s="42"/>
      <c r="C200" s="42"/>
      <c r="D200" s="42"/>
      <c r="E200" s="42"/>
      <c r="F200" s="42"/>
      <c r="G200" s="43"/>
      <c r="H200" s="43"/>
      <c r="I200" s="42"/>
      <c r="J200" s="44"/>
      <c r="K200" s="46"/>
      <c r="L200" s="34" t="str">
        <f t="shared" si="90"/>
        <v/>
      </c>
      <c r="M200" s="33" t="str">
        <f>IF($A200="","",SUMIFS(ASSEGNAZIONI!$F:$F,ASSEGNAZIONI!$B:$B,$A200))</f>
        <v/>
      </c>
      <c r="N200" s="34" t="str">
        <f>IF($A200="","",SUMIFS(ASSEGNAZIONI!$I:$I,ASSEGNAZIONI!$B:$B,$A200))</f>
        <v/>
      </c>
      <c r="O200" s="34" t="str">
        <f>IF($A200="","",SUMIFS(ASSEGNAZIONI!$J:$J,ASSEGNAZIONI!$B:$B,$A200))</f>
        <v/>
      </c>
      <c r="P200" s="34" t="str">
        <f t="shared" si="91"/>
        <v/>
      </c>
      <c r="Q200" s="44"/>
      <c r="R200" s="34" t="str">
        <f t="shared" si="92"/>
        <v/>
      </c>
      <c r="S200" s="35" t="str">
        <f t="shared" si="93"/>
        <v/>
      </c>
      <c r="T200" s="34" t="str">
        <f>IF($A200="","",SUMIFS(ODA!$R:$R,ODA!$B:$B,$A200))</f>
        <v/>
      </c>
      <c r="U200" s="34" t="str">
        <f>IF($A200="","",SUMIFS(ODA!$P:$P,ODA!$B:$B,$A200))</f>
        <v/>
      </c>
      <c r="V200" s="45" t="str">
        <f t="shared" si="94"/>
        <v/>
      </c>
      <c r="W200" s="33" t="str">
        <f>IF($A200="","",SUMIFS(ORE!$F:$F,ORE!$B:$B,$A200))</f>
        <v/>
      </c>
      <c r="X200" s="33" t="str">
        <f>IF($A200="","",SUMIFS(PREVISIONE_ORE!$G:$G,PREVISIONE_ORE!$D:$D,$A200,PREVISIONE_ORE!$K:$K,"Sì"))</f>
        <v/>
      </c>
      <c r="Y200" s="33" t="str">
        <f>IF($A200="","",IF(COUNTIFS(ASSEGNAZIONI!$B:$B,$A200)&gt;0,SUMIFS(ASSEGNAZIONI!$N:$N,ASSEGNAZIONI!$B:$B,$A200),MAX($W200,0)))</f>
        <v/>
      </c>
      <c r="Z200" s="33" t="str">
        <f t="shared" si="95"/>
        <v/>
      </c>
      <c r="AA200" s="34" t="str">
        <f>IF($A200="","",IF(COUNTIFS(ASSEGNAZIONI!$B:$B,$A200)&gt;0,SUMIFS(ASSEGNAZIONI!$P:$P,ASSEGNAZIONI!$B:$B,$A200),0))</f>
        <v/>
      </c>
      <c r="AB200" s="34" t="str">
        <f t="shared" si="96"/>
        <v/>
      </c>
      <c r="AC200" s="34" t="str">
        <f t="shared" si="97"/>
        <v/>
      </c>
      <c r="AD200" s="34" t="str">
        <f t="shared" si="98"/>
        <v/>
      </c>
      <c r="AE200" s="35" t="str">
        <f t="shared" si="99"/>
        <v/>
      </c>
      <c r="AF200" s="34" t="str">
        <f t="shared" si="100"/>
        <v/>
      </c>
      <c r="AG200" s="34" t="str">
        <f t="shared" si="101"/>
        <v/>
      </c>
      <c r="AH200" s="35" t="str">
        <f>IF($A200="","",IFERROR(AVERAGEIFS(FASI!$L:$L,FASI!$B:$B,$A200),0))</f>
        <v/>
      </c>
      <c r="AI200" s="35" t="str">
        <f t="shared" si="102"/>
        <v/>
      </c>
      <c r="AJ200" s="34" t="str">
        <f>IF($A200="","",SUMIFS(SAL!$H:$H,SAL!$B:$B,$A200,SAL!$O:$O,"Emessa")+SUMIFS(SAL!$H:$H,SAL!$B:$B,$A200,SAL!$O:$O,"Incassata")+SUMIFS(SAL!$H:$H,SAL!$B:$B,$A200,SAL!$O:$O,"Scaduta"))</f>
        <v/>
      </c>
      <c r="AK200" s="34" t="str">
        <f>IF($A200="","",SUMIFS(SAL!$H:$H,SAL!$B:$B,$A200,SAL!$O:$O,"Incassata"))</f>
        <v/>
      </c>
      <c r="AL200" s="34" t="str">
        <f t="shared" si="103"/>
        <v/>
      </c>
      <c r="AM200" s="34" t="str">
        <f t="shared" si="104"/>
        <v/>
      </c>
      <c r="AN200" s="36" t="str">
        <f ca="1">IF($A200="","",IF($M200=0,"RISORSE NON ASSEGNATE",IF($AE200&lt;0.1,"MARGINE CRITICO",IF($S200&lt;-SCONTO_MAX,"SCONTO OLTRE SOGLIA",IF($Z200&gt;0,"ORE OLTRE LA STIMA",IF($AI200&gt;ALLERTA_ORE,"CONSUMO ORE ELEVATO",IF(COUNTIFS(SAL!$B:$B,$A200,SAL!$K:$K,"EMETTIBILE")&gt;0,"SAL DA EMETTERE",IF(COUNTIFS(FASI!$B:$B,$A200,FASI!$H:$H,"&lt;"&amp;TODAY(),FASI!$L:$L,"&lt;1")&gt;0,"FASI IN RITARDO","OK"))))))))</f>
        <v/>
      </c>
    </row>
    <row r="201" spans="1:40" x14ac:dyDescent="0.3">
      <c r="A201" s="42"/>
      <c r="B201" s="42"/>
      <c r="C201" s="42"/>
      <c r="D201" s="42"/>
      <c r="E201" s="42"/>
      <c r="F201" s="42"/>
      <c r="G201" s="43"/>
      <c r="H201" s="43"/>
      <c r="I201" s="42"/>
      <c r="J201" s="44"/>
      <c r="K201" s="46"/>
      <c r="L201" s="34" t="str">
        <f t="shared" si="90"/>
        <v/>
      </c>
      <c r="M201" s="33" t="str">
        <f>IF($A201="","",SUMIFS(ASSEGNAZIONI!$F:$F,ASSEGNAZIONI!$B:$B,$A201))</f>
        <v/>
      </c>
      <c r="N201" s="34" t="str">
        <f>IF($A201="","",SUMIFS(ASSEGNAZIONI!$I:$I,ASSEGNAZIONI!$B:$B,$A201))</f>
        <v/>
      </c>
      <c r="O201" s="34" t="str">
        <f>IF($A201="","",SUMIFS(ASSEGNAZIONI!$J:$J,ASSEGNAZIONI!$B:$B,$A201))</f>
        <v/>
      </c>
      <c r="P201" s="34" t="str">
        <f t="shared" si="91"/>
        <v/>
      </c>
      <c r="Q201" s="44"/>
      <c r="R201" s="34" t="str">
        <f t="shared" si="92"/>
        <v/>
      </c>
      <c r="S201" s="35" t="str">
        <f t="shared" si="93"/>
        <v/>
      </c>
      <c r="T201" s="34" t="str">
        <f>IF($A201="","",SUMIFS(ODA!$R:$R,ODA!$B:$B,$A201))</f>
        <v/>
      </c>
      <c r="U201" s="34" t="str">
        <f>IF($A201="","",SUMIFS(ODA!$P:$P,ODA!$B:$B,$A201))</f>
        <v/>
      </c>
      <c r="V201" s="45" t="str">
        <f t="shared" si="94"/>
        <v/>
      </c>
      <c r="W201" s="33" t="str">
        <f>IF($A201="","",SUMIFS(ORE!$F:$F,ORE!$B:$B,$A201))</f>
        <v/>
      </c>
      <c r="X201" s="33" t="str">
        <f>IF($A201="","",SUMIFS(PREVISIONE_ORE!$G:$G,PREVISIONE_ORE!$D:$D,$A201,PREVISIONE_ORE!$K:$K,"Sì"))</f>
        <v/>
      </c>
      <c r="Y201" s="33" t="str">
        <f>IF($A201="","",IF(COUNTIFS(ASSEGNAZIONI!$B:$B,$A201)&gt;0,SUMIFS(ASSEGNAZIONI!$N:$N,ASSEGNAZIONI!$B:$B,$A201),MAX($W201,0)))</f>
        <v/>
      </c>
      <c r="Z201" s="33" t="str">
        <f t="shared" si="95"/>
        <v/>
      </c>
      <c r="AA201" s="34" t="str">
        <f>IF($A201="","",IF(COUNTIFS(ASSEGNAZIONI!$B:$B,$A201)&gt;0,SUMIFS(ASSEGNAZIONI!$P:$P,ASSEGNAZIONI!$B:$B,$A201),0))</f>
        <v/>
      </c>
      <c r="AB201" s="34" t="str">
        <f t="shared" si="96"/>
        <v/>
      </c>
      <c r="AC201" s="34" t="str">
        <f t="shared" si="97"/>
        <v/>
      </c>
      <c r="AD201" s="34" t="str">
        <f t="shared" si="98"/>
        <v/>
      </c>
      <c r="AE201" s="35" t="str">
        <f t="shared" si="99"/>
        <v/>
      </c>
      <c r="AF201" s="34" t="str">
        <f t="shared" si="100"/>
        <v/>
      </c>
      <c r="AG201" s="34" t="str">
        <f t="shared" si="101"/>
        <v/>
      </c>
      <c r="AH201" s="35" t="str">
        <f>IF($A201="","",IFERROR(AVERAGEIFS(FASI!$L:$L,FASI!$B:$B,$A201),0))</f>
        <v/>
      </c>
      <c r="AI201" s="35" t="str">
        <f t="shared" si="102"/>
        <v/>
      </c>
      <c r="AJ201" s="34" t="str">
        <f>IF($A201="","",SUMIFS(SAL!$H:$H,SAL!$B:$B,$A201,SAL!$O:$O,"Emessa")+SUMIFS(SAL!$H:$H,SAL!$B:$B,$A201,SAL!$O:$O,"Incassata")+SUMIFS(SAL!$H:$H,SAL!$B:$B,$A201,SAL!$O:$O,"Scaduta"))</f>
        <v/>
      </c>
      <c r="AK201" s="34" t="str">
        <f>IF($A201="","",SUMIFS(SAL!$H:$H,SAL!$B:$B,$A201,SAL!$O:$O,"Incassata"))</f>
        <v/>
      </c>
      <c r="AL201" s="34" t="str">
        <f t="shared" si="103"/>
        <v/>
      </c>
      <c r="AM201" s="34" t="str">
        <f t="shared" si="104"/>
        <v/>
      </c>
      <c r="AN201" s="36" t="str">
        <f ca="1">IF($A201="","",IF($M201=0,"RISORSE NON ASSEGNATE",IF($AE201&lt;0.1,"MARGINE CRITICO",IF($S201&lt;-SCONTO_MAX,"SCONTO OLTRE SOGLIA",IF($Z201&gt;0,"ORE OLTRE LA STIMA",IF($AI201&gt;ALLERTA_ORE,"CONSUMO ORE ELEVATO",IF(COUNTIFS(SAL!$B:$B,$A201,SAL!$K:$K,"EMETTIBILE")&gt;0,"SAL DA EMETTERE",IF(COUNTIFS(FASI!$B:$B,$A201,FASI!$H:$H,"&lt;"&amp;TODAY(),FASI!$L:$L,"&lt;1")&gt;0,"FASI IN RITARDO","OK"))))))))</f>
        <v/>
      </c>
    </row>
  </sheetData>
  <dataValidations disablePrompts="1" count="4">
    <dataValidation type="list" allowBlank="1" sqref="C2:C201" xr:uid="{00000000-0002-0000-0500-000001000000}">
      <formula1>L_SERVIZIO</formula1>
    </dataValidation>
    <dataValidation type="list" allowBlank="1" sqref="E2:E201" xr:uid="{00000000-0002-0000-0500-000002000000}">
      <formula1>L_PERSONA</formula1>
    </dataValidation>
    <dataValidation type="list" allowBlank="1" sqref="F2:F201" xr:uid="{00000000-0002-0000-0500-000003000000}">
      <formula1>L_TEMPLATE</formula1>
    </dataValidation>
    <dataValidation type="list" allowBlank="1" sqref="I2:I201" xr:uid="{00000000-0002-0000-0500-000004000000}">
      <formula1>L_STATO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500-000000000000}">
          <x14:formula1>
            <xm:f>COMMESSE!$A$2:$A$201</xm:f>
          </x14:formula1>
          <x14:formula2>
            <xm:f>0</xm:f>
          </x14:formula2>
          <xm:sqref>B2:B201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tabColor rgb="FF00B050"/>
  </sheetPr>
  <dimension ref="A1:U201"/>
  <sheetViews>
    <sheetView showGridLines="0" zoomScaleNormal="100" workbookViewId="0">
      <pane ySplit="1" topLeftCell="A2" activePane="bottomLeft" state="frozen"/>
      <selection pane="bottomLeft" activeCell="F3" sqref="F3"/>
    </sheetView>
  </sheetViews>
  <sheetFormatPr defaultColWidth="8.6640625" defaultRowHeight="14.4" x14ac:dyDescent="0.3"/>
  <cols>
    <col min="1" max="1" width="16" customWidth="1"/>
    <col min="2" max="2" width="17" customWidth="1"/>
    <col min="3" max="3" width="24" customWidth="1"/>
    <col min="4" max="4" width="16" customWidth="1"/>
    <col min="5" max="5" width="22" customWidth="1"/>
    <col min="6" max="6" width="13" customWidth="1"/>
    <col min="7" max="7" width="14" customWidth="1"/>
    <col min="8" max="8" width="16" customWidth="1"/>
    <col min="9" max="10" width="18" customWidth="1"/>
    <col min="11" max="11" width="16" customWidth="1"/>
    <col min="12" max="12" width="15" customWidth="1"/>
    <col min="13" max="13" width="13" customWidth="1"/>
    <col min="14" max="14" width="14" customWidth="1"/>
    <col min="15" max="15" width="13" customWidth="1"/>
    <col min="16" max="17" width="14" customWidth="1"/>
    <col min="18" max="18" width="16" customWidth="1"/>
    <col min="19" max="19" width="26" customWidth="1"/>
  </cols>
  <sheetData>
    <row r="1" spans="1:21" ht="36" customHeight="1" x14ac:dyDescent="0.3">
      <c r="A1" s="41" t="s">
        <v>347</v>
      </c>
      <c r="B1" s="41" t="s">
        <v>278</v>
      </c>
      <c r="C1" s="41" t="s">
        <v>185</v>
      </c>
      <c r="D1" s="41" t="s">
        <v>293</v>
      </c>
      <c r="E1" s="41" t="s">
        <v>348</v>
      </c>
      <c r="F1" s="41" t="s">
        <v>280</v>
      </c>
      <c r="G1" s="41" t="s">
        <v>349</v>
      </c>
      <c r="H1" s="41" t="s">
        <v>350</v>
      </c>
      <c r="I1" s="41" t="s">
        <v>351</v>
      </c>
      <c r="J1" s="41" t="s">
        <v>324</v>
      </c>
      <c r="K1" s="41" t="s">
        <v>352</v>
      </c>
      <c r="L1" s="41" t="s">
        <v>332</v>
      </c>
      <c r="M1" s="41" t="s">
        <v>353</v>
      </c>
      <c r="N1" s="41" t="s">
        <v>354</v>
      </c>
      <c r="O1" s="41" t="s">
        <v>294</v>
      </c>
      <c r="P1" s="41" t="s">
        <v>296</v>
      </c>
      <c r="Q1" s="41" t="s">
        <v>355</v>
      </c>
      <c r="R1" s="41" t="s">
        <v>340</v>
      </c>
      <c r="S1" s="41" t="s">
        <v>356</v>
      </c>
      <c r="U1" s="2" t="s">
        <v>357</v>
      </c>
    </row>
    <row r="2" spans="1:21" x14ac:dyDescent="0.3">
      <c r="A2" s="42" t="s">
        <v>358</v>
      </c>
      <c r="B2" s="42" t="s">
        <v>937</v>
      </c>
      <c r="C2" s="42" t="s">
        <v>916</v>
      </c>
      <c r="D2" s="36" t="str">
        <f>IF($A2="","",IFERROR(INDEX(TEAM!$B:$B,MATCH($C2,TEAM!$A:$A,0)),""))</f>
        <v>Senior</v>
      </c>
      <c r="E2" s="42" t="s">
        <v>104</v>
      </c>
      <c r="F2" s="48">
        <v>112</v>
      </c>
      <c r="G2" s="47">
        <f>IF($A2="","",IFERROR(INDEX(TEAM!$C:$C,MATCH($C2,TEAM!$A:$A,0)),0))</f>
        <v>38</v>
      </c>
      <c r="H2" s="47">
        <f>IF($A2="","",IFERROR(INDEX(TEAM!$D:$D,MATCH($C2,TEAM!$A:$A,0)),0))</f>
        <v>61.88</v>
      </c>
      <c r="I2" s="34">
        <f t="shared" ref="I2:I33" si="0">IF($A2="","",$F2*$H2)</f>
        <v>6930.56</v>
      </c>
      <c r="J2" s="34">
        <f t="shared" ref="J2:J33" si="1">IF($A2="","",$F2*$G2)</f>
        <v>4256</v>
      </c>
      <c r="K2" s="34">
        <f t="shared" ref="K2:K33" si="2">IF($A2="","",$I2-$J2)</f>
        <v>2674.5600000000004</v>
      </c>
      <c r="L2" s="33">
        <f>IF($A2="","",SUMIFS(ORE!$F:$F,ORE!$B:$B,$B2,ORE!$E:$E,$C2))</f>
        <v>72</v>
      </c>
      <c r="M2" s="33">
        <f>IF($A2="","",SUMIFS(PREVISIONE_ORE!$G:$G,PREVISIONE_ORE!$D:$D,$B2,PREVISIONE_ORE!$E:$E,$C2,PREVISIONE_ORE!$K:$K,"Sì"))</f>
        <v>40</v>
      </c>
      <c r="N2" s="33">
        <f>IF($A2="","",IF(COUNTIFS(PREVISIONE_ORE!$D:$D,$B2,PREVISIONE_ORE!$E:$E,$C2,PREVISIONE_ORE!$K:$K,"Sì")&gt;0,$L2+$M2,MAX($L2,$F2)))</f>
        <v>112</v>
      </c>
      <c r="O2" s="33">
        <f t="shared" ref="O2:O33" si="3">IF($A2="","",$N2-$F2)</f>
        <v>0</v>
      </c>
      <c r="P2" s="34">
        <f t="shared" ref="P2:P33" si="4">IF($A2="","",$N2*$G2)</f>
        <v>4256</v>
      </c>
      <c r="Q2" s="34">
        <f t="shared" ref="Q2:Q33" si="5">IF($A2="","",$N2*$H2)</f>
        <v>6930.56</v>
      </c>
      <c r="R2" s="35">
        <f t="shared" ref="R2:R33" si="6">IF($A2="","",IFERROR($L2/$F2,0))</f>
        <v>0.6428571428571429</v>
      </c>
      <c r="S2" s="36" t="str">
        <f t="shared" ref="S2:S33" si="7">IF($A2="","",IF($O2&gt;$F2*0.15,"SFORAMENTO OLTRE 15%",IF($O2&gt;0,"SOPRA LA STIMA",IF($R2&gt;ALLERTA_ORE,"CONSUMO ELEVATO","OK"))))</f>
        <v>OK</v>
      </c>
      <c r="U2" s="2" t="s">
        <v>359</v>
      </c>
    </row>
    <row r="3" spans="1:21" x14ac:dyDescent="0.3">
      <c r="A3" s="42" t="s">
        <v>968</v>
      </c>
      <c r="B3" s="42" t="s">
        <v>951</v>
      </c>
      <c r="C3" s="42" t="s">
        <v>915</v>
      </c>
      <c r="D3" s="36" t="str">
        <f>IF($A3="","",IFERROR(INDEX(TEAM!$B:$B,MATCH($C3,TEAM!$A:$A,0)),""))</f>
        <v>Senior</v>
      </c>
      <c r="E3" s="42" t="s">
        <v>609</v>
      </c>
      <c r="F3" s="48">
        <v>112</v>
      </c>
      <c r="G3" s="47">
        <f>IF($A3="","",IFERROR(INDEX(TEAM!$C:$C,MATCH($C3,TEAM!$A:$A,0)),0))</f>
        <v>38</v>
      </c>
      <c r="H3" s="47">
        <f>IF($A3="","",IFERROR(INDEX(TEAM!$D:$D,MATCH($C3,TEAM!$A:$A,0)),0))</f>
        <v>61.88</v>
      </c>
      <c r="I3" s="34">
        <f t="shared" si="0"/>
        <v>6930.56</v>
      </c>
      <c r="J3" s="34">
        <f t="shared" si="1"/>
        <v>4256</v>
      </c>
      <c r="K3" s="34">
        <f t="shared" si="2"/>
        <v>2674.5600000000004</v>
      </c>
      <c r="L3" s="33">
        <f>IF($A3="","",SUMIFS(ORE!$F:$F,ORE!$B:$B,$B3,ORE!$E:$E,$C3))</f>
        <v>54</v>
      </c>
      <c r="M3" s="33">
        <f>IF($A3="","",SUMIFS(PREVISIONE_ORE!$G:$G,PREVISIONE_ORE!$D:$D,$B3,PREVISIONE_ORE!$E:$E,$C3,PREVISIONE_ORE!$K:$K,"Sì"))</f>
        <v>30</v>
      </c>
      <c r="N3" s="33">
        <f>IF($A3="","",IF(COUNTIFS(PREVISIONE_ORE!$D:$D,$B3,PREVISIONE_ORE!$E:$E,$C3,PREVISIONE_ORE!$K:$K,"Sì")&gt;0,$L3+$M3,MAX($L3,$F3)))</f>
        <v>84</v>
      </c>
      <c r="O3" s="33">
        <f t="shared" si="3"/>
        <v>-28</v>
      </c>
      <c r="P3" s="34">
        <f t="shared" si="4"/>
        <v>3192</v>
      </c>
      <c r="Q3" s="34">
        <f t="shared" si="5"/>
        <v>5197.92</v>
      </c>
      <c r="R3" s="35">
        <f t="shared" si="6"/>
        <v>0.48214285714285715</v>
      </c>
      <c r="S3" s="36" t="str">
        <f t="shared" si="7"/>
        <v>OK</v>
      </c>
    </row>
    <row r="4" spans="1:21" x14ac:dyDescent="0.3">
      <c r="A4" s="42"/>
      <c r="B4" s="42"/>
      <c r="C4" s="42"/>
      <c r="D4" s="36" t="str">
        <f>IF($A4="","",IFERROR(INDEX(TEAM!$B:$B,MATCH($C4,TEAM!$A:$A,0)),""))</f>
        <v/>
      </c>
      <c r="E4" s="42"/>
      <c r="F4" s="48"/>
      <c r="G4" s="47" t="str">
        <f>IF($A4="","",IFERROR(INDEX(TEAM!$C:$C,MATCH($C4,TEAM!$A:$A,0)),0))</f>
        <v/>
      </c>
      <c r="H4" s="47" t="str">
        <f>IF($A4="","",IFERROR(INDEX(TEAM!$D:$D,MATCH($C4,TEAM!$A:$A,0)),0))</f>
        <v/>
      </c>
      <c r="I4" s="34" t="str">
        <f t="shared" si="0"/>
        <v/>
      </c>
      <c r="J4" s="34" t="str">
        <f t="shared" si="1"/>
        <v/>
      </c>
      <c r="K4" s="34" t="str">
        <f t="shared" si="2"/>
        <v/>
      </c>
      <c r="L4" s="33" t="str">
        <f>IF($A4="","",SUMIFS(ORE!$F:$F,ORE!$B:$B,$B4,ORE!$E:$E,$C4))</f>
        <v/>
      </c>
      <c r="M4" s="33" t="str">
        <f>IF($A4="","",SUMIFS(PREVISIONE_ORE!$G:$G,PREVISIONE_ORE!$D:$D,$B4,PREVISIONE_ORE!$E:$E,$C4,PREVISIONE_ORE!$K:$K,"Sì"))</f>
        <v/>
      </c>
      <c r="N4" s="33" t="str">
        <f>IF($A4="","",IF(COUNTIFS(PREVISIONE_ORE!$D:$D,$B4,PREVISIONE_ORE!$E:$E,$C4,PREVISIONE_ORE!$K:$K,"Sì")&gt;0,$L4+$M4,MAX($L4,$F4)))</f>
        <v/>
      </c>
      <c r="O4" s="33" t="str">
        <f t="shared" si="3"/>
        <v/>
      </c>
      <c r="P4" s="34" t="str">
        <f t="shared" si="4"/>
        <v/>
      </c>
      <c r="Q4" s="34" t="str">
        <f t="shared" si="5"/>
        <v/>
      </c>
      <c r="R4" s="35" t="str">
        <f t="shared" si="6"/>
        <v/>
      </c>
      <c r="S4" s="36" t="str">
        <f t="shared" si="7"/>
        <v/>
      </c>
    </row>
    <row r="5" spans="1:21" x14ac:dyDescent="0.3">
      <c r="A5" s="42"/>
      <c r="B5" s="42"/>
      <c r="C5" s="42"/>
      <c r="D5" s="36" t="str">
        <f>IF($A5="","",IFERROR(INDEX(TEAM!$B:$B,MATCH($C5,TEAM!$A:$A,0)),""))</f>
        <v/>
      </c>
      <c r="E5" s="42"/>
      <c r="F5" s="48"/>
      <c r="G5" s="47" t="str">
        <f>IF($A5="","",IFERROR(INDEX(TEAM!$C:$C,MATCH($C5,TEAM!$A:$A,0)),0))</f>
        <v/>
      </c>
      <c r="H5" s="47" t="str">
        <f>IF($A5="","",IFERROR(INDEX(TEAM!$D:$D,MATCH($C5,TEAM!$A:$A,0)),0))</f>
        <v/>
      </c>
      <c r="I5" s="34" t="str">
        <f t="shared" si="0"/>
        <v/>
      </c>
      <c r="J5" s="34" t="str">
        <f t="shared" si="1"/>
        <v/>
      </c>
      <c r="K5" s="34" t="str">
        <f t="shared" si="2"/>
        <v/>
      </c>
      <c r="L5" s="33" t="str">
        <f>IF($A5="","",SUMIFS(ORE!$F:$F,ORE!$B:$B,$B5,ORE!$E:$E,$C5))</f>
        <v/>
      </c>
      <c r="M5" s="33" t="str">
        <f>IF($A5="","",SUMIFS(PREVISIONE_ORE!$G:$G,PREVISIONE_ORE!$D:$D,$B5,PREVISIONE_ORE!$E:$E,$C5,PREVISIONE_ORE!$K:$K,"Sì"))</f>
        <v/>
      </c>
      <c r="N5" s="33" t="str">
        <f>IF($A5="","",IF(COUNTIFS(PREVISIONE_ORE!$D:$D,$B5,PREVISIONE_ORE!$E:$E,$C5,PREVISIONE_ORE!$K:$K,"Sì")&gt;0,$L5+$M5,MAX($L5,$F5)))</f>
        <v/>
      </c>
      <c r="O5" s="33" t="str">
        <f t="shared" si="3"/>
        <v/>
      </c>
      <c r="P5" s="34" t="str">
        <f t="shared" si="4"/>
        <v/>
      </c>
      <c r="Q5" s="34" t="str">
        <f t="shared" si="5"/>
        <v/>
      </c>
      <c r="R5" s="35" t="str">
        <f t="shared" si="6"/>
        <v/>
      </c>
      <c r="S5" s="36" t="str">
        <f t="shared" si="7"/>
        <v/>
      </c>
    </row>
    <row r="6" spans="1:21" x14ac:dyDescent="0.3">
      <c r="A6" s="42"/>
      <c r="B6" s="42"/>
      <c r="C6" s="42"/>
      <c r="D6" s="36" t="str">
        <f>IF($A6="","",IFERROR(INDEX(TEAM!$B:$B,MATCH($C6,TEAM!$A:$A,0)),""))</f>
        <v/>
      </c>
      <c r="E6" s="42"/>
      <c r="F6" s="48"/>
      <c r="G6" s="47" t="str">
        <f>IF($A6="","",IFERROR(INDEX(TEAM!$C:$C,MATCH($C6,TEAM!$A:$A,0)),0))</f>
        <v/>
      </c>
      <c r="H6" s="47" t="str">
        <f>IF($A6="","",IFERROR(INDEX(TEAM!$D:$D,MATCH($C6,TEAM!$A:$A,0)),0))</f>
        <v/>
      </c>
      <c r="I6" s="34" t="str">
        <f t="shared" si="0"/>
        <v/>
      </c>
      <c r="J6" s="34" t="str">
        <f t="shared" si="1"/>
        <v/>
      </c>
      <c r="K6" s="34" t="str">
        <f t="shared" si="2"/>
        <v/>
      </c>
      <c r="L6" s="33" t="str">
        <f>IF($A6="","",SUMIFS(ORE!$F:$F,ORE!$B:$B,$B6,ORE!$E:$E,$C6))</f>
        <v/>
      </c>
      <c r="M6" s="33" t="str">
        <f>IF($A6="","",SUMIFS(PREVISIONE_ORE!$G:$G,PREVISIONE_ORE!$D:$D,$B6,PREVISIONE_ORE!$E:$E,$C6,PREVISIONE_ORE!$K:$K,"Sì"))</f>
        <v/>
      </c>
      <c r="N6" s="33" t="str">
        <f>IF($A6="","",IF(COUNTIFS(PREVISIONE_ORE!$D:$D,$B6,PREVISIONE_ORE!$E:$E,$C6,PREVISIONE_ORE!$K:$K,"Sì")&gt;0,$L6+$M6,MAX($L6,$F6)))</f>
        <v/>
      </c>
      <c r="O6" s="33" t="str">
        <f t="shared" si="3"/>
        <v/>
      </c>
      <c r="P6" s="34" t="str">
        <f t="shared" si="4"/>
        <v/>
      </c>
      <c r="Q6" s="34" t="str">
        <f t="shared" si="5"/>
        <v/>
      </c>
      <c r="R6" s="35" t="str">
        <f t="shared" si="6"/>
        <v/>
      </c>
      <c r="S6" s="36" t="str">
        <f t="shared" si="7"/>
        <v/>
      </c>
    </row>
    <row r="7" spans="1:21" x14ac:dyDescent="0.3">
      <c r="A7" s="42"/>
      <c r="B7" s="42"/>
      <c r="C7" s="42"/>
      <c r="D7" s="36" t="str">
        <f>IF($A7="","",IFERROR(INDEX(TEAM!$B:$B,MATCH($C7,TEAM!$A:$A,0)),""))</f>
        <v/>
      </c>
      <c r="E7" s="42"/>
      <c r="F7" s="48"/>
      <c r="G7" s="47" t="str">
        <f>IF($A7="","",IFERROR(INDEX(TEAM!$C:$C,MATCH($C7,TEAM!$A:$A,0)),0))</f>
        <v/>
      </c>
      <c r="H7" s="47" t="str">
        <f>IF($A7="","",IFERROR(INDEX(TEAM!$D:$D,MATCH($C7,TEAM!$A:$A,0)),0))</f>
        <v/>
      </c>
      <c r="I7" s="34" t="str">
        <f t="shared" si="0"/>
        <v/>
      </c>
      <c r="J7" s="34" t="str">
        <f t="shared" si="1"/>
        <v/>
      </c>
      <c r="K7" s="34" t="str">
        <f t="shared" si="2"/>
        <v/>
      </c>
      <c r="L7" s="33" t="str">
        <f>IF($A7="","",SUMIFS(ORE!$F:$F,ORE!$B:$B,$B7,ORE!$E:$E,$C7))</f>
        <v/>
      </c>
      <c r="M7" s="33" t="str">
        <f>IF($A7="","",SUMIFS(PREVISIONE_ORE!$G:$G,PREVISIONE_ORE!$D:$D,$B7,PREVISIONE_ORE!$E:$E,$C7,PREVISIONE_ORE!$K:$K,"Sì"))</f>
        <v/>
      </c>
      <c r="N7" s="33" t="str">
        <f>IF($A7="","",IF(COUNTIFS(PREVISIONE_ORE!$D:$D,$B7,PREVISIONE_ORE!$E:$E,$C7,PREVISIONE_ORE!$K:$K,"Sì")&gt;0,$L7+$M7,MAX($L7,$F7)))</f>
        <v/>
      </c>
      <c r="O7" s="33" t="str">
        <f t="shared" si="3"/>
        <v/>
      </c>
      <c r="P7" s="34" t="str">
        <f t="shared" si="4"/>
        <v/>
      </c>
      <c r="Q7" s="34" t="str">
        <f t="shared" si="5"/>
        <v/>
      </c>
      <c r="R7" s="35" t="str">
        <f t="shared" si="6"/>
        <v/>
      </c>
      <c r="S7" s="36" t="str">
        <f t="shared" si="7"/>
        <v/>
      </c>
    </row>
    <row r="8" spans="1:21" x14ac:dyDescent="0.3">
      <c r="A8" s="42"/>
      <c r="B8" s="42"/>
      <c r="C8" s="42"/>
      <c r="D8" s="36" t="str">
        <f>IF($A8="","",IFERROR(INDEX(TEAM!$B:$B,MATCH($C8,TEAM!$A:$A,0)),""))</f>
        <v/>
      </c>
      <c r="E8" s="42"/>
      <c r="F8" s="48"/>
      <c r="G8" s="47" t="str">
        <f>IF($A8="","",IFERROR(INDEX(TEAM!$C:$C,MATCH($C8,TEAM!$A:$A,0)),0))</f>
        <v/>
      </c>
      <c r="H8" s="47" t="str">
        <f>IF($A8="","",IFERROR(INDEX(TEAM!$D:$D,MATCH($C8,TEAM!$A:$A,0)),0))</f>
        <v/>
      </c>
      <c r="I8" s="34" t="str">
        <f t="shared" si="0"/>
        <v/>
      </c>
      <c r="J8" s="34" t="str">
        <f t="shared" si="1"/>
        <v/>
      </c>
      <c r="K8" s="34" t="str">
        <f t="shared" si="2"/>
        <v/>
      </c>
      <c r="L8" s="33" t="str">
        <f>IF($A8="","",SUMIFS(ORE!$F:$F,ORE!$B:$B,$B8,ORE!$E:$E,$C8))</f>
        <v/>
      </c>
      <c r="M8" s="33" t="str">
        <f>IF($A8="","",SUMIFS(PREVISIONE_ORE!$G:$G,PREVISIONE_ORE!$D:$D,$B8,PREVISIONE_ORE!$E:$E,$C8,PREVISIONE_ORE!$K:$K,"Sì"))</f>
        <v/>
      </c>
      <c r="N8" s="33" t="str">
        <f>IF($A8="","",IF(COUNTIFS(PREVISIONE_ORE!$D:$D,$B8,PREVISIONE_ORE!$E:$E,$C8,PREVISIONE_ORE!$K:$K,"Sì")&gt;0,$L8+$M8,MAX($L8,$F8)))</f>
        <v/>
      </c>
      <c r="O8" s="33" t="str">
        <f t="shared" si="3"/>
        <v/>
      </c>
      <c r="P8" s="34" t="str">
        <f t="shared" si="4"/>
        <v/>
      </c>
      <c r="Q8" s="34" t="str">
        <f t="shared" si="5"/>
        <v/>
      </c>
      <c r="R8" s="35" t="str">
        <f t="shared" si="6"/>
        <v/>
      </c>
      <c r="S8" s="36" t="str">
        <f t="shared" si="7"/>
        <v/>
      </c>
    </row>
    <row r="9" spans="1:21" x14ac:dyDescent="0.3">
      <c r="A9" s="42"/>
      <c r="B9" s="42"/>
      <c r="C9" s="42"/>
      <c r="D9" s="36" t="str">
        <f>IF($A9="","",IFERROR(INDEX(TEAM!$B:$B,MATCH($C9,TEAM!$A:$A,0)),""))</f>
        <v/>
      </c>
      <c r="E9" s="42"/>
      <c r="F9" s="48"/>
      <c r="G9" s="47" t="str">
        <f>IF($A9="","",IFERROR(INDEX(TEAM!$C:$C,MATCH($C9,TEAM!$A:$A,0)),0))</f>
        <v/>
      </c>
      <c r="H9" s="47" t="str">
        <f>IF($A9="","",IFERROR(INDEX(TEAM!$D:$D,MATCH($C9,TEAM!$A:$A,0)),0))</f>
        <v/>
      </c>
      <c r="I9" s="34" t="str">
        <f t="shared" si="0"/>
        <v/>
      </c>
      <c r="J9" s="34" t="str">
        <f t="shared" si="1"/>
        <v/>
      </c>
      <c r="K9" s="34" t="str">
        <f t="shared" si="2"/>
        <v/>
      </c>
      <c r="L9" s="33" t="str">
        <f>IF($A9="","",SUMIFS(ORE!$F:$F,ORE!$B:$B,$B9,ORE!$E:$E,$C9))</f>
        <v/>
      </c>
      <c r="M9" s="33" t="str">
        <f>IF($A9="","",SUMIFS(PREVISIONE_ORE!$G:$G,PREVISIONE_ORE!$D:$D,$B9,PREVISIONE_ORE!$E:$E,$C9,PREVISIONE_ORE!$K:$K,"Sì"))</f>
        <v/>
      </c>
      <c r="N9" s="33" t="str">
        <f>IF($A9="","",IF(COUNTIFS(PREVISIONE_ORE!$D:$D,$B9,PREVISIONE_ORE!$E:$E,$C9,PREVISIONE_ORE!$K:$K,"Sì")&gt;0,$L9+$M9,MAX($L9,$F9)))</f>
        <v/>
      </c>
      <c r="O9" s="33" t="str">
        <f t="shared" si="3"/>
        <v/>
      </c>
      <c r="P9" s="34" t="str">
        <f t="shared" si="4"/>
        <v/>
      </c>
      <c r="Q9" s="34" t="str">
        <f t="shared" si="5"/>
        <v/>
      </c>
      <c r="R9" s="35" t="str">
        <f t="shared" si="6"/>
        <v/>
      </c>
      <c r="S9" s="36" t="str">
        <f t="shared" si="7"/>
        <v/>
      </c>
    </row>
    <row r="10" spans="1:21" x14ac:dyDescent="0.3">
      <c r="A10" s="42"/>
      <c r="B10" s="42"/>
      <c r="C10" s="42"/>
      <c r="D10" s="36" t="str">
        <f>IF($A10="","",IFERROR(INDEX(TEAM!$B:$B,MATCH($C10,TEAM!$A:$A,0)),""))</f>
        <v/>
      </c>
      <c r="E10" s="42"/>
      <c r="F10" s="48"/>
      <c r="G10" s="47" t="str">
        <f>IF($A10="","",IFERROR(INDEX(TEAM!$C:$C,MATCH($C10,TEAM!$A:$A,0)),0))</f>
        <v/>
      </c>
      <c r="H10" s="47" t="str">
        <f>IF($A10="","",IFERROR(INDEX(TEAM!$D:$D,MATCH($C10,TEAM!$A:$A,0)),0))</f>
        <v/>
      </c>
      <c r="I10" s="34" t="str">
        <f t="shared" si="0"/>
        <v/>
      </c>
      <c r="J10" s="34" t="str">
        <f t="shared" si="1"/>
        <v/>
      </c>
      <c r="K10" s="34" t="str">
        <f t="shared" si="2"/>
        <v/>
      </c>
      <c r="L10" s="33" t="str">
        <f>IF($A10="","",SUMIFS(ORE!$F:$F,ORE!$B:$B,$B10,ORE!$E:$E,$C10))</f>
        <v/>
      </c>
      <c r="M10" s="33" t="str">
        <f>IF($A10="","",SUMIFS(PREVISIONE_ORE!$G:$G,PREVISIONE_ORE!$D:$D,$B10,PREVISIONE_ORE!$E:$E,$C10,PREVISIONE_ORE!$K:$K,"Sì"))</f>
        <v/>
      </c>
      <c r="N10" s="33" t="str">
        <f>IF($A10="","",IF(COUNTIFS(PREVISIONE_ORE!$D:$D,$B10,PREVISIONE_ORE!$E:$E,$C10,PREVISIONE_ORE!$K:$K,"Sì")&gt;0,$L10+$M10,MAX($L10,$F10)))</f>
        <v/>
      </c>
      <c r="O10" s="33" t="str">
        <f t="shared" si="3"/>
        <v/>
      </c>
      <c r="P10" s="34" t="str">
        <f t="shared" si="4"/>
        <v/>
      </c>
      <c r="Q10" s="34" t="str">
        <f t="shared" si="5"/>
        <v/>
      </c>
      <c r="R10" s="35" t="str">
        <f t="shared" si="6"/>
        <v/>
      </c>
      <c r="S10" s="36" t="str">
        <f t="shared" si="7"/>
        <v/>
      </c>
    </row>
    <row r="11" spans="1:21" x14ac:dyDescent="0.3">
      <c r="A11" s="42"/>
      <c r="B11" s="42"/>
      <c r="C11" s="42"/>
      <c r="D11" s="36" t="str">
        <f>IF($A11="","",IFERROR(INDEX(TEAM!$B:$B,MATCH($C11,TEAM!$A:$A,0)),""))</f>
        <v/>
      </c>
      <c r="E11" s="42"/>
      <c r="F11" s="48"/>
      <c r="G11" s="47" t="str">
        <f>IF($A11="","",IFERROR(INDEX(TEAM!$C:$C,MATCH($C11,TEAM!$A:$A,0)),0))</f>
        <v/>
      </c>
      <c r="H11" s="47" t="str">
        <f>IF($A11="","",IFERROR(INDEX(TEAM!$D:$D,MATCH($C11,TEAM!$A:$A,0)),0))</f>
        <v/>
      </c>
      <c r="I11" s="34" t="str">
        <f t="shared" si="0"/>
        <v/>
      </c>
      <c r="J11" s="34" t="str">
        <f t="shared" si="1"/>
        <v/>
      </c>
      <c r="K11" s="34" t="str">
        <f t="shared" si="2"/>
        <v/>
      </c>
      <c r="L11" s="33" t="str">
        <f>IF($A11="","",SUMIFS(ORE!$F:$F,ORE!$B:$B,$B11,ORE!$E:$E,$C11))</f>
        <v/>
      </c>
      <c r="M11" s="33" t="str">
        <f>IF($A11="","",SUMIFS(PREVISIONE_ORE!$G:$G,PREVISIONE_ORE!$D:$D,$B11,PREVISIONE_ORE!$E:$E,$C11,PREVISIONE_ORE!$K:$K,"Sì"))</f>
        <v/>
      </c>
      <c r="N11" s="33" t="str">
        <f>IF($A11="","",IF(COUNTIFS(PREVISIONE_ORE!$D:$D,$B11,PREVISIONE_ORE!$E:$E,$C11,PREVISIONE_ORE!$K:$K,"Sì")&gt;0,$L11+$M11,MAX($L11,$F11)))</f>
        <v/>
      </c>
      <c r="O11" s="33" t="str">
        <f t="shared" si="3"/>
        <v/>
      </c>
      <c r="P11" s="34" t="str">
        <f t="shared" si="4"/>
        <v/>
      </c>
      <c r="Q11" s="34" t="str">
        <f t="shared" si="5"/>
        <v/>
      </c>
      <c r="R11" s="35" t="str">
        <f t="shared" si="6"/>
        <v/>
      </c>
      <c r="S11" s="36" t="str">
        <f t="shared" si="7"/>
        <v/>
      </c>
    </row>
    <row r="12" spans="1:21" x14ac:dyDescent="0.3">
      <c r="A12" s="42"/>
      <c r="B12" s="42"/>
      <c r="C12" s="42"/>
      <c r="D12" s="36" t="str">
        <f>IF($A12="","",IFERROR(INDEX(TEAM!$B:$B,MATCH($C12,TEAM!$A:$A,0)),""))</f>
        <v/>
      </c>
      <c r="E12" s="42"/>
      <c r="F12" s="48"/>
      <c r="G12" s="47" t="str">
        <f>IF($A12="","",IFERROR(INDEX(TEAM!$C:$C,MATCH($C12,TEAM!$A:$A,0)),0))</f>
        <v/>
      </c>
      <c r="H12" s="47" t="str">
        <f>IF($A12="","",IFERROR(INDEX(TEAM!$D:$D,MATCH($C12,TEAM!$A:$A,0)),0))</f>
        <v/>
      </c>
      <c r="I12" s="34" t="str">
        <f t="shared" si="0"/>
        <v/>
      </c>
      <c r="J12" s="34" t="str">
        <f t="shared" si="1"/>
        <v/>
      </c>
      <c r="K12" s="34" t="str">
        <f t="shared" si="2"/>
        <v/>
      </c>
      <c r="L12" s="33" t="str">
        <f>IF($A12="","",SUMIFS(ORE!$F:$F,ORE!$B:$B,$B12,ORE!$E:$E,$C12))</f>
        <v/>
      </c>
      <c r="M12" s="33" t="str">
        <f>IF($A12="","",SUMIFS(PREVISIONE_ORE!$G:$G,PREVISIONE_ORE!$D:$D,$B12,PREVISIONE_ORE!$E:$E,$C12,PREVISIONE_ORE!$K:$K,"Sì"))</f>
        <v/>
      </c>
      <c r="N12" s="33" t="str">
        <f>IF($A12="","",IF(COUNTIFS(PREVISIONE_ORE!$D:$D,$B12,PREVISIONE_ORE!$E:$E,$C12,PREVISIONE_ORE!$K:$K,"Sì")&gt;0,$L12+$M12,MAX($L12,$F12)))</f>
        <v/>
      </c>
      <c r="O12" s="33" t="str">
        <f t="shared" si="3"/>
        <v/>
      </c>
      <c r="P12" s="34" t="str">
        <f t="shared" si="4"/>
        <v/>
      </c>
      <c r="Q12" s="34" t="str">
        <f t="shared" si="5"/>
        <v/>
      </c>
      <c r="R12" s="35" t="str">
        <f t="shared" si="6"/>
        <v/>
      </c>
      <c r="S12" s="36" t="str">
        <f t="shared" si="7"/>
        <v/>
      </c>
    </row>
    <row r="13" spans="1:21" x14ac:dyDescent="0.3">
      <c r="A13" s="42"/>
      <c r="B13" s="42"/>
      <c r="C13" s="42"/>
      <c r="D13" s="36" t="str">
        <f>IF($A13="","",IFERROR(INDEX(TEAM!$B:$B,MATCH($C13,TEAM!$A:$A,0)),""))</f>
        <v/>
      </c>
      <c r="E13" s="42"/>
      <c r="F13" s="48"/>
      <c r="G13" s="47" t="str">
        <f>IF($A13="","",IFERROR(INDEX(TEAM!$C:$C,MATCH($C13,TEAM!$A:$A,0)),0))</f>
        <v/>
      </c>
      <c r="H13" s="47" t="str">
        <f>IF($A13="","",IFERROR(INDEX(TEAM!$D:$D,MATCH($C13,TEAM!$A:$A,0)),0))</f>
        <v/>
      </c>
      <c r="I13" s="34" t="str">
        <f t="shared" si="0"/>
        <v/>
      </c>
      <c r="J13" s="34" t="str">
        <f t="shared" si="1"/>
        <v/>
      </c>
      <c r="K13" s="34" t="str">
        <f t="shared" si="2"/>
        <v/>
      </c>
      <c r="L13" s="33" t="str">
        <f>IF($A13="","",SUMIFS(ORE!$F:$F,ORE!$B:$B,$B13,ORE!$E:$E,$C13))</f>
        <v/>
      </c>
      <c r="M13" s="33" t="str">
        <f>IF($A13="","",SUMIFS(PREVISIONE_ORE!$G:$G,PREVISIONE_ORE!$D:$D,$B13,PREVISIONE_ORE!$E:$E,$C13,PREVISIONE_ORE!$K:$K,"Sì"))</f>
        <v/>
      </c>
      <c r="N13" s="33" t="str">
        <f>IF($A13="","",IF(COUNTIFS(PREVISIONE_ORE!$D:$D,$B13,PREVISIONE_ORE!$E:$E,$C13,PREVISIONE_ORE!$K:$K,"Sì")&gt;0,$L13+$M13,MAX($L13,$F13)))</f>
        <v/>
      </c>
      <c r="O13" s="33" t="str">
        <f t="shared" si="3"/>
        <v/>
      </c>
      <c r="P13" s="34" t="str">
        <f t="shared" si="4"/>
        <v/>
      </c>
      <c r="Q13" s="34" t="str">
        <f t="shared" si="5"/>
        <v/>
      </c>
      <c r="R13" s="35" t="str">
        <f t="shared" si="6"/>
        <v/>
      </c>
      <c r="S13" s="36" t="str">
        <f t="shared" si="7"/>
        <v/>
      </c>
    </row>
    <row r="14" spans="1:21" x14ac:dyDescent="0.3">
      <c r="A14" s="42"/>
      <c r="B14" s="42"/>
      <c r="C14" s="42"/>
      <c r="D14" s="36" t="str">
        <f>IF($A14="","",IFERROR(INDEX(TEAM!$B:$B,MATCH($C14,TEAM!$A:$A,0)),""))</f>
        <v/>
      </c>
      <c r="E14" s="42"/>
      <c r="F14" s="48"/>
      <c r="G14" s="47" t="str">
        <f>IF($A14="","",IFERROR(INDEX(TEAM!$C:$C,MATCH($C14,TEAM!$A:$A,0)),0))</f>
        <v/>
      </c>
      <c r="H14" s="47" t="str">
        <f>IF($A14="","",IFERROR(INDEX(TEAM!$D:$D,MATCH($C14,TEAM!$A:$A,0)),0))</f>
        <v/>
      </c>
      <c r="I14" s="34" t="str">
        <f t="shared" si="0"/>
        <v/>
      </c>
      <c r="J14" s="34" t="str">
        <f t="shared" si="1"/>
        <v/>
      </c>
      <c r="K14" s="34" t="str">
        <f t="shared" si="2"/>
        <v/>
      </c>
      <c r="L14" s="33" t="str">
        <f>IF($A14="","",SUMIFS(ORE!$F:$F,ORE!$B:$B,$B14,ORE!$E:$E,$C14))</f>
        <v/>
      </c>
      <c r="M14" s="33" t="str">
        <f>IF($A14="","",SUMIFS(PREVISIONE_ORE!$G:$G,PREVISIONE_ORE!$D:$D,$B14,PREVISIONE_ORE!$E:$E,$C14,PREVISIONE_ORE!$K:$K,"Sì"))</f>
        <v/>
      </c>
      <c r="N14" s="33" t="str">
        <f>IF($A14="","",IF(COUNTIFS(PREVISIONE_ORE!$D:$D,$B14,PREVISIONE_ORE!$E:$E,$C14,PREVISIONE_ORE!$K:$K,"Sì")&gt;0,$L14+$M14,MAX($L14,$F14)))</f>
        <v/>
      </c>
      <c r="O14" s="33" t="str">
        <f t="shared" si="3"/>
        <v/>
      </c>
      <c r="P14" s="34" t="str">
        <f t="shared" si="4"/>
        <v/>
      </c>
      <c r="Q14" s="34" t="str">
        <f t="shared" si="5"/>
        <v/>
      </c>
      <c r="R14" s="35" t="str">
        <f t="shared" si="6"/>
        <v/>
      </c>
      <c r="S14" s="36" t="str">
        <f t="shared" si="7"/>
        <v/>
      </c>
    </row>
    <row r="15" spans="1:21" x14ac:dyDescent="0.3">
      <c r="A15" s="42"/>
      <c r="B15" s="42"/>
      <c r="C15" s="42"/>
      <c r="D15" s="36" t="str">
        <f>IF($A15="","",IFERROR(INDEX(TEAM!$B:$B,MATCH($C15,TEAM!$A:$A,0)),""))</f>
        <v/>
      </c>
      <c r="E15" s="42"/>
      <c r="F15" s="48"/>
      <c r="G15" s="47" t="str">
        <f>IF($A15="","",IFERROR(INDEX(TEAM!$C:$C,MATCH($C15,TEAM!$A:$A,0)),0))</f>
        <v/>
      </c>
      <c r="H15" s="47" t="str">
        <f>IF($A15="","",IFERROR(INDEX(TEAM!$D:$D,MATCH($C15,TEAM!$A:$A,0)),0))</f>
        <v/>
      </c>
      <c r="I15" s="34" t="str">
        <f t="shared" si="0"/>
        <v/>
      </c>
      <c r="J15" s="34" t="str">
        <f t="shared" si="1"/>
        <v/>
      </c>
      <c r="K15" s="34" t="str">
        <f t="shared" si="2"/>
        <v/>
      </c>
      <c r="L15" s="33" t="str">
        <f>IF($A15="","",SUMIFS(ORE!$F:$F,ORE!$B:$B,$B15,ORE!$E:$E,$C15))</f>
        <v/>
      </c>
      <c r="M15" s="33" t="str">
        <f>IF($A15="","",SUMIFS(PREVISIONE_ORE!$G:$G,PREVISIONE_ORE!$D:$D,$B15,PREVISIONE_ORE!$E:$E,$C15,PREVISIONE_ORE!$K:$K,"Sì"))</f>
        <v/>
      </c>
      <c r="N15" s="33" t="str">
        <f>IF($A15="","",IF(COUNTIFS(PREVISIONE_ORE!$D:$D,$B15,PREVISIONE_ORE!$E:$E,$C15,PREVISIONE_ORE!$K:$K,"Sì")&gt;0,$L15+$M15,MAX($L15,$F15)))</f>
        <v/>
      </c>
      <c r="O15" s="33" t="str">
        <f t="shared" si="3"/>
        <v/>
      </c>
      <c r="P15" s="34" t="str">
        <f t="shared" si="4"/>
        <v/>
      </c>
      <c r="Q15" s="34" t="str">
        <f t="shared" si="5"/>
        <v/>
      </c>
      <c r="R15" s="35" t="str">
        <f t="shared" si="6"/>
        <v/>
      </c>
      <c r="S15" s="36" t="str">
        <f t="shared" si="7"/>
        <v/>
      </c>
    </row>
    <row r="16" spans="1:21" x14ac:dyDescent="0.3">
      <c r="A16" s="42"/>
      <c r="B16" s="42"/>
      <c r="C16" s="42"/>
      <c r="D16" s="36" t="str">
        <f>IF($A16="","",IFERROR(INDEX(TEAM!$B:$B,MATCH($C16,TEAM!$A:$A,0)),""))</f>
        <v/>
      </c>
      <c r="E16" s="42"/>
      <c r="F16" s="48"/>
      <c r="G16" s="47" t="str">
        <f>IF($A16="","",IFERROR(INDEX(TEAM!$C:$C,MATCH($C16,TEAM!$A:$A,0)),0))</f>
        <v/>
      </c>
      <c r="H16" s="47" t="str">
        <f>IF($A16="","",IFERROR(INDEX(TEAM!$D:$D,MATCH($C16,TEAM!$A:$A,0)),0))</f>
        <v/>
      </c>
      <c r="I16" s="34" t="str">
        <f t="shared" si="0"/>
        <v/>
      </c>
      <c r="J16" s="34" t="str">
        <f t="shared" si="1"/>
        <v/>
      </c>
      <c r="K16" s="34" t="str">
        <f t="shared" si="2"/>
        <v/>
      </c>
      <c r="L16" s="33" t="str">
        <f>IF($A16="","",SUMIFS(ORE!$F:$F,ORE!$B:$B,$B16,ORE!$E:$E,$C16))</f>
        <v/>
      </c>
      <c r="M16" s="33" t="str">
        <f>IF($A16="","",SUMIFS(PREVISIONE_ORE!$G:$G,PREVISIONE_ORE!$D:$D,$B16,PREVISIONE_ORE!$E:$E,$C16,PREVISIONE_ORE!$K:$K,"Sì"))</f>
        <v/>
      </c>
      <c r="N16" s="33" t="str">
        <f>IF($A16="","",IF(COUNTIFS(PREVISIONE_ORE!$D:$D,$B16,PREVISIONE_ORE!$E:$E,$C16,PREVISIONE_ORE!$K:$K,"Sì")&gt;0,$L16+$M16,MAX($L16,$F16)))</f>
        <v/>
      </c>
      <c r="O16" s="33" t="str">
        <f t="shared" si="3"/>
        <v/>
      </c>
      <c r="P16" s="34" t="str">
        <f t="shared" si="4"/>
        <v/>
      </c>
      <c r="Q16" s="34" t="str">
        <f t="shared" si="5"/>
        <v/>
      </c>
      <c r="R16" s="35" t="str">
        <f t="shared" si="6"/>
        <v/>
      </c>
      <c r="S16" s="36" t="str">
        <f t="shared" si="7"/>
        <v/>
      </c>
    </row>
    <row r="17" spans="1:19" x14ac:dyDescent="0.3">
      <c r="A17" s="42"/>
      <c r="B17" s="42"/>
      <c r="C17" s="42"/>
      <c r="D17" s="36" t="str">
        <f>IF($A17="","",IFERROR(INDEX(TEAM!$B:$B,MATCH($C17,TEAM!$A:$A,0)),""))</f>
        <v/>
      </c>
      <c r="E17" s="42"/>
      <c r="F17" s="48"/>
      <c r="G17" s="47" t="str">
        <f>IF($A17="","",IFERROR(INDEX(TEAM!$C:$C,MATCH($C17,TEAM!$A:$A,0)),0))</f>
        <v/>
      </c>
      <c r="H17" s="47" t="str">
        <f>IF($A17="","",IFERROR(INDEX(TEAM!$D:$D,MATCH($C17,TEAM!$A:$A,0)),0))</f>
        <v/>
      </c>
      <c r="I17" s="34" t="str">
        <f t="shared" si="0"/>
        <v/>
      </c>
      <c r="J17" s="34" t="str">
        <f t="shared" si="1"/>
        <v/>
      </c>
      <c r="K17" s="34" t="str">
        <f t="shared" si="2"/>
        <v/>
      </c>
      <c r="L17" s="33" t="str">
        <f>IF($A17="","",SUMIFS(ORE!$F:$F,ORE!$B:$B,$B17,ORE!$E:$E,$C17))</f>
        <v/>
      </c>
      <c r="M17" s="33" t="str">
        <f>IF($A17="","",SUMIFS(PREVISIONE_ORE!$G:$G,PREVISIONE_ORE!$D:$D,$B17,PREVISIONE_ORE!$E:$E,$C17,PREVISIONE_ORE!$K:$K,"Sì"))</f>
        <v/>
      </c>
      <c r="N17" s="33" t="str">
        <f>IF($A17="","",IF(COUNTIFS(PREVISIONE_ORE!$D:$D,$B17,PREVISIONE_ORE!$E:$E,$C17,PREVISIONE_ORE!$K:$K,"Sì")&gt;0,$L17+$M17,MAX($L17,$F17)))</f>
        <v/>
      </c>
      <c r="O17" s="33" t="str">
        <f t="shared" si="3"/>
        <v/>
      </c>
      <c r="P17" s="34" t="str">
        <f t="shared" si="4"/>
        <v/>
      </c>
      <c r="Q17" s="34" t="str">
        <f t="shared" si="5"/>
        <v/>
      </c>
      <c r="R17" s="35" t="str">
        <f t="shared" si="6"/>
        <v/>
      </c>
      <c r="S17" s="36" t="str">
        <f t="shared" si="7"/>
        <v/>
      </c>
    </row>
    <row r="18" spans="1:19" x14ac:dyDescent="0.3">
      <c r="A18" s="42"/>
      <c r="B18" s="42"/>
      <c r="C18" s="42"/>
      <c r="D18" s="36" t="str">
        <f>IF($A18="","",IFERROR(INDEX(TEAM!$B:$B,MATCH($C18,TEAM!$A:$A,0)),""))</f>
        <v/>
      </c>
      <c r="E18" s="42"/>
      <c r="F18" s="48"/>
      <c r="G18" s="47" t="str">
        <f>IF($A18="","",IFERROR(INDEX(TEAM!$C:$C,MATCH($C18,TEAM!$A:$A,0)),0))</f>
        <v/>
      </c>
      <c r="H18" s="47" t="str">
        <f>IF($A18="","",IFERROR(INDEX(TEAM!$D:$D,MATCH($C18,TEAM!$A:$A,0)),0))</f>
        <v/>
      </c>
      <c r="I18" s="34" t="str">
        <f t="shared" si="0"/>
        <v/>
      </c>
      <c r="J18" s="34" t="str">
        <f t="shared" si="1"/>
        <v/>
      </c>
      <c r="K18" s="34" t="str">
        <f t="shared" si="2"/>
        <v/>
      </c>
      <c r="L18" s="33" t="str">
        <f>IF($A18="","",SUMIFS(ORE!$F:$F,ORE!$B:$B,$B18,ORE!$E:$E,$C18))</f>
        <v/>
      </c>
      <c r="M18" s="33" t="str">
        <f>IF($A18="","",SUMIFS(PREVISIONE_ORE!$G:$G,PREVISIONE_ORE!$D:$D,$B18,PREVISIONE_ORE!$E:$E,$C18,PREVISIONE_ORE!$K:$K,"Sì"))</f>
        <v/>
      </c>
      <c r="N18" s="33" t="str">
        <f>IF($A18="","",IF(COUNTIFS(PREVISIONE_ORE!$D:$D,$B18,PREVISIONE_ORE!$E:$E,$C18,PREVISIONE_ORE!$K:$K,"Sì")&gt;0,$L18+$M18,MAX($L18,$F18)))</f>
        <v/>
      </c>
      <c r="O18" s="33" t="str">
        <f t="shared" si="3"/>
        <v/>
      </c>
      <c r="P18" s="34" t="str">
        <f t="shared" si="4"/>
        <v/>
      </c>
      <c r="Q18" s="34" t="str">
        <f t="shared" si="5"/>
        <v/>
      </c>
      <c r="R18" s="35" t="str">
        <f t="shared" si="6"/>
        <v/>
      </c>
      <c r="S18" s="36" t="str">
        <f t="shared" si="7"/>
        <v/>
      </c>
    </row>
    <row r="19" spans="1:19" x14ac:dyDescent="0.3">
      <c r="A19" s="42"/>
      <c r="B19" s="42"/>
      <c r="C19" s="42"/>
      <c r="D19" s="36" t="str">
        <f>IF($A19="","",IFERROR(INDEX(TEAM!$B:$B,MATCH($C19,TEAM!$A:$A,0)),""))</f>
        <v/>
      </c>
      <c r="E19" s="42"/>
      <c r="F19" s="48"/>
      <c r="G19" s="47" t="str">
        <f>IF($A19="","",IFERROR(INDEX(TEAM!$C:$C,MATCH($C19,TEAM!$A:$A,0)),0))</f>
        <v/>
      </c>
      <c r="H19" s="47" t="str">
        <f>IF($A19="","",IFERROR(INDEX(TEAM!$D:$D,MATCH($C19,TEAM!$A:$A,0)),0))</f>
        <v/>
      </c>
      <c r="I19" s="34" t="str">
        <f t="shared" si="0"/>
        <v/>
      </c>
      <c r="J19" s="34" t="str">
        <f t="shared" si="1"/>
        <v/>
      </c>
      <c r="K19" s="34" t="str">
        <f t="shared" si="2"/>
        <v/>
      </c>
      <c r="L19" s="33" t="str">
        <f>IF($A19="","",SUMIFS(ORE!$F:$F,ORE!$B:$B,$B19,ORE!$E:$E,$C19))</f>
        <v/>
      </c>
      <c r="M19" s="33" t="str">
        <f>IF($A19="","",SUMIFS(PREVISIONE_ORE!$G:$G,PREVISIONE_ORE!$D:$D,$B19,PREVISIONE_ORE!$E:$E,$C19,PREVISIONE_ORE!$K:$K,"Sì"))</f>
        <v/>
      </c>
      <c r="N19" s="33" t="str">
        <f>IF($A19="","",IF(COUNTIFS(PREVISIONE_ORE!$D:$D,$B19,PREVISIONE_ORE!$E:$E,$C19,PREVISIONE_ORE!$K:$K,"Sì")&gt;0,$L19+$M19,MAX($L19,$F19)))</f>
        <v/>
      </c>
      <c r="O19" s="33" t="str">
        <f t="shared" si="3"/>
        <v/>
      </c>
      <c r="P19" s="34" t="str">
        <f t="shared" si="4"/>
        <v/>
      </c>
      <c r="Q19" s="34" t="str">
        <f t="shared" si="5"/>
        <v/>
      </c>
      <c r="R19" s="35" t="str">
        <f t="shared" si="6"/>
        <v/>
      </c>
      <c r="S19" s="36" t="str">
        <f t="shared" si="7"/>
        <v/>
      </c>
    </row>
    <row r="20" spans="1:19" x14ac:dyDescent="0.3">
      <c r="A20" s="42"/>
      <c r="B20" s="42"/>
      <c r="C20" s="42"/>
      <c r="D20" s="36" t="str">
        <f>IF($A20="","",IFERROR(INDEX(TEAM!$B:$B,MATCH($C20,TEAM!$A:$A,0)),""))</f>
        <v/>
      </c>
      <c r="E20" s="42"/>
      <c r="F20" s="48"/>
      <c r="G20" s="47" t="str">
        <f>IF($A20="","",IFERROR(INDEX(TEAM!$C:$C,MATCH($C20,TEAM!$A:$A,0)),0))</f>
        <v/>
      </c>
      <c r="H20" s="47" t="str">
        <f>IF($A20="","",IFERROR(INDEX(TEAM!$D:$D,MATCH($C20,TEAM!$A:$A,0)),0))</f>
        <v/>
      </c>
      <c r="I20" s="34" t="str">
        <f t="shared" si="0"/>
        <v/>
      </c>
      <c r="J20" s="34" t="str">
        <f t="shared" si="1"/>
        <v/>
      </c>
      <c r="K20" s="34" t="str">
        <f t="shared" si="2"/>
        <v/>
      </c>
      <c r="L20" s="33" t="str">
        <f>IF($A20="","",SUMIFS(ORE!$F:$F,ORE!$B:$B,$B20,ORE!$E:$E,$C20))</f>
        <v/>
      </c>
      <c r="M20" s="33" t="str">
        <f>IF($A20="","",SUMIFS(PREVISIONE_ORE!$G:$G,PREVISIONE_ORE!$D:$D,$B20,PREVISIONE_ORE!$E:$E,$C20,PREVISIONE_ORE!$K:$K,"Sì"))</f>
        <v/>
      </c>
      <c r="N20" s="33" t="str">
        <f>IF($A20="","",IF(COUNTIFS(PREVISIONE_ORE!$D:$D,$B20,PREVISIONE_ORE!$E:$E,$C20,PREVISIONE_ORE!$K:$K,"Sì")&gt;0,$L20+$M20,MAX($L20,$F20)))</f>
        <v/>
      </c>
      <c r="O20" s="33" t="str">
        <f t="shared" si="3"/>
        <v/>
      </c>
      <c r="P20" s="34" t="str">
        <f t="shared" si="4"/>
        <v/>
      </c>
      <c r="Q20" s="34" t="str">
        <f t="shared" si="5"/>
        <v/>
      </c>
      <c r="R20" s="35" t="str">
        <f t="shared" si="6"/>
        <v/>
      </c>
      <c r="S20" s="36" t="str">
        <f t="shared" si="7"/>
        <v/>
      </c>
    </row>
    <row r="21" spans="1:19" x14ac:dyDescent="0.3">
      <c r="A21" s="42"/>
      <c r="B21" s="42"/>
      <c r="C21" s="42"/>
      <c r="D21" s="36" t="str">
        <f>IF($A21="","",IFERROR(INDEX(TEAM!$B:$B,MATCH($C21,TEAM!$A:$A,0)),""))</f>
        <v/>
      </c>
      <c r="E21" s="42"/>
      <c r="F21" s="48"/>
      <c r="G21" s="47" t="str">
        <f>IF($A21="","",IFERROR(INDEX(TEAM!$C:$C,MATCH($C21,TEAM!$A:$A,0)),0))</f>
        <v/>
      </c>
      <c r="H21" s="47" t="str">
        <f>IF($A21="","",IFERROR(INDEX(TEAM!$D:$D,MATCH($C21,TEAM!$A:$A,0)),0))</f>
        <v/>
      </c>
      <c r="I21" s="34" t="str">
        <f t="shared" si="0"/>
        <v/>
      </c>
      <c r="J21" s="34" t="str">
        <f t="shared" si="1"/>
        <v/>
      </c>
      <c r="K21" s="34" t="str">
        <f t="shared" si="2"/>
        <v/>
      </c>
      <c r="L21" s="33" t="str">
        <f>IF($A21="","",SUMIFS(ORE!$F:$F,ORE!$B:$B,$B21,ORE!$E:$E,$C21))</f>
        <v/>
      </c>
      <c r="M21" s="33" t="str">
        <f>IF($A21="","",SUMIFS(PREVISIONE_ORE!$G:$G,PREVISIONE_ORE!$D:$D,$B21,PREVISIONE_ORE!$E:$E,$C21,PREVISIONE_ORE!$K:$K,"Sì"))</f>
        <v/>
      </c>
      <c r="N21" s="33" t="str">
        <f>IF($A21="","",IF(COUNTIFS(PREVISIONE_ORE!$D:$D,$B21,PREVISIONE_ORE!$E:$E,$C21,PREVISIONE_ORE!$K:$K,"Sì")&gt;0,$L21+$M21,MAX($L21,$F21)))</f>
        <v/>
      </c>
      <c r="O21" s="33" t="str">
        <f t="shared" si="3"/>
        <v/>
      </c>
      <c r="P21" s="34" t="str">
        <f t="shared" si="4"/>
        <v/>
      </c>
      <c r="Q21" s="34" t="str">
        <f t="shared" si="5"/>
        <v/>
      </c>
      <c r="R21" s="35" t="str">
        <f t="shared" si="6"/>
        <v/>
      </c>
      <c r="S21" s="36" t="str">
        <f t="shared" si="7"/>
        <v/>
      </c>
    </row>
    <row r="22" spans="1:19" x14ac:dyDescent="0.3">
      <c r="A22" s="42"/>
      <c r="B22" s="42"/>
      <c r="C22" s="42"/>
      <c r="D22" s="36" t="str">
        <f>IF($A22="","",IFERROR(INDEX(TEAM!$B:$B,MATCH($C22,TEAM!$A:$A,0)),""))</f>
        <v/>
      </c>
      <c r="E22" s="42"/>
      <c r="F22" s="48"/>
      <c r="G22" s="47" t="str">
        <f>IF($A22="","",IFERROR(INDEX(TEAM!$C:$C,MATCH($C22,TEAM!$A:$A,0)),0))</f>
        <v/>
      </c>
      <c r="H22" s="47" t="str">
        <f>IF($A22="","",IFERROR(INDEX(TEAM!$D:$D,MATCH($C22,TEAM!$A:$A,0)),0))</f>
        <v/>
      </c>
      <c r="I22" s="34" t="str">
        <f t="shared" si="0"/>
        <v/>
      </c>
      <c r="J22" s="34" t="str">
        <f t="shared" si="1"/>
        <v/>
      </c>
      <c r="K22" s="34" t="str">
        <f t="shared" si="2"/>
        <v/>
      </c>
      <c r="L22" s="33" t="str">
        <f>IF($A22="","",SUMIFS(ORE!$F:$F,ORE!$B:$B,$B22,ORE!$E:$E,$C22))</f>
        <v/>
      </c>
      <c r="M22" s="33" t="str">
        <f>IF($A22="","",SUMIFS(PREVISIONE_ORE!$G:$G,PREVISIONE_ORE!$D:$D,$B22,PREVISIONE_ORE!$E:$E,$C22,PREVISIONE_ORE!$K:$K,"Sì"))</f>
        <v/>
      </c>
      <c r="N22" s="33" t="str">
        <f>IF($A22="","",IF(COUNTIFS(PREVISIONE_ORE!$D:$D,$B22,PREVISIONE_ORE!$E:$E,$C22,PREVISIONE_ORE!$K:$K,"Sì")&gt;0,$L22+$M22,MAX($L22,$F22)))</f>
        <v/>
      </c>
      <c r="O22" s="33" t="str">
        <f t="shared" si="3"/>
        <v/>
      </c>
      <c r="P22" s="34" t="str">
        <f t="shared" si="4"/>
        <v/>
      </c>
      <c r="Q22" s="34" t="str">
        <f t="shared" si="5"/>
        <v/>
      </c>
      <c r="R22" s="35" t="str">
        <f t="shared" si="6"/>
        <v/>
      </c>
      <c r="S22" s="36" t="str">
        <f t="shared" si="7"/>
        <v/>
      </c>
    </row>
    <row r="23" spans="1:19" x14ac:dyDescent="0.3">
      <c r="A23" s="42"/>
      <c r="B23" s="42"/>
      <c r="C23" s="42"/>
      <c r="D23" s="36" t="str">
        <f>IF($A23="","",IFERROR(INDEX(TEAM!$B:$B,MATCH($C23,TEAM!$A:$A,0)),""))</f>
        <v/>
      </c>
      <c r="E23" s="42"/>
      <c r="F23" s="48"/>
      <c r="G23" s="47" t="str">
        <f>IF($A23="","",IFERROR(INDEX(TEAM!$C:$C,MATCH($C23,TEAM!$A:$A,0)),0))</f>
        <v/>
      </c>
      <c r="H23" s="47" t="str">
        <f>IF($A23="","",IFERROR(INDEX(TEAM!$D:$D,MATCH($C23,TEAM!$A:$A,0)),0))</f>
        <v/>
      </c>
      <c r="I23" s="34" t="str">
        <f t="shared" si="0"/>
        <v/>
      </c>
      <c r="J23" s="34" t="str">
        <f t="shared" si="1"/>
        <v/>
      </c>
      <c r="K23" s="34" t="str">
        <f t="shared" si="2"/>
        <v/>
      </c>
      <c r="L23" s="33" t="str">
        <f>IF($A23="","",SUMIFS(ORE!$F:$F,ORE!$B:$B,$B23,ORE!$E:$E,$C23))</f>
        <v/>
      </c>
      <c r="M23" s="33" t="str">
        <f>IF($A23="","",SUMIFS(PREVISIONE_ORE!$G:$G,PREVISIONE_ORE!$D:$D,$B23,PREVISIONE_ORE!$E:$E,$C23,PREVISIONE_ORE!$K:$K,"Sì"))</f>
        <v/>
      </c>
      <c r="N23" s="33" t="str">
        <f>IF($A23="","",IF(COUNTIFS(PREVISIONE_ORE!$D:$D,$B23,PREVISIONE_ORE!$E:$E,$C23,PREVISIONE_ORE!$K:$K,"Sì")&gt;0,$L23+$M23,MAX($L23,$F23)))</f>
        <v/>
      </c>
      <c r="O23" s="33" t="str">
        <f t="shared" si="3"/>
        <v/>
      </c>
      <c r="P23" s="34" t="str">
        <f t="shared" si="4"/>
        <v/>
      </c>
      <c r="Q23" s="34" t="str">
        <f t="shared" si="5"/>
        <v/>
      </c>
      <c r="R23" s="35" t="str">
        <f t="shared" si="6"/>
        <v/>
      </c>
      <c r="S23" s="36" t="str">
        <f t="shared" si="7"/>
        <v/>
      </c>
    </row>
    <row r="24" spans="1:19" x14ac:dyDescent="0.3">
      <c r="A24" s="42"/>
      <c r="B24" s="42"/>
      <c r="C24" s="42"/>
      <c r="D24" s="36" t="str">
        <f>IF($A24="","",IFERROR(INDEX(TEAM!$B:$B,MATCH($C24,TEAM!$A:$A,0)),""))</f>
        <v/>
      </c>
      <c r="E24" s="42"/>
      <c r="F24" s="48"/>
      <c r="G24" s="47" t="str">
        <f>IF($A24="","",IFERROR(INDEX(TEAM!$C:$C,MATCH($C24,TEAM!$A:$A,0)),0))</f>
        <v/>
      </c>
      <c r="H24" s="47" t="str">
        <f>IF($A24="","",IFERROR(INDEX(TEAM!$D:$D,MATCH($C24,TEAM!$A:$A,0)),0))</f>
        <v/>
      </c>
      <c r="I24" s="34" t="str">
        <f t="shared" si="0"/>
        <v/>
      </c>
      <c r="J24" s="34" t="str">
        <f t="shared" si="1"/>
        <v/>
      </c>
      <c r="K24" s="34" t="str">
        <f t="shared" si="2"/>
        <v/>
      </c>
      <c r="L24" s="33" t="str">
        <f>IF($A24="","",SUMIFS(ORE!$F:$F,ORE!$B:$B,$B24,ORE!$E:$E,$C24))</f>
        <v/>
      </c>
      <c r="M24" s="33" t="str">
        <f>IF($A24="","",SUMIFS(PREVISIONE_ORE!$G:$G,PREVISIONE_ORE!$D:$D,$B24,PREVISIONE_ORE!$E:$E,$C24,PREVISIONE_ORE!$K:$K,"Sì"))</f>
        <v/>
      </c>
      <c r="N24" s="33" t="str">
        <f>IF($A24="","",IF(COUNTIFS(PREVISIONE_ORE!$D:$D,$B24,PREVISIONE_ORE!$E:$E,$C24,PREVISIONE_ORE!$K:$K,"Sì")&gt;0,$L24+$M24,MAX($L24,$F24)))</f>
        <v/>
      </c>
      <c r="O24" s="33" t="str">
        <f t="shared" si="3"/>
        <v/>
      </c>
      <c r="P24" s="34" t="str">
        <f t="shared" si="4"/>
        <v/>
      </c>
      <c r="Q24" s="34" t="str">
        <f t="shared" si="5"/>
        <v/>
      </c>
      <c r="R24" s="35" t="str">
        <f t="shared" si="6"/>
        <v/>
      </c>
      <c r="S24" s="36" t="str">
        <f t="shared" si="7"/>
        <v/>
      </c>
    </row>
    <row r="25" spans="1:19" x14ac:dyDescent="0.3">
      <c r="A25" s="42"/>
      <c r="B25" s="42"/>
      <c r="C25" s="42"/>
      <c r="D25" s="36" t="str">
        <f>IF($A25="","",IFERROR(INDEX(TEAM!$B:$B,MATCH($C25,TEAM!$A:$A,0)),""))</f>
        <v/>
      </c>
      <c r="E25" s="42"/>
      <c r="F25" s="48"/>
      <c r="G25" s="47" t="str">
        <f>IF($A25="","",IFERROR(INDEX(TEAM!$C:$C,MATCH($C25,TEAM!$A:$A,0)),0))</f>
        <v/>
      </c>
      <c r="H25" s="47" t="str">
        <f>IF($A25="","",IFERROR(INDEX(TEAM!$D:$D,MATCH($C25,TEAM!$A:$A,0)),0))</f>
        <v/>
      </c>
      <c r="I25" s="34" t="str">
        <f t="shared" si="0"/>
        <v/>
      </c>
      <c r="J25" s="34" t="str">
        <f t="shared" si="1"/>
        <v/>
      </c>
      <c r="K25" s="34" t="str">
        <f t="shared" si="2"/>
        <v/>
      </c>
      <c r="L25" s="33" t="str">
        <f>IF($A25="","",SUMIFS(ORE!$F:$F,ORE!$B:$B,$B25,ORE!$E:$E,$C25))</f>
        <v/>
      </c>
      <c r="M25" s="33" t="str">
        <f>IF($A25="","",SUMIFS(PREVISIONE_ORE!$G:$G,PREVISIONE_ORE!$D:$D,$B25,PREVISIONE_ORE!$E:$E,$C25,PREVISIONE_ORE!$K:$K,"Sì"))</f>
        <v/>
      </c>
      <c r="N25" s="33" t="str">
        <f>IF($A25="","",IF(COUNTIFS(PREVISIONE_ORE!$D:$D,$B25,PREVISIONE_ORE!$E:$E,$C25,PREVISIONE_ORE!$K:$K,"Sì")&gt;0,$L25+$M25,MAX($L25,$F25)))</f>
        <v/>
      </c>
      <c r="O25" s="33" t="str">
        <f t="shared" si="3"/>
        <v/>
      </c>
      <c r="P25" s="34" t="str">
        <f t="shared" si="4"/>
        <v/>
      </c>
      <c r="Q25" s="34" t="str">
        <f t="shared" si="5"/>
        <v/>
      </c>
      <c r="R25" s="35" t="str">
        <f t="shared" si="6"/>
        <v/>
      </c>
      <c r="S25" s="36" t="str">
        <f t="shared" si="7"/>
        <v/>
      </c>
    </row>
    <row r="26" spans="1:19" x14ac:dyDescent="0.3">
      <c r="A26" s="42"/>
      <c r="B26" s="42"/>
      <c r="C26" s="42"/>
      <c r="D26" s="36" t="str">
        <f>IF($A26="","",IFERROR(INDEX(TEAM!$B:$B,MATCH($C26,TEAM!$A:$A,0)),""))</f>
        <v/>
      </c>
      <c r="E26" s="42"/>
      <c r="F26" s="48"/>
      <c r="G26" s="47" t="str">
        <f>IF($A26="","",IFERROR(INDEX(TEAM!$C:$C,MATCH($C26,TEAM!$A:$A,0)),0))</f>
        <v/>
      </c>
      <c r="H26" s="47" t="str">
        <f>IF($A26="","",IFERROR(INDEX(TEAM!$D:$D,MATCH($C26,TEAM!$A:$A,0)),0))</f>
        <v/>
      </c>
      <c r="I26" s="34" t="str">
        <f t="shared" si="0"/>
        <v/>
      </c>
      <c r="J26" s="34" t="str">
        <f t="shared" si="1"/>
        <v/>
      </c>
      <c r="K26" s="34" t="str">
        <f t="shared" si="2"/>
        <v/>
      </c>
      <c r="L26" s="33" t="str">
        <f>IF($A26="","",SUMIFS(ORE!$F:$F,ORE!$B:$B,$B26,ORE!$E:$E,$C26))</f>
        <v/>
      </c>
      <c r="M26" s="33" t="str">
        <f>IF($A26="","",SUMIFS(PREVISIONE_ORE!$G:$G,PREVISIONE_ORE!$D:$D,$B26,PREVISIONE_ORE!$E:$E,$C26,PREVISIONE_ORE!$K:$K,"Sì"))</f>
        <v/>
      </c>
      <c r="N26" s="33" t="str">
        <f>IF($A26="","",IF(COUNTIFS(PREVISIONE_ORE!$D:$D,$B26,PREVISIONE_ORE!$E:$E,$C26,PREVISIONE_ORE!$K:$K,"Sì")&gt;0,$L26+$M26,MAX($L26,$F26)))</f>
        <v/>
      </c>
      <c r="O26" s="33" t="str">
        <f t="shared" si="3"/>
        <v/>
      </c>
      <c r="P26" s="34" t="str">
        <f t="shared" si="4"/>
        <v/>
      </c>
      <c r="Q26" s="34" t="str">
        <f t="shared" si="5"/>
        <v/>
      </c>
      <c r="R26" s="35" t="str">
        <f t="shared" si="6"/>
        <v/>
      </c>
      <c r="S26" s="36" t="str">
        <f t="shared" si="7"/>
        <v/>
      </c>
    </row>
    <row r="27" spans="1:19" x14ac:dyDescent="0.3">
      <c r="A27" s="42"/>
      <c r="B27" s="42"/>
      <c r="C27" s="42"/>
      <c r="D27" s="36" t="str">
        <f>IF($A27="","",IFERROR(INDEX(TEAM!$B:$B,MATCH($C27,TEAM!$A:$A,0)),""))</f>
        <v/>
      </c>
      <c r="E27" s="42"/>
      <c r="F27" s="48"/>
      <c r="G27" s="47" t="str">
        <f>IF($A27="","",IFERROR(INDEX(TEAM!$C:$C,MATCH($C27,TEAM!$A:$A,0)),0))</f>
        <v/>
      </c>
      <c r="H27" s="47" t="str">
        <f>IF($A27="","",IFERROR(INDEX(TEAM!$D:$D,MATCH($C27,TEAM!$A:$A,0)),0))</f>
        <v/>
      </c>
      <c r="I27" s="34" t="str">
        <f t="shared" si="0"/>
        <v/>
      </c>
      <c r="J27" s="34" t="str">
        <f t="shared" si="1"/>
        <v/>
      </c>
      <c r="K27" s="34" t="str">
        <f t="shared" si="2"/>
        <v/>
      </c>
      <c r="L27" s="33" t="str">
        <f>IF($A27="","",SUMIFS(ORE!$F:$F,ORE!$B:$B,$B27,ORE!$E:$E,$C27))</f>
        <v/>
      </c>
      <c r="M27" s="33" t="str">
        <f>IF($A27="","",SUMIFS(PREVISIONE_ORE!$G:$G,PREVISIONE_ORE!$D:$D,$B27,PREVISIONE_ORE!$E:$E,$C27,PREVISIONE_ORE!$K:$K,"Sì"))</f>
        <v/>
      </c>
      <c r="N27" s="33" t="str">
        <f>IF($A27="","",IF(COUNTIFS(PREVISIONE_ORE!$D:$D,$B27,PREVISIONE_ORE!$E:$E,$C27,PREVISIONE_ORE!$K:$K,"Sì")&gt;0,$L27+$M27,MAX($L27,$F27)))</f>
        <v/>
      </c>
      <c r="O27" s="33" t="str">
        <f t="shared" si="3"/>
        <v/>
      </c>
      <c r="P27" s="34" t="str">
        <f t="shared" si="4"/>
        <v/>
      </c>
      <c r="Q27" s="34" t="str">
        <f t="shared" si="5"/>
        <v/>
      </c>
      <c r="R27" s="35" t="str">
        <f t="shared" si="6"/>
        <v/>
      </c>
      <c r="S27" s="36" t="str">
        <f t="shared" si="7"/>
        <v/>
      </c>
    </row>
    <row r="28" spans="1:19" x14ac:dyDescent="0.3">
      <c r="A28" s="42"/>
      <c r="B28" s="42"/>
      <c r="C28" s="42"/>
      <c r="D28" s="36" t="str">
        <f>IF($A28="","",IFERROR(INDEX(TEAM!$B:$B,MATCH($C28,TEAM!$A:$A,0)),""))</f>
        <v/>
      </c>
      <c r="E28" s="42"/>
      <c r="F28" s="48"/>
      <c r="G28" s="47" t="str">
        <f>IF($A28="","",IFERROR(INDEX(TEAM!$C:$C,MATCH($C28,TEAM!$A:$A,0)),0))</f>
        <v/>
      </c>
      <c r="H28" s="47" t="str">
        <f>IF($A28="","",IFERROR(INDEX(TEAM!$D:$D,MATCH($C28,TEAM!$A:$A,0)),0))</f>
        <v/>
      </c>
      <c r="I28" s="34" t="str">
        <f t="shared" si="0"/>
        <v/>
      </c>
      <c r="J28" s="34" t="str">
        <f t="shared" si="1"/>
        <v/>
      </c>
      <c r="K28" s="34" t="str">
        <f t="shared" si="2"/>
        <v/>
      </c>
      <c r="L28" s="33" t="str">
        <f>IF($A28="","",SUMIFS(ORE!$F:$F,ORE!$B:$B,$B28,ORE!$E:$E,$C28))</f>
        <v/>
      </c>
      <c r="M28" s="33" t="str">
        <f>IF($A28="","",SUMIFS(PREVISIONE_ORE!$G:$G,PREVISIONE_ORE!$D:$D,$B28,PREVISIONE_ORE!$E:$E,$C28,PREVISIONE_ORE!$K:$K,"Sì"))</f>
        <v/>
      </c>
      <c r="N28" s="33" t="str">
        <f>IF($A28="","",IF(COUNTIFS(PREVISIONE_ORE!$D:$D,$B28,PREVISIONE_ORE!$E:$E,$C28,PREVISIONE_ORE!$K:$K,"Sì")&gt;0,$L28+$M28,MAX($L28,$F28)))</f>
        <v/>
      </c>
      <c r="O28" s="33" t="str">
        <f t="shared" si="3"/>
        <v/>
      </c>
      <c r="P28" s="34" t="str">
        <f t="shared" si="4"/>
        <v/>
      </c>
      <c r="Q28" s="34" t="str">
        <f t="shared" si="5"/>
        <v/>
      </c>
      <c r="R28" s="35" t="str">
        <f t="shared" si="6"/>
        <v/>
      </c>
      <c r="S28" s="36" t="str">
        <f t="shared" si="7"/>
        <v/>
      </c>
    </row>
    <row r="29" spans="1:19" x14ac:dyDescent="0.3">
      <c r="A29" s="42"/>
      <c r="B29" s="42"/>
      <c r="C29" s="42"/>
      <c r="D29" s="36" t="str">
        <f>IF($A29="","",IFERROR(INDEX(TEAM!$B:$B,MATCH($C29,TEAM!$A:$A,0)),""))</f>
        <v/>
      </c>
      <c r="E29" s="42"/>
      <c r="F29" s="48"/>
      <c r="G29" s="47" t="str">
        <f>IF($A29="","",IFERROR(INDEX(TEAM!$C:$C,MATCH($C29,TEAM!$A:$A,0)),0))</f>
        <v/>
      </c>
      <c r="H29" s="47" t="str">
        <f>IF($A29="","",IFERROR(INDEX(TEAM!$D:$D,MATCH($C29,TEAM!$A:$A,0)),0))</f>
        <v/>
      </c>
      <c r="I29" s="34" t="str">
        <f t="shared" si="0"/>
        <v/>
      </c>
      <c r="J29" s="34" t="str">
        <f t="shared" si="1"/>
        <v/>
      </c>
      <c r="K29" s="34" t="str">
        <f t="shared" si="2"/>
        <v/>
      </c>
      <c r="L29" s="33" t="str">
        <f>IF($A29="","",SUMIFS(ORE!$F:$F,ORE!$B:$B,$B29,ORE!$E:$E,$C29))</f>
        <v/>
      </c>
      <c r="M29" s="33" t="str">
        <f>IF($A29="","",SUMIFS(PREVISIONE_ORE!$G:$G,PREVISIONE_ORE!$D:$D,$B29,PREVISIONE_ORE!$E:$E,$C29,PREVISIONE_ORE!$K:$K,"Sì"))</f>
        <v/>
      </c>
      <c r="N29" s="33" t="str">
        <f>IF($A29="","",IF(COUNTIFS(PREVISIONE_ORE!$D:$D,$B29,PREVISIONE_ORE!$E:$E,$C29,PREVISIONE_ORE!$K:$K,"Sì")&gt;0,$L29+$M29,MAX($L29,$F29)))</f>
        <v/>
      </c>
      <c r="O29" s="33" t="str">
        <f t="shared" si="3"/>
        <v/>
      </c>
      <c r="P29" s="34" t="str">
        <f t="shared" si="4"/>
        <v/>
      </c>
      <c r="Q29" s="34" t="str">
        <f t="shared" si="5"/>
        <v/>
      </c>
      <c r="R29" s="35" t="str">
        <f t="shared" si="6"/>
        <v/>
      </c>
      <c r="S29" s="36" t="str">
        <f t="shared" si="7"/>
        <v/>
      </c>
    </row>
    <row r="30" spans="1:19" x14ac:dyDescent="0.3">
      <c r="A30" s="42"/>
      <c r="B30" s="42"/>
      <c r="C30" s="42"/>
      <c r="D30" s="36" t="str">
        <f>IF($A30="","",IFERROR(INDEX(TEAM!$B:$B,MATCH($C30,TEAM!$A:$A,0)),""))</f>
        <v/>
      </c>
      <c r="E30" s="42"/>
      <c r="F30" s="48"/>
      <c r="G30" s="47" t="str">
        <f>IF($A30="","",IFERROR(INDEX(TEAM!$C:$C,MATCH($C30,TEAM!$A:$A,0)),0))</f>
        <v/>
      </c>
      <c r="H30" s="47" t="str">
        <f>IF($A30="","",IFERROR(INDEX(TEAM!$D:$D,MATCH($C30,TEAM!$A:$A,0)),0))</f>
        <v/>
      </c>
      <c r="I30" s="34" t="str">
        <f t="shared" si="0"/>
        <v/>
      </c>
      <c r="J30" s="34" t="str">
        <f t="shared" si="1"/>
        <v/>
      </c>
      <c r="K30" s="34" t="str">
        <f t="shared" si="2"/>
        <v/>
      </c>
      <c r="L30" s="33" t="str">
        <f>IF($A30="","",SUMIFS(ORE!$F:$F,ORE!$B:$B,$B30,ORE!$E:$E,$C30))</f>
        <v/>
      </c>
      <c r="M30" s="33" t="str">
        <f>IF($A30="","",SUMIFS(PREVISIONE_ORE!$G:$G,PREVISIONE_ORE!$D:$D,$B30,PREVISIONE_ORE!$E:$E,$C30,PREVISIONE_ORE!$K:$K,"Sì"))</f>
        <v/>
      </c>
      <c r="N30" s="33" t="str">
        <f>IF($A30="","",IF(COUNTIFS(PREVISIONE_ORE!$D:$D,$B30,PREVISIONE_ORE!$E:$E,$C30,PREVISIONE_ORE!$K:$K,"Sì")&gt;0,$L30+$M30,MAX($L30,$F30)))</f>
        <v/>
      </c>
      <c r="O30" s="33" t="str">
        <f t="shared" si="3"/>
        <v/>
      </c>
      <c r="P30" s="34" t="str">
        <f t="shared" si="4"/>
        <v/>
      </c>
      <c r="Q30" s="34" t="str">
        <f t="shared" si="5"/>
        <v/>
      </c>
      <c r="R30" s="35" t="str">
        <f t="shared" si="6"/>
        <v/>
      </c>
      <c r="S30" s="36" t="str">
        <f t="shared" si="7"/>
        <v/>
      </c>
    </row>
    <row r="31" spans="1:19" x14ac:dyDescent="0.3">
      <c r="A31" s="42"/>
      <c r="B31" s="42"/>
      <c r="C31" s="42"/>
      <c r="D31" s="36" t="str">
        <f>IF($A31="","",IFERROR(INDEX(TEAM!$B:$B,MATCH($C31,TEAM!$A:$A,0)),""))</f>
        <v/>
      </c>
      <c r="E31" s="42"/>
      <c r="F31" s="48"/>
      <c r="G31" s="47" t="str">
        <f>IF($A31="","",IFERROR(INDEX(TEAM!$C:$C,MATCH($C31,TEAM!$A:$A,0)),0))</f>
        <v/>
      </c>
      <c r="H31" s="47" t="str">
        <f>IF($A31="","",IFERROR(INDEX(TEAM!$D:$D,MATCH($C31,TEAM!$A:$A,0)),0))</f>
        <v/>
      </c>
      <c r="I31" s="34" t="str">
        <f t="shared" si="0"/>
        <v/>
      </c>
      <c r="J31" s="34" t="str">
        <f t="shared" si="1"/>
        <v/>
      </c>
      <c r="K31" s="34" t="str">
        <f t="shared" si="2"/>
        <v/>
      </c>
      <c r="L31" s="33" t="str">
        <f>IF($A31="","",SUMIFS(ORE!$F:$F,ORE!$B:$B,$B31,ORE!$E:$E,$C31))</f>
        <v/>
      </c>
      <c r="M31" s="33" t="str">
        <f>IF($A31="","",SUMIFS(PREVISIONE_ORE!$G:$G,PREVISIONE_ORE!$D:$D,$B31,PREVISIONE_ORE!$E:$E,$C31,PREVISIONE_ORE!$K:$K,"Sì"))</f>
        <v/>
      </c>
      <c r="N31" s="33" t="str">
        <f>IF($A31="","",IF(COUNTIFS(PREVISIONE_ORE!$D:$D,$B31,PREVISIONE_ORE!$E:$E,$C31,PREVISIONE_ORE!$K:$K,"Sì")&gt;0,$L31+$M31,MAX($L31,$F31)))</f>
        <v/>
      </c>
      <c r="O31" s="33" t="str">
        <f t="shared" si="3"/>
        <v/>
      </c>
      <c r="P31" s="34" t="str">
        <f t="shared" si="4"/>
        <v/>
      </c>
      <c r="Q31" s="34" t="str">
        <f t="shared" si="5"/>
        <v/>
      </c>
      <c r="R31" s="35" t="str">
        <f t="shared" si="6"/>
        <v/>
      </c>
      <c r="S31" s="36" t="str">
        <f t="shared" si="7"/>
        <v/>
      </c>
    </row>
    <row r="32" spans="1:19" x14ac:dyDescent="0.3">
      <c r="A32" s="42"/>
      <c r="B32" s="42"/>
      <c r="C32" s="42"/>
      <c r="D32" s="36" t="str">
        <f>IF($A32="","",IFERROR(INDEX(TEAM!$B:$B,MATCH($C32,TEAM!$A:$A,0)),""))</f>
        <v/>
      </c>
      <c r="E32" s="42"/>
      <c r="F32" s="48"/>
      <c r="G32" s="47" t="str">
        <f>IF($A32="","",IFERROR(INDEX(TEAM!$C:$C,MATCH($C32,TEAM!$A:$A,0)),0))</f>
        <v/>
      </c>
      <c r="H32" s="47" t="str">
        <f>IF($A32="","",IFERROR(INDEX(TEAM!$D:$D,MATCH($C32,TEAM!$A:$A,0)),0))</f>
        <v/>
      </c>
      <c r="I32" s="34" t="str">
        <f t="shared" si="0"/>
        <v/>
      </c>
      <c r="J32" s="34" t="str">
        <f t="shared" si="1"/>
        <v/>
      </c>
      <c r="K32" s="34" t="str">
        <f t="shared" si="2"/>
        <v/>
      </c>
      <c r="L32" s="33" t="str">
        <f>IF($A32="","",SUMIFS(ORE!$F:$F,ORE!$B:$B,$B32,ORE!$E:$E,$C32))</f>
        <v/>
      </c>
      <c r="M32" s="33" t="str">
        <f>IF($A32="","",SUMIFS(PREVISIONE_ORE!$G:$G,PREVISIONE_ORE!$D:$D,$B32,PREVISIONE_ORE!$E:$E,$C32,PREVISIONE_ORE!$K:$K,"Sì"))</f>
        <v/>
      </c>
      <c r="N32" s="33" t="str">
        <f>IF($A32="","",IF(COUNTIFS(PREVISIONE_ORE!$D:$D,$B32,PREVISIONE_ORE!$E:$E,$C32,PREVISIONE_ORE!$K:$K,"Sì")&gt;0,$L32+$M32,MAX($L32,$F32)))</f>
        <v/>
      </c>
      <c r="O32" s="33" t="str">
        <f t="shared" si="3"/>
        <v/>
      </c>
      <c r="P32" s="34" t="str">
        <f t="shared" si="4"/>
        <v/>
      </c>
      <c r="Q32" s="34" t="str">
        <f t="shared" si="5"/>
        <v/>
      </c>
      <c r="R32" s="35" t="str">
        <f t="shared" si="6"/>
        <v/>
      </c>
      <c r="S32" s="36" t="str">
        <f t="shared" si="7"/>
        <v/>
      </c>
    </row>
    <row r="33" spans="1:19" x14ac:dyDescent="0.3">
      <c r="A33" s="42"/>
      <c r="B33" s="42"/>
      <c r="C33" s="42"/>
      <c r="D33" s="36" t="str">
        <f>IF($A33="","",IFERROR(INDEX(TEAM!$B:$B,MATCH($C33,TEAM!$A:$A,0)),""))</f>
        <v/>
      </c>
      <c r="E33" s="42"/>
      <c r="F33" s="48"/>
      <c r="G33" s="47" t="str">
        <f>IF($A33="","",IFERROR(INDEX(TEAM!$C:$C,MATCH($C33,TEAM!$A:$A,0)),0))</f>
        <v/>
      </c>
      <c r="H33" s="47" t="str">
        <f>IF($A33="","",IFERROR(INDEX(TEAM!$D:$D,MATCH($C33,TEAM!$A:$A,0)),0))</f>
        <v/>
      </c>
      <c r="I33" s="34" t="str">
        <f t="shared" si="0"/>
        <v/>
      </c>
      <c r="J33" s="34" t="str">
        <f t="shared" si="1"/>
        <v/>
      </c>
      <c r="K33" s="34" t="str">
        <f t="shared" si="2"/>
        <v/>
      </c>
      <c r="L33" s="33" t="str">
        <f>IF($A33="","",SUMIFS(ORE!$F:$F,ORE!$B:$B,$B33,ORE!$E:$E,$C33))</f>
        <v/>
      </c>
      <c r="M33" s="33" t="str">
        <f>IF($A33="","",SUMIFS(PREVISIONE_ORE!$G:$G,PREVISIONE_ORE!$D:$D,$B33,PREVISIONE_ORE!$E:$E,$C33,PREVISIONE_ORE!$K:$K,"Sì"))</f>
        <v/>
      </c>
      <c r="N33" s="33" t="str">
        <f>IF($A33="","",IF(COUNTIFS(PREVISIONE_ORE!$D:$D,$B33,PREVISIONE_ORE!$E:$E,$C33,PREVISIONE_ORE!$K:$K,"Sì")&gt;0,$L33+$M33,MAX($L33,$F33)))</f>
        <v/>
      </c>
      <c r="O33" s="33" t="str">
        <f t="shared" si="3"/>
        <v/>
      </c>
      <c r="P33" s="34" t="str">
        <f t="shared" si="4"/>
        <v/>
      </c>
      <c r="Q33" s="34" t="str">
        <f t="shared" si="5"/>
        <v/>
      </c>
      <c r="R33" s="35" t="str">
        <f t="shared" si="6"/>
        <v/>
      </c>
      <c r="S33" s="36" t="str">
        <f t="shared" si="7"/>
        <v/>
      </c>
    </row>
    <row r="34" spans="1:19" x14ac:dyDescent="0.3">
      <c r="A34" s="42"/>
      <c r="B34" s="42"/>
      <c r="C34" s="42"/>
      <c r="D34" s="36" t="str">
        <f>IF($A34="","",IFERROR(INDEX(TEAM!$B:$B,MATCH($C34,TEAM!$A:$A,0)),""))</f>
        <v/>
      </c>
      <c r="E34" s="42"/>
      <c r="F34" s="48"/>
      <c r="G34" s="47" t="str">
        <f>IF($A34="","",IFERROR(INDEX(TEAM!$C:$C,MATCH($C34,TEAM!$A:$A,0)),0))</f>
        <v/>
      </c>
      <c r="H34" s="47" t="str">
        <f>IF($A34="","",IFERROR(INDEX(TEAM!$D:$D,MATCH($C34,TEAM!$A:$A,0)),0))</f>
        <v/>
      </c>
      <c r="I34" s="34" t="str">
        <f t="shared" ref="I34:I65" si="8">IF($A34="","",$F34*$H34)</f>
        <v/>
      </c>
      <c r="J34" s="34" t="str">
        <f t="shared" ref="J34:J65" si="9">IF($A34="","",$F34*$G34)</f>
        <v/>
      </c>
      <c r="K34" s="34" t="str">
        <f t="shared" ref="K34:K65" si="10">IF($A34="","",$I34-$J34)</f>
        <v/>
      </c>
      <c r="L34" s="33" t="str">
        <f>IF($A34="","",SUMIFS(ORE!$F:$F,ORE!$B:$B,$B34,ORE!$E:$E,$C34))</f>
        <v/>
      </c>
      <c r="M34" s="33" t="str">
        <f>IF($A34="","",SUMIFS(PREVISIONE_ORE!$G:$G,PREVISIONE_ORE!$D:$D,$B34,PREVISIONE_ORE!$E:$E,$C34,PREVISIONE_ORE!$K:$K,"Sì"))</f>
        <v/>
      </c>
      <c r="N34" s="33" t="str">
        <f>IF($A34="","",IF(COUNTIFS(PREVISIONE_ORE!$D:$D,$B34,PREVISIONE_ORE!$E:$E,$C34,PREVISIONE_ORE!$K:$K,"Sì")&gt;0,$L34+$M34,MAX($L34,$F34)))</f>
        <v/>
      </c>
      <c r="O34" s="33" t="str">
        <f t="shared" ref="O34:O65" si="11">IF($A34="","",$N34-$F34)</f>
        <v/>
      </c>
      <c r="P34" s="34" t="str">
        <f t="shared" ref="P34:P65" si="12">IF($A34="","",$N34*$G34)</f>
        <v/>
      </c>
      <c r="Q34" s="34" t="str">
        <f t="shared" ref="Q34:Q65" si="13">IF($A34="","",$N34*$H34)</f>
        <v/>
      </c>
      <c r="R34" s="35" t="str">
        <f t="shared" ref="R34:R65" si="14">IF($A34="","",IFERROR($L34/$F34,0))</f>
        <v/>
      </c>
      <c r="S34" s="36" t="str">
        <f t="shared" ref="S34:S65" si="15">IF($A34="","",IF($O34&gt;$F34*0.15,"SFORAMENTO OLTRE 15%",IF($O34&gt;0,"SOPRA LA STIMA",IF($R34&gt;ALLERTA_ORE,"CONSUMO ELEVATO","OK"))))</f>
        <v/>
      </c>
    </row>
    <row r="35" spans="1:19" x14ac:dyDescent="0.3">
      <c r="A35" s="42"/>
      <c r="B35" s="42"/>
      <c r="C35" s="42"/>
      <c r="D35" s="36" t="str">
        <f>IF($A35="","",IFERROR(INDEX(TEAM!$B:$B,MATCH($C35,TEAM!$A:$A,0)),""))</f>
        <v/>
      </c>
      <c r="E35" s="42"/>
      <c r="F35" s="48"/>
      <c r="G35" s="47" t="str">
        <f>IF($A35="","",IFERROR(INDEX(TEAM!$C:$C,MATCH($C35,TEAM!$A:$A,0)),0))</f>
        <v/>
      </c>
      <c r="H35" s="47" t="str">
        <f>IF($A35="","",IFERROR(INDEX(TEAM!$D:$D,MATCH($C35,TEAM!$A:$A,0)),0))</f>
        <v/>
      </c>
      <c r="I35" s="34" t="str">
        <f t="shared" si="8"/>
        <v/>
      </c>
      <c r="J35" s="34" t="str">
        <f t="shared" si="9"/>
        <v/>
      </c>
      <c r="K35" s="34" t="str">
        <f t="shared" si="10"/>
        <v/>
      </c>
      <c r="L35" s="33" t="str">
        <f>IF($A35="","",SUMIFS(ORE!$F:$F,ORE!$B:$B,$B35,ORE!$E:$E,$C35))</f>
        <v/>
      </c>
      <c r="M35" s="33" t="str">
        <f>IF($A35="","",SUMIFS(PREVISIONE_ORE!$G:$G,PREVISIONE_ORE!$D:$D,$B35,PREVISIONE_ORE!$E:$E,$C35,PREVISIONE_ORE!$K:$K,"Sì"))</f>
        <v/>
      </c>
      <c r="N35" s="33" t="str">
        <f>IF($A35="","",IF(COUNTIFS(PREVISIONE_ORE!$D:$D,$B35,PREVISIONE_ORE!$E:$E,$C35,PREVISIONE_ORE!$K:$K,"Sì")&gt;0,$L35+$M35,MAX($L35,$F35)))</f>
        <v/>
      </c>
      <c r="O35" s="33" t="str">
        <f t="shared" si="11"/>
        <v/>
      </c>
      <c r="P35" s="34" t="str">
        <f t="shared" si="12"/>
        <v/>
      </c>
      <c r="Q35" s="34" t="str">
        <f t="shared" si="13"/>
        <v/>
      </c>
      <c r="R35" s="35" t="str">
        <f t="shared" si="14"/>
        <v/>
      </c>
      <c r="S35" s="36" t="str">
        <f t="shared" si="15"/>
        <v/>
      </c>
    </row>
    <row r="36" spans="1:19" x14ac:dyDescent="0.3">
      <c r="A36" s="42"/>
      <c r="B36" s="42"/>
      <c r="C36" s="42"/>
      <c r="D36" s="36" t="str">
        <f>IF($A36="","",IFERROR(INDEX(TEAM!$B:$B,MATCH($C36,TEAM!$A:$A,0)),""))</f>
        <v/>
      </c>
      <c r="E36" s="42"/>
      <c r="F36" s="48"/>
      <c r="G36" s="47" t="str">
        <f>IF($A36="","",IFERROR(INDEX(TEAM!$C:$C,MATCH($C36,TEAM!$A:$A,0)),0))</f>
        <v/>
      </c>
      <c r="H36" s="47" t="str">
        <f>IF($A36="","",IFERROR(INDEX(TEAM!$D:$D,MATCH($C36,TEAM!$A:$A,0)),0))</f>
        <v/>
      </c>
      <c r="I36" s="34" t="str">
        <f t="shared" si="8"/>
        <v/>
      </c>
      <c r="J36" s="34" t="str">
        <f t="shared" si="9"/>
        <v/>
      </c>
      <c r="K36" s="34" t="str">
        <f t="shared" si="10"/>
        <v/>
      </c>
      <c r="L36" s="33" t="str">
        <f>IF($A36="","",SUMIFS(ORE!$F:$F,ORE!$B:$B,$B36,ORE!$E:$E,$C36))</f>
        <v/>
      </c>
      <c r="M36" s="33" t="str">
        <f>IF($A36="","",SUMIFS(PREVISIONE_ORE!$G:$G,PREVISIONE_ORE!$D:$D,$B36,PREVISIONE_ORE!$E:$E,$C36,PREVISIONE_ORE!$K:$K,"Sì"))</f>
        <v/>
      </c>
      <c r="N36" s="33" t="str">
        <f>IF($A36="","",IF(COUNTIFS(PREVISIONE_ORE!$D:$D,$B36,PREVISIONE_ORE!$E:$E,$C36,PREVISIONE_ORE!$K:$K,"Sì")&gt;0,$L36+$M36,MAX($L36,$F36)))</f>
        <v/>
      </c>
      <c r="O36" s="33" t="str">
        <f t="shared" si="11"/>
        <v/>
      </c>
      <c r="P36" s="34" t="str">
        <f t="shared" si="12"/>
        <v/>
      </c>
      <c r="Q36" s="34" t="str">
        <f t="shared" si="13"/>
        <v/>
      </c>
      <c r="R36" s="35" t="str">
        <f t="shared" si="14"/>
        <v/>
      </c>
      <c r="S36" s="36" t="str">
        <f t="shared" si="15"/>
        <v/>
      </c>
    </row>
    <row r="37" spans="1:19" x14ac:dyDescent="0.3">
      <c r="A37" s="42"/>
      <c r="B37" s="42"/>
      <c r="C37" s="42"/>
      <c r="D37" s="36" t="str">
        <f>IF($A37="","",IFERROR(INDEX(TEAM!$B:$B,MATCH($C37,TEAM!$A:$A,0)),""))</f>
        <v/>
      </c>
      <c r="E37" s="42"/>
      <c r="F37" s="48"/>
      <c r="G37" s="47" t="str">
        <f>IF($A37="","",IFERROR(INDEX(TEAM!$C:$C,MATCH($C37,TEAM!$A:$A,0)),0))</f>
        <v/>
      </c>
      <c r="H37" s="47" t="str">
        <f>IF($A37="","",IFERROR(INDEX(TEAM!$D:$D,MATCH($C37,TEAM!$A:$A,0)),0))</f>
        <v/>
      </c>
      <c r="I37" s="34" t="str">
        <f t="shared" si="8"/>
        <v/>
      </c>
      <c r="J37" s="34" t="str">
        <f t="shared" si="9"/>
        <v/>
      </c>
      <c r="K37" s="34" t="str">
        <f t="shared" si="10"/>
        <v/>
      </c>
      <c r="L37" s="33" t="str">
        <f>IF($A37="","",SUMIFS(ORE!$F:$F,ORE!$B:$B,$B37,ORE!$E:$E,$C37))</f>
        <v/>
      </c>
      <c r="M37" s="33" t="str">
        <f>IF($A37="","",SUMIFS(PREVISIONE_ORE!$G:$G,PREVISIONE_ORE!$D:$D,$B37,PREVISIONE_ORE!$E:$E,$C37,PREVISIONE_ORE!$K:$K,"Sì"))</f>
        <v/>
      </c>
      <c r="N37" s="33" t="str">
        <f>IF($A37="","",IF(COUNTIFS(PREVISIONE_ORE!$D:$D,$B37,PREVISIONE_ORE!$E:$E,$C37,PREVISIONE_ORE!$K:$K,"Sì")&gt;0,$L37+$M37,MAX($L37,$F37)))</f>
        <v/>
      </c>
      <c r="O37" s="33" t="str">
        <f t="shared" si="11"/>
        <v/>
      </c>
      <c r="P37" s="34" t="str">
        <f t="shared" si="12"/>
        <v/>
      </c>
      <c r="Q37" s="34" t="str">
        <f t="shared" si="13"/>
        <v/>
      </c>
      <c r="R37" s="35" t="str">
        <f t="shared" si="14"/>
        <v/>
      </c>
      <c r="S37" s="36" t="str">
        <f t="shared" si="15"/>
        <v/>
      </c>
    </row>
    <row r="38" spans="1:19" x14ac:dyDescent="0.3">
      <c r="A38" s="42"/>
      <c r="B38" s="42"/>
      <c r="C38" s="42"/>
      <c r="D38" s="36" t="str">
        <f>IF($A38="","",IFERROR(INDEX(TEAM!$B:$B,MATCH($C38,TEAM!$A:$A,0)),""))</f>
        <v/>
      </c>
      <c r="E38" s="42"/>
      <c r="F38" s="48"/>
      <c r="G38" s="47" t="str">
        <f>IF($A38="","",IFERROR(INDEX(TEAM!$C:$C,MATCH($C38,TEAM!$A:$A,0)),0))</f>
        <v/>
      </c>
      <c r="H38" s="47" t="str">
        <f>IF($A38="","",IFERROR(INDEX(TEAM!$D:$D,MATCH($C38,TEAM!$A:$A,0)),0))</f>
        <v/>
      </c>
      <c r="I38" s="34" t="str">
        <f t="shared" si="8"/>
        <v/>
      </c>
      <c r="J38" s="34" t="str">
        <f t="shared" si="9"/>
        <v/>
      </c>
      <c r="K38" s="34" t="str">
        <f t="shared" si="10"/>
        <v/>
      </c>
      <c r="L38" s="33" t="str">
        <f>IF($A38="","",SUMIFS(ORE!$F:$F,ORE!$B:$B,$B38,ORE!$E:$E,$C38))</f>
        <v/>
      </c>
      <c r="M38" s="33" t="str">
        <f>IF($A38="","",SUMIFS(PREVISIONE_ORE!$G:$G,PREVISIONE_ORE!$D:$D,$B38,PREVISIONE_ORE!$E:$E,$C38,PREVISIONE_ORE!$K:$K,"Sì"))</f>
        <v/>
      </c>
      <c r="N38" s="33" t="str">
        <f>IF($A38="","",IF(COUNTIFS(PREVISIONE_ORE!$D:$D,$B38,PREVISIONE_ORE!$E:$E,$C38,PREVISIONE_ORE!$K:$K,"Sì")&gt;0,$L38+$M38,MAX($L38,$F38)))</f>
        <v/>
      </c>
      <c r="O38" s="33" t="str">
        <f t="shared" si="11"/>
        <v/>
      </c>
      <c r="P38" s="34" t="str">
        <f t="shared" si="12"/>
        <v/>
      </c>
      <c r="Q38" s="34" t="str">
        <f t="shared" si="13"/>
        <v/>
      </c>
      <c r="R38" s="35" t="str">
        <f t="shared" si="14"/>
        <v/>
      </c>
      <c r="S38" s="36" t="str">
        <f t="shared" si="15"/>
        <v/>
      </c>
    </row>
    <row r="39" spans="1:19" x14ac:dyDescent="0.3">
      <c r="A39" s="42"/>
      <c r="B39" s="42"/>
      <c r="C39" s="42"/>
      <c r="D39" s="36" t="str">
        <f>IF($A39="","",IFERROR(INDEX(TEAM!$B:$B,MATCH($C39,TEAM!$A:$A,0)),""))</f>
        <v/>
      </c>
      <c r="E39" s="42"/>
      <c r="F39" s="48"/>
      <c r="G39" s="47" t="str">
        <f>IF($A39="","",IFERROR(INDEX(TEAM!$C:$C,MATCH($C39,TEAM!$A:$A,0)),0))</f>
        <v/>
      </c>
      <c r="H39" s="47" t="str">
        <f>IF($A39="","",IFERROR(INDEX(TEAM!$D:$D,MATCH($C39,TEAM!$A:$A,0)),0))</f>
        <v/>
      </c>
      <c r="I39" s="34" t="str">
        <f t="shared" si="8"/>
        <v/>
      </c>
      <c r="J39" s="34" t="str">
        <f t="shared" si="9"/>
        <v/>
      </c>
      <c r="K39" s="34" t="str">
        <f t="shared" si="10"/>
        <v/>
      </c>
      <c r="L39" s="33" t="str">
        <f>IF($A39="","",SUMIFS(ORE!$F:$F,ORE!$B:$B,$B39,ORE!$E:$E,$C39))</f>
        <v/>
      </c>
      <c r="M39" s="33" t="str">
        <f>IF($A39="","",SUMIFS(PREVISIONE_ORE!$G:$G,PREVISIONE_ORE!$D:$D,$B39,PREVISIONE_ORE!$E:$E,$C39,PREVISIONE_ORE!$K:$K,"Sì"))</f>
        <v/>
      </c>
      <c r="N39" s="33" t="str">
        <f>IF($A39="","",IF(COUNTIFS(PREVISIONE_ORE!$D:$D,$B39,PREVISIONE_ORE!$E:$E,$C39,PREVISIONE_ORE!$K:$K,"Sì")&gt;0,$L39+$M39,MAX($L39,$F39)))</f>
        <v/>
      </c>
      <c r="O39" s="33" t="str">
        <f t="shared" si="11"/>
        <v/>
      </c>
      <c r="P39" s="34" t="str">
        <f t="shared" si="12"/>
        <v/>
      </c>
      <c r="Q39" s="34" t="str">
        <f t="shared" si="13"/>
        <v/>
      </c>
      <c r="R39" s="35" t="str">
        <f t="shared" si="14"/>
        <v/>
      </c>
      <c r="S39" s="36" t="str">
        <f t="shared" si="15"/>
        <v/>
      </c>
    </row>
    <row r="40" spans="1:19" x14ac:dyDescent="0.3">
      <c r="A40" s="42"/>
      <c r="B40" s="42"/>
      <c r="C40" s="42"/>
      <c r="D40" s="36" t="str">
        <f>IF($A40="","",IFERROR(INDEX(TEAM!$B:$B,MATCH($C40,TEAM!$A:$A,0)),""))</f>
        <v/>
      </c>
      <c r="E40" s="42"/>
      <c r="F40" s="48"/>
      <c r="G40" s="47" t="str">
        <f>IF($A40="","",IFERROR(INDEX(TEAM!$C:$C,MATCH($C40,TEAM!$A:$A,0)),0))</f>
        <v/>
      </c>
      <c r="H40" s="47" t="str">
        <f>IF($A40="","",IFERROR(INDEX(TEAM!$D:$D,MATCH($C40,TEAM!$A:$A,0)),0))</f>
        <v/>
      </c>
      <c r="I40" s="34" t="str">
        <f t="shared" si="8"/>
        <v/>
      </c>
      <c r="J40" s="34" t="str">
        <f t="shared" si="9"/>
        <v/>
      </c>
      <c r="K40" s="34" t="str">
        <f t="shared" si="10"/>
        <v/>
      </c>
      <c r="L40" s="33" t="str">
        <f>IF($A40="","",SUMIFS(ORE!$F:$F,ORE!$B:$B,$B40,ORE!$E:$E,$C40))</f>
        <v/>
      </c>
      <c r="M40" s="33" t="str">
        <f>IF($A40="","",SUMIFS(PREVISIONE_ORE!$G:$G,PREVISIONE_ORE!$D:$D,$B40,PREVISIONE_ORE!$E:$E,$C40,PREVISIONE_ORE!$K:$K,"Sì"))</f>
        <v/>
      </c>
      <c r="N40" s="33" t="str">
        <f>IF($A40="","",IF(COUNTIFS(PREVISIONE_ORE!$D:$D,$B40,PREVISIONE_ORE!$E:$E,$C40,PREVISIONE_ORE!$K:$K,"Sì")&gt;0,$L40+$M40,MAX($L40,$F40)))</f>
        <v/>
      </c>
      <c r="O40" s="33" t="str">
        <f t="shared" si="11"/>
        <v/>
      </c>
      <c r="P40" s="34" t="str">
        <f t="shared" si="12"/>
        <v/>
      </c>
      <c r="Q40" s="34" t="str">
        <f t="shared" si="13"/>
        <v/>
      </c>
      <c r="R40" s="35" t="str">
        <f t="shared" si="14"/>
        <v/>
      </c>
      <c r="S40" s="36" t="str">
        <f t="shared" si="15"/>
        <v/>
      </c>
    </row>
    <row r="41" spans="1:19" x14ac:dyDescent="0.3">
      <c r="A41" s="42"/>
      <c r="B41" s="42"/>
      <c r="C41" s="42"/>
      <c r="D41" s="36" t="str">
        <f>IF($A41="","",IFERROR(INDEX(TEAM!$B:$B,MATCH($C41,TEAM!$A:$A,0)),""))</f>
        <v/>
      </c>
      <c r="E41" s="42"/>
      <c r="F41" s="48"/>
      <c r="G41" s="47" t="str">
        <f>IF($A41="","",IFERROR(INDEX(TEAM!$C:$C,MATCH($C41,TEAM!$A:$A,0)),0))</f>
        <v/>
      </c>
      <c r="H41" s="47" t="str">
        <f>IF($A41="","",IFERROR(INDEX(TEAM!$D:$D,MATCH($C41,TEAM!$A:$A,0)),0))</f>
        <v/>
      </c>
      <c r="I41" s="34" t="str">
        <f t="shared" si="8"/>
        <v/>
      </c>
      <c r="J41" s="34" t="str">
        <f t="shared" si="9"/>
        <v/>
      </c>
      <c r="K41" s="34" t="str">
        <f t="shared" si="10"/>
        <v/>
      </c>
      <c r="L41" s="33" t="str">
        <f>IF($A41="","",SUMIFS(ORE!$F:$F,ORE!$B:$B,$B41,ORE!$E:$E,$C41))</f>
        <v/>
      </c>
      <c r="M41" s="33" t="str">
        <f>IF($A41="","",SUMIFS(PREVISIONE_ORE!$G:$G,PREVISIONE_ORE!$D:$D,$B41,PREVISIONE_ORE!$E:$E,$C41,PREVISIONE_ORE!$K:$K,"Sì"))</f>
        <v/>
      </c>
      <c r="N41" s="33" t="str">
        <f>IF($A41="","",IF(COUNTIFS(PREVISIONE_ORE!$D:$D,$B41,PREVISIONE_ORE!$E:$E,$C41,PREVISIONE_ORE!$K:$K,"Sì")&gt;0,$L41+$M41,MAX($L41,$F41)))</f>
        <v/>
      </c>
      <c r="O41" s="33" t="str">
        <f t="shared" si="11"/>
        <v/>
      </c>
      <c r="P41" s="34" t="str">
        <f t="shared" si="12"/>
        <v/>
      </c>
      <c r="Q41" s="34" t="str">
        <f t="shared" si="13"/>
        <v/>
      </c>
      <c r="R41" s="35" t="str">
        <f t="shared" si="14"/>
        <v/>
      </c>
      <c r="S41" s="36" t="str">
        <f t="shared" si="15"/>
        <v/>
      </c>
    </row>
    <row r="42" spans="1:19" x14ac:dyDescent="0.3">
      <c r="A42" s="42"/>
      <c r="B42" s="42"/>
      <c r="C42" s="42"/>
      <c r="D42" s="36" t="str">
        <f>IF($A42="","",IFERROR(INDEX(TEAM!$B:$B,MATCH($C42,TEAM!$A:$A,0)),""))</f>
        <v/>
      </c>
      <c r="E42" s="42"/>
      <c r="F42" s="48"/>
      <c r="G42" s="47" t="str">
        <f>IF($A42="","",IFERROR(INDEX(TEAM!$C:$C,MATCH($C42,TEAM!$A:$A,0)),0))</f>
        <v/>
      </c>
      <c r="H42" s="47" t="str">
        <f>IF($A42="","",IFERROR(INDEX(TEAM!$D:$D,MATCH($C42,TEAM!$A:$A,0)),0))</f>
        <v/>
      </c>
      <c r="I42" s="34" t="str">
        <f t="shared" si="8"/>
        <v/>
      </c>
      <c r="J42" s="34" t="str">
        <f t="shared" si="9"/>
        <v/>
      </c>
      <c r="K42" s="34" t="str">
        <f t="shared" si="10"/>
        <v/>
      </c>
      <c r="L42" s="33" t="str">
        <f>IF($A42="","",SUMIFS(ORE!$F:$F,ORE!$B:$B,$B42,ORE!$E:$E,$C42))</f>
        <v/>
      </c>
      <c r="M42" s="33" t="str">
        <f>IF($A42="","",SUMIFS(PREVISIONE_ORE!$G:$G,PREVISIONE_ORE!$D:$D,$B42,PREVISIONE_ORE!$E:$E,$C42,PREVISIONE_ORE!$K:$K,"Sì"))</f>
        <v/>
      </c>
      <c r="N42" s="33" t="str">
        <f>IF($A42="","",IF(COUNTIFS(PREVISIONE_ORE!$D:$D,$B42,PREVISIONE_ORE!$E:$E,$C42,PREVISIONE_ORE!$K:$K,"Sì")&gt;0,$L42+$M42,MAX($L42,$F42)))</f>
        <v/>
      </c>
      <c r="O42" s="33" t="str">
        <f t="shared" si="11"/>
        <v/>
      </c>
      <c r="P42" s="34" t="str">
        <f t="shared" si="12"/>
        <v/>
      </c>
      <c r="Q42" s="34" t="str">
        <f t="shared" si="13"/>
        <v/>
      </c>
      <c r="R42" s="35" t="str">
        <f t="shared" si="14"/>
        <v/>
      </c>
      <c r="S42" s="36" t="str">
        <f t="shared" si="15"/>
        <v/>
      </c>
    </row>
    <row r="43" spans="1:19" x14ac:dyDescent="0.3">
      <c r="A43" s="42"/>
      <c r="B43" s="42"/>
      <c r="C43" s="42"/>
      <c r="D43" s="36" t="str">
        <f>IF($A43="","",IFERROR(INDEX(TEAM!$B:$B,MATCH($C43,TEAM!$A:$A,0)),""))</f>
        <v/>
      </c>
      <c r="E43" s="42"/>
      <c r="F43" s="48"/>
      <c r="G43" s="47" t="str">
        <f>IF($A43="","",IFERROR(INDEX(TEAM!$C:$C,MATCH($C43,TEAM!$A:$A,0)),0))</f>
        <v/>
      </c>
      <c r="H43" s="47" t="str">
        <f>IF($A43="","",IFERROR(INDEX(TEAM!$D:$D,MATCH($C43,TEAM!$A:$A,0)),0))</f>
        <v/>
      </c>
      <c r="I43" s="34" t="str">
        <f t="shared" si="8"/>
        <v/>
      </c>
      <c r="J43" s="34" t="str">
        <f t="shared" si="9"/>
        <v/>
      </c>
      <c r="K43" s="34" t="str">
        <f t="shared" si="10"/>
        <v/>
      </c>
      <c r="L43" s="33" t="str">
        <f>IF($A43="","",SUMIFS(ORE!$F:$F,ORE!$B:$B,$B43,ORE!$E:$E,$C43))</f>
        <v/>
      </c>
      <c r="M43" s="33" t="str">
        <f>IF($A43="","",SUMIFS(PREVISIONE_ORE!$G:$G,PREVISIONE_ORE!$D:$D,$B43,PREVISIONE_ORE!$E:$E,$C43,PREVISIONE_ORE!$K:$K,"Sì"))</f>
        <v/>
      </c>
      <c r="N43" s="33" t="str">
        <f>IF($A43="","",IF(COUNTIFS(PREVISIONE_ORE!$D:$D,$B43,PREVISIONE_ORE!$E:$E,$C43,PREVISIONE_ORE!$K:$K,"Sì")&gt;0,$L43+$M43,MAX($L43,$F43)))</f>
        <v/>
      </c>
      <c r="O43" s="33" t="str">
        <f t="shared" si="11"/>
        <v/>
      </c>
      <c r="P43" s="34" t="str">
        <f t="shared" si="12"/>
        <v/>
      </c>
      <c r="Q43" s="34" t="str">
        <f t="shared" si="13"/>
        <v/>
      </c>
      <c r="R43" s="35" t="str">
        <f t="shared" si="14"/>
        <v/>
      </c>
      <c r="S43" s="36" t="str">
        <f t="shared" si="15"/>
        <v/>
      </c>
    </row>
    <row r="44" spans="1:19" x14ac:dyDescent="0.3">
      <c r="A44" s="42"/>
      <c r="B44" s="42"/>
      <c r="C44" s="42"/>
      <c r="D44" s="36" t="str">
        <f>IF($A44="","",IFERROR(INDEX(TEAM!$B:$B,MATCH($C44,TEAM!$A:$A,0)),""))</f>
        <v/>
      </c>
      <c r="E44" s="42"/>
      <c r="F44" s="48"/>
      <c r="G44" s="47" t="str">
        <f>IF($A44="","",IFERROR(INDEX(TEAM!$C:$C,MATCH($C44,TEAM!$A:$A,0)),0))</f>
        <v/>
      </c>
      <c r="H44" s="47" t="str">
        <f>IF($A44="","",IFERROR(INDEX(TEAM!$D:$D,MATCH($C44,TEAM!$A:$A,0)),0))</f>
        <v/>
      </c>
      <c r="I44" s="34" t="str">
        <f t="shared" si="8"/>
        <v/>
      </c>
      <c r="J44" s="34" t="str">
        <f t="shared" si="9"/>
        <v/>
      </c>
      <c r="K44" s="34" t="str">
        <f t="shared" si="10"/>
        <v/>
      </c>
      <c r="L44" s="33" t="str">
        <f>IF($A44="","",SUMIFS(ORE!$F:$F,ORE!$B:$B,$B44,ORE!$E:$E,$C44))</f>
        <v/>
      </c>
      <c r="M44" s="33" t="str">
        <f>IF($A44="","",SUMIFS(PREVISIONE_ORE!$G:$G,PREVISIONE_ORE!$D:$D,$B44,PREVISIONE_ORE!$E:$E,$C44,PREVISIONE_ORE!$K:$K,"Sì"))</f>
        <v/>
      </c>
      <c r="N44" s="33" t="str">
        <f>IF($A44="","",IF(COUNTIFS(PREVISIONE_ORE!$D:$D,$B44,PREVISIONE_ORE!$E:$E,$C44,PREVISIONE_ORE!$K:$K,"Sì")&gt;0,$L44+$M44,MAX($L44,$F44)))</f>
        <v/>
      </c>
      <c r="O44" s="33" t="str">
        <f t="shared" si="11"/>
        <v/>
      </c>
      <c r="P44" s="34" t="str">
        <f t="shared" si="12"/>
        <v/>
      </c>
      <c r="Q44" s="34" t="str">
        <f t="shared" si="13"/>
        <v/>
      </c>
      <c r="R44" s="35" t="str">
        <f t="shared" si="14"/>
        <v/>
      </c>
      <c r="S44" s="36" t="str">
        <f t="shared" si="15"/>
        <v/>
      </c>
    </row>
    <row r="45" spans="1:19" x14ac:dyDescent="0.3">
      <c r="A45" s="42"/>
      <c r="B45" s="42"/>
      <c r="C45" s="42"/>
      <c r="D45" s="36" t="str">
        <f>IF($A45="","",IFERROR(INDEX(TEAM!$B:$B,MATCH($C45,TEAM!$A:$A,0)),""))</f>
        <v/>
      </c>
      <c r="E45" s="42"/>
      <c r="F45" s="48"/>
      <c r="G45" s="47" t="str">
        <f>IF($A45="","",IFERROR(INDEX(TEAM!$C:$C,MATCH($C45,TEAM!$A:$A,0)),0))</f>
        <v/>
      </c>
      <c r="H45" s="47" t="str">
        <f>IF($A45="","",IFERROR(INDEX(TEAM!$D:$D,MATCH($C45,TEAM!$A:$A,0)),0))</f>
        <v/>
      </c>
      <c r="I45" s="34" t="str">
        <f t="shared" si="8"/>
        <v/>
      </c>
      <c r="J45" s="34" t="str">
        <f t="shared" si="9"/>
        <v/>
      </c>
      <c r="K45" s="34" t="str">
        <f t="shared" si="10"/>
        <v/>
      </c>
      <c r="L45" s="33" t="str">
        <f>IF($A45="","",SUMIFS(ORE!$F:$F,ORE!$B:$B,$B45,ORE!$E:$E,$C45))</f>
        <v/>
      </c>
      <c r="M45" s="33" t="str">
        <f>IF($A45="","",SUMIFS(PREVISIONE_ORE!$G:$G,PREVISIONE_ORE!$D:$D,$B45,PREVISIONE_ORE!$E:$E,$C45,PREVISIONE_ORE!$K:$K,"Sì"))</f>
        <v/>
      </c>
      <c r="N45" s="33" t="str">
        <f>IF($A45="","",IF(COUNTIFS(PREVISIONE_ORE!$D:$D,$B45,PREVISIONE_ORE!$E:$E,$C45,PREVISIONE_ORE!$K:$K,"Sì")&gt;0,$L45+$M45,MAX($L45,$F45)))</f>
        <v/>
      </c>
      <c r="O45" s="33" t="str">
        <f t="shared" si="11"/>
        <v/>
      </c>
      <c r="P45" s="34" t="str">
        <f t="shared" si="12"/>
        <v/>
      </c>
      <c r="Q45" s="34" t="str">
        <f t="shared" si="13"/>
        <v/>
      </c>
      <c r="R45" s="35" t="str">
        <f t="shared" si="14"/>
        <v/>
      </c>
      <c r="S45" s="36" t="str">
        <f t="shared" si="15"/>
        <v/>
      </c>
    </row>
    <row r="46" spans="1:19" x14ac:dyDescent="0.3">
      <c r="A46" s="42"/>
      <c r="B46" s="42"/>
      <c r="C46" s="42"/>
      <c r="D46" s="36" t="str">
        <f>IF($A46="","",IFERROR(INDEX(TEAM!$B:$B,MATCH($C46,TEAM!$A:$A,0)),""))</f>
        <v/>
      </c>
      <c r="E46" s="42"/>
      <c r="F46" s="48"/>
      <c r="G46" s="47" t="str">
        <f>IF($A46="","",IFERROR(INDEX(TEAM!$C:$C,MATCH($C46,TEAM!$A:$A,0)),0))</f>
        <v/>
      </c>
      <c r="H46" s="47" t="str">
        <f>IF($A46="","",IFERROR(INDEX(TEAM!$D:$D,MATCH($C46,TEAM!$A:$A,0)),0))</f>
        <v/>
      </c>
      <c r="I46" s="34" t="str">
        <f t="shared" si="8"/>
        <v/>
      </c>
      <c r="J46" s="34" t="str">
        <f t="shared" si="9"/>
        <v/>
      </c>
      <c r="K46" s="34" t="str">
        <f t="shared" si="10"/>
        <v/>
      </c>
      <c r="L46" s="33" t="str">
        <f>IF($A46="","",SUMIFS(ORE!$F:$F,ORE!$B:$B,$B46,ORE!$E:$E,$C46))</f>
        <v/>
      </c>
      <c r="M46" s="33" t="str">
        <f>IF($A46="","",SUMIFS(PREVISIONE_ORE!$G:$G,PREVISIONE_ORE!$D:$D,$B46,PREVISIONE_ORE!$E:$E,$C46,PREVISIONE_ORE!$K:$K,"Sì"))</f>
        <v/>
      </c>
      <c r="N46" s="33" t="str">
        <f>IF($A46="","",IF(COUNTIFS(PREVISIONE_ORE!$D:$D,$B46,PREVISIONE_ORE!$E:$E,$C46,PREVISIONE_ORE!$K:$K,"Sì")&gt;0,$L46+$M46,MAX($L46,$F46)))</f>
        <v/>
      </c>
      <c r="O46" s="33" t="str">
        <f t="shared" si="11"/>
        <v/>
      </c>
      <c r="P46" s="34" t="str">
        <f t="shared" si="12"/>
        <v/>
      </c>
      <c r="Q46" s="34" t="str">
        <f t="shared" si="13"/>
        <v/>
      </c>
      <c r="R46" s="35" t="str">
        <f t="shared" si="14"/>
        <v/>
      </c>
      <c r="S46" s="36" t="str">
        <f t="shared" si="15"/>
        <v/>
      </c>
    </row>
    <row r="47" spans="1:19" x14ac:dyDescent="0.3">
      <c r="A47" s="42"/>
      <c r="B47" s="42"/>
      <c r="C47" s="42"/>
      <c r="D47" s="36" t="str">
        <f>IF($A47="","",IFERROR(INDEX(TEAM!$B:$B,MATCH($C47,TEAM!$A:$A,0)),""))</f>
        <v/>
      </c>
      <c r="E47" s="42"/>
      <c r="F47" s="48"/>
      <c r="G47" s="47" t="str">
        <f>IF($A47="","",IFERROR(INDEX(TEAM!$C:$C,MATCH($C47,TEAM!$A:$A,0)),0))</f>
        <v/>
      </c>
      <c r="H47" s="47" t="str">
        <f>IF($A47="","",IFERROR(INDEX(TEAM!$D:$D,MATCH($C47,TEAM!$A:$A,0)),0))</f>
        <v/>
      </c>
      <c r="I47" s="34" t="str">
        <f t="shared" si="8"/>
        <v/>
      </c>
      <c r="J47" s="34" t="str">
        <f t="shared" si="9"/>
        <v/>
      </c>
      <c r="K47" s="34" t="str">
        <f t="shared" si="10"/>
        <v/>
      </c>
      <c r="L47" s="33" t="str">
        <f>IF($A47="","",SUMIFS(ORE!$F:$F,ORE!$B:$B,$B47,ORE!$E:$E,$C47))</f>
        <v/>
      </c>
      <c r="M47" s="33" t="str">
        <f>IF($A47="","",SUMIFS(PREVISIONE_ORE!$G:$G,PREVISIONE_ORE!$D:$D,$B47,PREVISIONE_ORE!$E:$E,$C47,PREVISIONE_ORE!$K:$K,"Sì"))</f>
        <v/>
      </c>
      <c r="N47" s="33" t="str">
        <f>IF($A47="","",IF(COUNTIFS(PREVISIONE_ORE!$D:$D,$B47,PREVISIONE_ORE!$E:$E,$C47,PREVISIONE_ORE!$K:$K,"Sì")&gt;0,$L47+$M47,MAX($L47,$F47)))</f>
        <v/>
      </c>
      <c r="O47" s="33" t="str">
        <f t="shared" si="11"/>
        <v/>
      </c>
      <c r="P47" s="34" t="str">
        <f t="shared" si="12"/>
        <v/>
      </c>
      <c r="Q47" s="34" t="str">
        <f t="shared" si="13"/>
        <v/>
      </c>
      <c r="R47" s="35" t="str">
        <f t="shared" si="14"/>
        <v/>
      </c>
      <c r="S47" s="36" t="str">
        <f t="shared" si="15"/>
        <v/>
      </c>
    </row>
    <row r="48" spans="1:19" x14ac:dyDescent="0.3">
      <c r="A48" s="42"/>
      <c r="B48" s="42"/>
      <c r="C48" s="42"/>
      <c r="D48" s="36" t="str">
        <f>IF($A48="","",IFERROR(INDEX(TEAM!$B:$B,MATCH($C48,TEAM!$A:$A,0)),""))</f>
        <v/>
      </c>
      <c r="E48" s="42"/>
      <c r="F48" s="48"/>
      <c r="G48" s="47" t="str">
        <f>IF($A48="","",IFERROR(INDEX(TEAM!$C:$C,MATCH($C48,TEAM!$A:$A,0)),0))</f>
        <v/>
      </c>
      <c r="H48" s="47" t="str">
        <f>IF($A48="","",IFERROR(INDEX(TEAM!$D:$D,MATCH($C48,TEAM!$A:$A,0)),0))</f>
        <v/>
      </c>
      <c r="I48" s="34" t="str">
        <f t="shared" si="8"/>
        <v/>
      </c>
      <c r="J48" s="34" t="str">
        <f t="shared" si="9"/>
        <v/>
      </c>
      <c r="K48" s="34" t="str">
        <f t="shared" si="10"/>
        <v/>
      </c>
      <c r="L48" s="33" t="str">
        <f>IF($A48="","",SUMIFS(ORE!$F:$F,ORE!$B:$B,$B48,ORE!$E:$E,$C48))</f>
        <v/>
      </c>
      <c r="M48" s="33" t="str">
        <f>IF($A48="","",SUMIFS(PREVISIONE_ORE!$G:$G,PREVISIONE_ORE!$D:$D,$B48,PREVISIONE_ORE!$E:$E,$C48,PREVISIONE_ORE!$K:$K,"Sì"))</f>
        <v/>
      </c>
      <c r="N48" s="33" t="str">
        <f>IF($A48="","",IF(COUNTIFS(PREVISIONE_ORE!$D:$D,$B48,PREVISIONE_ORE!$E:$E,$C48,PREVISIONE_ORE!$K:$K,"Sì")&gt;0,$L48+$M48,MAX($L48,$F48)))</f>
        <v/>
      </c>
      <c r="O48" s="33" t="str">
        <f t="shared" si="11"/>
        <v/>
      </c>
      <c r="P48" s="34" t="str">
        <f t="shared" si="12"/>
        <v/>
      </c>
      <c r="Q48" s="34" t="str">
        <f t="shared" si="13"/>
        <v/>
      </c>
      <c r="R48" s="35" t="str">
        <f t="shared" si="14"/>
        <v/>
      </c>
      <c r="S48" s="36" t="str">
        <f t="shared" si="15"/>
        <v/>
      </c>
    </row>
    <row r="49" spans="1:19" x14ac:dyDescent="0.3">
      <c r="A49" s="42"/>
      <c r="B49" s="42"/>
      <c r="C49" s="42"/>
      <c r="D49" s="36" t="str">
        <f>IF($A49="","",IFERROR(INDEX(TEAM!$B:$B,MATCH($C49,TEAM!$A:$A,0)),""))</f>
        <v/>
      </c>
      <c r="E49" s="42"/>
      <c r="F49" s="48"/>
      <c r="G49" s="47" t="str">
        <f>IF($A49="","",IFERROR(INDEX(TEAM!$C:$C,MATCH($C49,TEAM!$A:$A,0)),0))</f>
        <v/>
      </c>
      <c r="H49" s="47" t="str">
        <f>IF($A49="","",IFERROR(INDEX(TEAM!$D:$D,MATCH($C49,TEAM!$A:$A,0)),0))</f>
        <v/>
      </c>
      <c r="I49" s="34" t="str">
        <f t="shared" si="8"/>
        <v/>
      </c>
      <c r="J49" s="34" t="str">
        <f t="shared" si="9"/>
        <v/>
      </c>
      <c r="K49" s="34" t="str">
        <f t="shared" si="10"/>
        <v/>
      </c>
      <c r="L49" s="33" t="str">
        <f>IF($A49="","",SUMIFS(ORE!$F:$F,ORE!$B:$B,$B49,ORE!$E:$E,$C49))</f>
        <v/>
      </c>
      <c r="M49" s="33" t="str">
        <f>IF($A49="","",SUMIFS(PREVISIONE_ORE!$G:$G,PREVISIONE_ORE!$D:$D,$B49,PREVISIONE_ORE!$E:$E,$C49,PREVISIONE_ORE!$K:$K,"Sì"))</f>
        <v/>
      </c>
      <c r="N49" s="33" t="str">
        <f>IF($A49="","",IF(COUNTIFS(PREVISIONE_ORE!$D:$D,$B49,PREVISIONE_ORE!$E:$E,$C49,PREVISIONE_ORE!$K:$K,"Sì")&gt;0,$L49+$M49,MAX($L49,$F49)))</f>
        <v/>
      </c>
      <c r="O49" s="33" t="str">
        <f t="shared" si="11"/>
        <v/>
      </c>
      <c r="P49" s="34" t="str">
        <f t="shared" si="12"/>
        <v/>
      </c>
      <c r="Q49" s="34" t="str">
        <f t="shared" si="13"/>
        <v/>
      </c>
      <c r="R49" s="35" t="str">
        <f t="shared" si="14"/>
        <v/>
      </c>
      <c r="S49" s="36" t="str">
        <f t="shared" si="15"/>
        <v/>
      </c>
    </row>
    <row r="50" spans="1:19" x14ac:dyDescent="0.3">
      <c r="A50" s="42"/>
      <c r="B50" s="42"/>
      <c r="C50" s="42"/>
      <c r="D50" s="36" t="str">
        <f>IF($A50="","",IFERROR(INDEX(TEAM!$B:$B,MATCH($C50,TEAM!$A:$A,0)),""))</f>
        <v/>
      </c>
      <c r="E50" s="42"/>
      <c r="F50" s="48"/>
      <c r="G50" s="47" t="str">
        <f>IF($A50="","",IFERROR(INDEX(TEAM!$C:$C,MATCH($C50,TEAM!$A:$A,0)),0))</f>
        <v/>
      </c>
      <c r="H50" s="47" t="str">
        <f>IF($A50="","",IFERROR(INDEX(TEAM!$D:$D,MATCH($C50,TEAM!$A:$A,0)),0))</f>
        <v/>
      </c>
      <c r="I50" s="34" t="str">
        <f t="shared" si="8"/>
        <v/>
      </c>
      <c r="J50" s="34" t="str">
        <f t="shared" si="9"/>
        <v/>
      </c>
      <c r="K50" s="34" t="str">
        <f t="shared" si="10"/>
        <v/>
      </c>
      <c r="L50" s="33" t="str">
        <f>IF($A50="","",SUMIFS(ORE!$F:$F,ORE!$B:$B,$B50,ORE!$E:$E,$C50))</f>
        <v/>
      </c>
      <c r="M50" s="33" t="str">
        <f>IF($A50="","",SUMIFS(PREVISIONE_ORE!$G:$G,PREVISIONE_ORE!$D:$D,$B50,PREVISIONE_ORE!$E:$E,$C50,PREVISIONE_ORE!$K:$K,"Sì"))</f>
        <v/>
      </c>
      <c r="N50" s="33" t="str">
        <f>IF($A50="","",IF(COUNTIFS(PREVISIONE_ORE!$D:$D,$B50,PREVISIONE_ORE!$E:$E,$C50,PREVISIONE_ORE!$K:$K,"Sì")&gt;0,$L50+$M50,MAX($L50,$F50)))</f>
        <v/>
      </c>
      <c r="O50" s="33" t="str">
        <f t="shared" si="11"/>
        <v/>
      </c>
      <c r="P50" s="34" t="str">
        <f t="shared" si="12"/>
        <v/>
      </c>
      <c r="Q50" s="34" t="str">
        <f t="shared" si="13"/>
        <v/>
      </c>
      <c r="R50" s="35" t="str">
        <f t="shared" si="14"/>
        <v/>
      </c>
      <c r="S50" s="36" t="str">
        <f t="shared" si="15"/>
        <v/>
      </c>
    </row>
    <row r="51" spans="1:19" x14ac:dyDescent="0.3">
      <c r="A51" s="42"/>
      <c r="B51" s="42"/>
      <c r="C51" s="42"/>
      <c r="D51" s="36" t="str">
        <f>IF($A51="","",IFERROR(INDEX(TEAM!$B:$B,MATCH($C51,TEAM!$A:$A,0)),""))</f>
        <v/>
      </c>
      <c r="E51" s="42"/>
      <c r="F51" s="48"/>
      <c r="G51" s="47" t="str">
        <f>IF($A51="","",IFERROR(INDEX(TEAM!$C:$C,MATCH($C51,TEAM!$A:$A,0)),0))</f>
        <v/>
      </c>
      <c r="H51" s="47" t="str">
        <f>IF($A51="","",IFERROR(INDEX(TEAM!$D:$D,MATCH($C51,TEAM!$A:$A,0)),0))</f>
        <v/>
      </c>
      <c r="I51" s="34" t="str">
        <f t="shared" si="8"/>
        <v/>
      </c>
      <c r="J51" s="34" t="str">
        <f t="shared" si="9"/>
        <v/>
      </c>
      <c r="K51" s="34" t="str">
        <f t="shared" si="10"/>
        <v/>
      </c>
      <c r="L51" s="33" t="str">
        <f>IF($A51="","",SUMIFS(ORE!$F:$F,ORE!$B:$B,$B51,ORE!$E:$E,$C51))</f>
        <v/>
      </c>
      <c r="M51" s="33" t="str">
        <f>IF($A51="","",SUMIFS(PREVISIONE_ORE!$G:$G,PREVISIONE_ORE!$D:$D,$B51,PREVISIONE_ORE!$E:$E,$C51,PREVISIONE_ORE!$K:$K,"Sì"))</f>
        <v/>
      </c>
      <c r="N51" s="33" t="str">
        <f>IF($A51="","",IF(COUNTIFS(PREVISIONE_ORE!$D:$D,$B51,PREVISIONE_ORE!$E:$E,$C51,PREVISIONE_ORE!$K:$K,"Sì")&gt;0,$L51+$M51,MAX($L51,$F51)))</f>
        <v/>
      </c>
      <c r="O51" s="33" t="str">
        <f t="shared" si="11"/>
        <v/>
      </c>
      <c r="P51" s="34" t="str">
        <f t="shared" si="12"/>
        <v/>
      </c>
      <c r="Q51" s="34" t="str">
        <f t="shared" si="13"/>
        <v/>
      </c>
      <c r="R51" s="35" t="str">
        <f t="shared" si="14"/>
        <v/>
      </c>
      <c r="S51" s="36" t="str">
        <f t="shared" si="15"/>
        <v/>
      </c>
    </row>
    <row r="52" spans="1:19" x14ac:dyDescent="0.3">
      <c r="A52" s="42"/>
      <c r="B52" s="42"/>
      <c r="C52" s="42"/>
      <c r="D52" s="36" t="str">
        <f>IF($A52="","",IFERROR(INDEX(TEAM!$B:$B,MATCH($C52,TEAM!$A:$A,0)),""))</f>
        <v/>
      </c>
      <c r="E52" s="42"/>
      <c r="F52" s="48"/>
      <c r="G52" s="47" t="str">
        <f>IF($A52="","",IFERROR(INDEX(TEAM!$C:$C,MATCH($C52,TEAM!$A:$A,0)),0))</f>
        <v/>
      </c>
      <c r="H52" s="47" t="str">
        <f>IF($A52="","",IFERROR(INDEX(TEAM!$D:$D,MATCH($C52,TEAM!$A:$A,0)),0))</f>
        <v/>
      </c>
      <c r="I52" s="34" t="str">
        <f t="shared" si="8"/>
        <v/>
      </c>
      <c r="J52" s="34" t="str">
        <f t="shared" si="9"/>
        <v/>
      </c>
      <c r="K52" s="34" t="str">
        <f t="shared" si="10"/>
        <v/>
      </c>
      <c r="L52" s="33" t="str">
        <f>IF($A52="","",SUMIFS(ORE!$F:$F,ORE!$B:$B,$B52,ORE!$E:$E,$C52))</f>
        <v/>
      </c>
      <c r="M52" s="33" t="str">
        <f>IF($A52="","",SUMIFS(PREVISIONE_ORE!$G:$G,PREVISIONE_ORE!$D:$D,$B52,PREVISIONE_ORE!$E:$E,$C52,PREVISIONE_ORE!$K:$K,"Sì"))</f>
        <v/>
      </c>
      <c r="N52" s="33" t="str">
        <f>IF($A52="","",IF(COUNTIFS(PREVISIONE_ORE!$D:$D,$B52,PREVISIONE_ORE!$E:$E,$C52,PREVISIONE_ORE!$K:$K,"Sì")&gt;0,$L52+$M52,MAX($L52,$F52)))</f>
        <v/>
      </c>
      <c r="O52" s="33" t="str">
        <f t="shared" si="11"/>
        <v/>
      </c>
      <c r="P52" s="34" t="str">
        <f t="shared" si="12"/>
        <v/>
      </c>
      <c r="Q52" s="34" t="str">
        <f t="shared" si="13"/>
        <v/>
      </c>
      <c r="R52" s="35" t="str">
        <f t="shared" si="14"/>
        <v/>
      </c>
      <c r="S52" s="36" t="str">
        <f t="shared" si="15"/>
        <v/>
      </c>
    </row>
    <row r="53" spans="1:19" x14ac:dyDescent="0.3">
      <c r="A53" s="42"/>
      <c r="B53" s="42"/>
      <c r="C53" s="42"/>
      <c r="D53" s="36" t="str">
        <f>IF($A53="","",IFERROR(INDEX(TEAM!$B:$B,MATCH($C53,TEAM!$A:$A,0)),""))</f>
        <v/>
      </c>
      <c r="E53" s="42"/>
      <c r="F53" s="48"/>
      <c r="G53" s="47" t="str">
        <f>IF($A53="","",IFERROR(INDEX(TEAM!$C:$C,MATCH($C53,TEAM!$A:$A,0)),0))</f>
        <v/>
      </c>
      <c r="H53" s="47" t="str">
        <f>IF($A53="","",IFERROR(INDEX(TEAM!$D:$D,MATCH($C53,TEAM!$A:$A,0)),0))</f>
        <v/>
      </c>
      <c r="I53" s="34" t="str">
        <f t="shared" si="8"/>
        <v/>
      </c>
      <c r="J53" s="34" t="str">
        <f t="shared" si="9"/>
        <v/>
      </c>
      <c r="K53" s="34" t="str">
        <f t="shared" si="10"/>
        <v/>
      </c>
      <c r="L53" s="33" t="str">
        <f>IF($A53="","",SUMIFS(ORE!$F:$F,ORE!$B:$B,$B53,ORE!$E:$E,$C53))</f>
        <v/>
      </c>
      <c r="M53" s="33" t="str">
        <f>IF($A53="","",SUMIFS(PREVISIONE_ORE!$G:$G,PREVISIONE_ORE!$D:$D,$B53,PREVISIONE_ORE!$E:$E,$C53,PREVISIONE_ORE!$K:$K,"Sì"))</f>
        <v/>
      </c>
      <c r="N53" s="33" t="str">
        <f>IF($A53="","",IF(COUNTIFS(PREVISIONE_ORE!$D:$D,$B53,PREVISIONE_ORE!$E:$E,$C53,PREVISIONE_ORE!$K:$K,"Sì")&gt;0,$L53+$M53,MAX($L53,$F53)))</f>
        <v/>
      </c>
      <c r="O53" s="33" t="str">
        <f t="shared" si="11"/>
        <v/>
      </c>
      <c r="P53" s="34" t="str">
        <f t="shared" si="12"/>
        <v/>
      </c>
      <c r="Q53" s="34" t="str">
        <f t="shared" si="13"/>
        <v/>
      </c>
      <c r="R53" s="35" t="str">
        <f t="shared" si="14"/>
        <v/>
      </c>
      <c r="S53" s="36" t="str">
        <f t="shared" si="15"/>
        <v/>
      </c>
    </row>
    <row r="54" spans="1:19" x14ac:dyDescent="0.3">
      <c r="A54" s="42"/>
      <c r="B54" s="42"/>
      <c r="C54" s="42"/>
      <c r="D54" s="36" t="str">
        <f>IF($A54="","",IFERROR(INDEX(TEAM!$B:$B,MATCH($C54,TEAM!$A:$A,0)),""))</f>
        <v/>
      </c>
      <c r="E54" s="42"/>
      <c r="F54" s="48"/>
      <c r="G54" s="47" t="str">
        <f>IF($A54="","",IFERROR(INDEX(TEAM!$C:$C,MATCH($C54,TEAM!$A:$A,0)),0))</f>
        <v/>
      </c>
      <c r="H54" s="47" t="str">
        <f>IF($A54="","",IFERROR(INDEX(TEAM!$D:$D,MATCH($C54,TEAM!$A:$A,0)),0))</f>
        <v/>
      </c>
      <c r="I54" s="34" t="str">
        <f t="shared" si="8"/>
        <v/>
      </c>
      <c r="J54" s="34" t="str">
        <f t="shared" si="9"/>
        <v/>
      </c>
      <c r="K54" s="34" t="str">
        <f t="shared" si="10"/>
        <v/>
      </c>
      <c r="L54" s="33" t="str">
        <f>IF($A54="","",SUMIFS(ORE!$F:$F,ORE!$B:$B,$B54,ORE!$E:$E,$C54))</f>
        <v/>
      </c>
      <c r="M54" s="33" t="str">
        <f>IF($A54="","",SUMIFS(PREVISIONE_ORE!$G:$G,PREVISIONE_ORE!$D:$D,$B54,PREVISIONE_ORE!$E:$E,$C54,PREVISIONE_ORE!$K:$K,"Sì"))</f>
        <v/>
      </c>
      <c r="N54" s="33" t="str">
        <f>IF($A54="","",IF(COUNTIFS(PREVISIONE_ORE!$D:$D,$B54,PREVISIONE_ORE!$E:$E,$C54,PREVISIONE_ORE!$K:$K,"Sì")&gt;0,$L54+$M54,MAX($L54,$F54)))</f>
        <v/>
      </c>
      <c r="O54" s="33" t="str">
        <f t="shared" si="11"/>
        <v/>
      </c>
      <c r="P54" s="34" t="str">
        <f t="shared" si="12"/>
        <v/>
      </c>
      <c r="Q54" s="34" t="str">
        <f t="shared" si="13"/>
        <v/>
      </c>
      <c r="R54" s="35" t="str">
        <f t="shared" si="14"/>
        <v/>
      </c>
      <c r="S54" s="36" t="str">
        <f t="shared" si="15"/>
        <v/>
      </c>
    </row>
    <row r="55" spans="1:19" x14ac:dyDescent="0.3">
      <c r="A55" s="42"/>
      <c r="B55" s="42"/>
      <c r="C55" s="42"/>
      <c r="D55" s="36" t="str">
        <f>IF($A55="","",IFERROR(INDEX(TEAM!$B:$B,MATCH($C55,TEAM!$A:$A,0)),""))</f>
        <v/>
      </c>
      <c r="E55" s="42"/>
      <c r="F55" s="48"/>
      <c r="G55" s="47" t="str">
        <f>IF($A55="","",IFERROR(INDEX(TEAM!$C:$C,MATCH($C55,TEAM!$A:$A,0)),0))</f>
        <v/>
      </c>
      <c r="H55" s="47" t="str">
        <f>IF($A55="","",IFERROR(INDEX(TEAM!$D:$D,MATCH($C55,TEAM!$A:$A,0)),0))</f>
        <v/>
      </c>
      <c r="I55" s="34" t="str">
        <f t="shared" si="8"/>
        <v/>
      </c>
      <c r="J55" s="34" t="str">
        <f t="shared" si="9"/>
        <v/>
      </c>
      <c r="K55" s="34" t="str">
        <f t="shared" si="10"/>
        <v/>
      </c>
      <c r="L55" s="33" t="str">
        <f>IF($A55="","",SUMIFS(ORE!$F:$F,ORE!$B:$B,$B55,ORE!$E:$E,$C55))</f>
        <v/>
      </c>
      <c r="M55" s="33" t="str">
        <f>IF($A55="","",SUMIFS(PREVISIONE_ORE!$G:$G,PREVISIONE_ORE!$D:$D,$B55,PREVISIONE_ORE!$E:$E,$C55,PREVISIONE_ORE!$K:$K,"Sì"))</f>
        <v/>
      </c>
      <c r="N55" s="33" t="str">
        <f>IF($A55="","",IF(COUNTIFS(PREVISIONE_ORE!$D:$D,$B55,PREVISIONE_ORE!$E:$E,$C55,PREVISIONE_ORE!$K:$K,"Sì")&gt;0,$L55+$M55,MAX($L55,$F55)))</f>
        <v/>
      </c>
      <c r="O55" s="33" t="str">
        <f t="shared" si="11"/>
        <v/>
      </c>
      <c r="P55" s="34" t="str">
        <f t="shared" si="12"/>
        <v/>
      </c>
      <c r="Q55" s="34" t="str">
        <f t="shared" si="13"/>
        <v/>
      </c>
      <c r="R55" s="35" t="str">
        <f t="shared" si="14"/>
        <v/>
      </c>
      <c r="S55" s="36" t="str">
        <f t="shared" si="15"/>
        <v/>
      </c>
    </row>
    <row r="56" spans="1:19" x14ac:dyDescent="0.3">
      <c r="A56" s="42"/>
      <c r="B56" s="42"/>
      <c r="C56" s="42"/>
      <c r="D56" s="36" t="str">
        <f>IF($A56="","",IFERROR(INDEX(TEAM!$B:$B,MATCH($C56,TEAM!$A:$A,0)),""))</f>
        <v/>
      </c>
      <c r="E56" s="42"/>
      <c r="F56" s="48"/>
      <c r="G56" s="47" t="str">
        <f>IF($A56="","",IFERROR(INDEX(TEAM!$C:$C,MATCH($C56,TEAM!$A:$A,0)),0))</f>
        <v/>
      </c>
      <c r="H56" s="47" t="str">
        <f>IF($A56="","",IFERROR(INDEX(TEAM!$D:$D,MATCH($C56,TEAM!$A:$A,0)),0))</f>
        <v/>
      </c>
      <c r="I56" s="34" t="str">
        <f t="shared" si="8"/>
        <v/>
      </c>
      <c r="J56" s="34" t="str">
        <f t="shared" si="9"/>
        <v/>
      </c>
      <c r="K56" s="34" t="str">
        <f t="shared" si="10"/>
        <v/>
      </c>
      <c r="L56" s="33" t="str">
        <f>IF($A56="","",SUMIFS(ORE!$F:$F,ORE!$B:$B,$B56,ORE!$E:$E,$C56))</f>
        <v/>
      </c>
      <c r="M56" s="33" t="str">
        <f>IF($A56="","",SUMIFS(PREVISIONE_ORE!$G:$G,PREVISIONE_ORE!$D:$D,$B56,PREVISIONE_ORE!$E:$E,$C56,PREVISIONE_ORE!$K:$K,"Sì"))</f>
        <v/>
      </c>
      <c r="N56" s="33" t="str">
        <f>IF($A56="","",IF(COUNTIFS(PREVISIONE_ORE!$D:$D,$B56,PREVISIONE_ORE!$E:$E,$C56,PREVISIONE_ORE!$K:$K,"Sì")&gt;0,$L56+$M56,MAX($L56,$F56)))</f>
        <v/>
      </c>
      <c r="O56" s="33" t="str">
        <f t="shared" si="11"/>
        <v/>
      </c>
      <c r="P56" s="34" t="str">
        <f t="shared" si="12"/>
        <v/>
      </c>
      <c r="Q56" s="34" t="str">
        <f t="shared" si="13"/>
        <v/>
      </c>
      <c r="R56" s="35" t="str">
        <f t="shared" si="14"/>
        <v/>
      </c>
      <c r="S56" s="36" t="str">
        <f t="shared" si="15"/>
        <v/>
      </c>
    </row>
    <row r="57" spans="1:19" x14ac:dyDescent="0.3">
      <c r="A57" s="42"/>
      <c r="B57" s="42"/>
      <c r="C57" s="42"/>
      <c r="D57" s="36" t="str">
        <f>IF($A57="","",IFERROR(INDEX(TEAM!$B:$B,MATCH($C57,TEAM!$A:$A,0)),""))</f>
        <v/>
      </c>
      <c r="E57" s="42"/>
      <c r="F57" s="48"/>
      <c r="G57" s="47" t="str">
        <f>IF($A57="","",IFERROR(INDEX(TEAM!$C:$C,MATCH($C57,TEAM!$A:$A,0)),0))</f>
        <v/>
      </c>
      <c r="H57" s="47" t="str">
        <f>IF($A57="","",IFERROR(INDEX(TEAM!$D:$D,MATCH($C57,TEAM!$A:$A,0)),0))</f>
        <v/>
      </c>
      <c r="I57" s="34" t="str">
        <f t="shared" si="8"/>
        <v/>
      </c>
      <c r="J57" s="34" t="str">
        <f t="shared" si="9"/>
        <v/>
      </c>
      <c r="K57" s="34" t="str">
        <f t="shared" si="10"/>
        <v/>
      </c>
      <c r="L57" s="33" t="str">
        <f>IF($A57="","",SUMIFS(ORE!$F:$F,ORE!$B:$B,$B57,ORE!$E:$E,$C57))</f>
        <v/>
      </c>
      <c r="M57" s="33" t="str">
        <f>IF($A57="","",SUMIFS(PREVISIONE_ORE!$G:$G,PREVISIONE_ORE!$D:$D,$B57,PREVISIONE_ORE!$E:$E,$C57,PREVISIONE_ORE!$K:$K,"Sì"))</f>
        <v/>
      </c>
      <c r="N57" s="33" t="str">
        <f>IF($A57="","",IF(COUNTIFS(PREVISIONE_ORE!$D:$D,$B57,PREVISIONE_ORE!$E:$E,$C57,PREVISIONE_ORE!$K:$K,"Sì")&gt;0,$L57+$M57,MAX($L57,$F57)))</f>
        <v/>
      </c>
      <c r="O57" s="33" t="str">
        <f t="shared" si="11"/>
        <v/>
      </c>
      <c r="P57" s="34" t="str">
        <f t="shared" si="12"/>
        <v/>
      </c>
      <c r="Q57" s="34" t="str">
        <f t="shared" si="13"/>
        <v/>
      </c>
      <c r="R57" s="35" t="str">
        <f t="shared" si="14"/>
        <v/>
      </c>
      <c r="S57" s="36" t="str">
        <f t="shared" si="15"/>
        <v/>
      </c>
    </row>
    <row r="58" spans="1:19" x14ac:dyDescent="0.3">
      <c r="A58" s="42"/>
      <c r="B58" s="42"/>
      <c r="C58" s="42"/>
      <c r="D58" s="36" t="str">
        <f>IF($A58="","",IFERROR(INDEX(TEAM!$B:$B,MATCH($C58,TEAM!$A:$A,0)),""))</f>
        <v/>
      </c>
      <c r="E58" s="42"/>
      <c r="F58" s="48"/>
      <c r="G58" s="47" t="str">
        <f>IF($A58="","",IFERROR(INDEX(TEAM!$C:$C,MATCH($C58,TEAM!$A:$A,0)),0))</f>
        <v/>
      </c>
      <c r="H58" s="47" t="str">
        <f>IF($A58="","",IFERROR(INDEX(TEAM!$D:$D,MATCH($C58,TEAM!$A:$A,0)),0))</f>
        <v/>
      </c>
      <c r="I58" s="34" t="str">
        <f t="shared" si="8"/>
        <v/>
      </c>
      <c r="J58" s="34" t="str">
        <f t="shared" si="9"/>
        <v/>
      </c>
      <c r="K58" s="34" t="str">
        <f t="shared" si="10"/>
        <v/>
      </c>
      <c r="L58" s="33" t="str">
        <f>IF($A58="","",SUMIFS(ORE!$F:$F,ORE!$B:$B,$B58,ORE!$E:$E,$C58))</f>
        <v/>
      </c>
      <c r="M58" s="33" t="str">
        <f>IF($A58="","",SUMIFS(PREVISIONE_ORE!$G:$G,PREVISIONE_ORE!$D:$D,$B58,PREVISIONE_ORE!$E:$E,$C58,PREVISIONE_ORE!$K:$K,"Sì"))</f>
        <v/>
      </c>
      <c r="N58" s="33" t="str">
        <f>IF($A58="","",IF(COUNTIFS(PREVISIONE_ORE!$D:$D,$B58,PREVISIONE_ORE!$E:$E,$C58,PREVISIONE_ORE!$K:$K,"Sì")&gt;0,$L58+$M58,MAX($L58,$F58)))</f>
        <v/>
      </c>
      <c r="O58" s="33" t="str">
        <f t="shared" si="11"/>
        <v/>
      </c>
      <c r="P58" s="34" t="str">
        <f t="shared" si="12"/>
        <v/>
      </c>
      <c r="Q58" s="34" t="str">
        <f t="shared" si="13"/>
        <v/>
      </c>
      <c r="R58" s="35" t="str">
        <f t="shared" si="14"/>
        <v/>
      </c>
      <c r="S58" s="36" t="str">
        <f t="shared" si="15"/>
        <v/>
      </c>
    </row>
    <row r="59" spans="1:19" x14ac:dyDescent="0.3">
      <c r="A59" s="42"/>
      <c r="B59" s="42"/>
      <c r="C59" s="42"/>
      <c r="D59" s="36" t="str">
        <f>IF($A59="","",IFERROR(INDEX(TEAM!$B:$B,MATCH($C59,TEAM!$A:$A,0)),""))</f>
        <v/>
      </c>
      <c r="E59" s="42"/>
      <c r="F59" s="48"/>
      <c r="G59" s="47" t="str">
        <f>IF($A59="","",IFERROR(INDEX(TEAM!$C:$C,MATCH($C59,TEAM!$A:$A,0)),0))</f>
        <v/>
      </c>
      <c r="H59" s="47" t="str">
        <f>IF($A59="","",IFERROR(INDEX(TEAM!$D:$D,MATCH($C59,TEAM!$A:$A,0)),0))</f>
        <v/>
      </c>
      <c r="I59" s="34" t="str">
        <f t="shared" si="8"/>
        <v/>
      </c>
      <c r="J59" s="34" t="str">
        <f t="shared" si="9"/>
        <v/>
      </c>
      <c r="K59" s="34" t="str">
        <f t="shared" si="10"/>
        <v/>
      </c>
      <c r="L59" s="33" t="str">
        <f>IF($A59="","",SUMIFS(ORE!$F:$F,ORE!$B:$B,$B59,ORE!$E:$E,$C59))</f>
        <v/>
      </c>
      <c r="M59" s="33" t="str">
        <f>IF($A59="","",SUMIFS(PREVISIONE_ORE!$G:$G,PREVISIONE_ORE!$D:$D,$B59,PREVISIONE_ORE!$E:$E,$C59,PREVISIONE_ORE!$K:$K,"Sì"))</f>
        <v/>
      </c>
      <c r="N59" s="33" t="str">
        <f>IF($A59="","",IF(COUNTIFS(PREVISIONE_ORE!$D:$D,$B59,PREVISIONE_ORE!$E:$E,$C59,PREVISIONE_ORE!$K:$K,"Sì")&gt;0,$L59+$M59,MAX($L59,$F59)))</f>
        <v/>
      </c>
      <c r="O59" s="33" t="str">
        <f t="shared" si="11"/>
        <v/>
      </c>
      <c r="P59" s="34" t="str">
        <f t="shared" si="12"/>
        <v/>
      </c>
      <c r="Q59" s="34" t="str">
        <f t="shared" si="13"/>
        <v/>
      </c>
      <c r="R59" s="35" t="str">
        <f t="shared" si="14"/>
        <v/>
      </c>
      <c r="S59" s="36" t="str">
        <f t="shared" si="15"/>
        <v/>
      </c>
    </row>
    <row r="60" spans="1:19" x14ac:dyDescent="0.3">
      <c r="A60" s="42"/>
      <c r="B60" s="42"/>
      <c r="C60" s="42"/>
      <c r="D60" s="36" t="str">
        <f>IF($A60="","",IFERROR(INDEX(TEAM!$B:$B,MATCH($C60,TEAM!$A:$A,0)),""))</f>
        <v/>
      </c>
      <c r="E60" s="42"/>
      <c r="F60" s="48"/>
      <c r="G60" s="47" t="str">
        <f>IF($A60="","",IFERROR(INDEX(TEAM!$C:$C,MATCH($C60,TEAM!$A:$A,0)),0))</f>
        <v/>
      </c>
      <c r="H60" s="47" t="str">
        <f>IF($A60="","",IFERROR(INDEX(TEAM!$D:$D,MATCH($C60,TEAM!$A:$A,0)),0))</f>
        <v/>
      </c>
      <c r="I60" s="34" t="str">
        <f t="shared" si="8"/>
        <v/>
      </c>
      <c r="J60" s="34" t="str">
        <f t="shared" si="9"/>
        <v/>
      </c>
      <c r="K60" s="34" t="str">
        <f t="shared" si="10"/>
        <v/>
      </c>
      <c r="L60" s="33" t="str">
        <f>IF($A60="","",SUMIFS(ORE!$F:$F,ORE!$B:$B,$B60,ORE!$E:$E,$C60))</f>
        <v/>
      </c>
      <c r="M60" s="33" t="str">
        <f>IF($A60="","",SUMIFS(PREVISIONE_ORE!$G:$G,PREVISIONE_ORE!$D:$D,$B60,PREVISIONE_ORE!$E:$E,$C60,PREVISIONE_ORE!$K:$K,"Sì"))</f>
        <v/>
      </c>
      <c r="N60" s="33" t="str">
        <f>IF($A60="","",IF(COUNTIFS(PREVISIONE_ORE!$D:$D,$B60,PREVISIONE_ORE!$E:$E,$C60,PREVISIONE_ORE!$K:$K,"Sì")&gt;0,$L60+$M60,MAX($L60,$F60)))</f>
        <v/>
      </c>
      <c r="O60" s="33" t="str">
        <f t="shared" si="11"/>
        <v/>
      </c>
      <c r="P60" s="34" t="str">
        <f t="shared" si="12"/>
        <v/>
      </c>
      <c r="Q60" s="34" t="str">
        <f t="shared" si="13"/>
        <v/>
      </c>
      <c r="R60" s="35" t="str">
        <f t="shared" si="14"/>
        <v/>
      </c>
      <c r="S60" s="36" t="str">
        <f t="shared" si="15"/>
        <v/>
      </c>
    </row>
    <row r="61" spans="1:19" x14ac:dyDescent="0.3">
      <c r="A61" s="42"/>
      <c r="B61" s="42"/>
      <c r="C61" s="42"/>
      <c r="D61" s="36" t="str">
        <f>IF($A61="","",IFERROR(INDEX(TEAM!$B:$B,MATCH($C61,TEAM!$A:$A,0)),""))</f>
        <v/>
      </c>
      <c r="E61" s="42"/>
      <c r="F61" s="48"/>
      <c r="G61" s="47" t="str">
        <f>IF($A61="","",IFERROR(INDEX(TEAM!$C:$C,MATCH($C61,TEAM!$A:$A,0)),0))</f>
        <v/>
      </c>
      <c r="H61" s="47" t="str">
        <f>IF($A61="","",IFERROR(INDEX(TEAM!$D:$D,MATCH($C61,TEAM!$A:$A,0)),0))</f>
        <v/>
      </c>
      <c r="I61" s="34" t="str">
        <f t="shared" si="8"/>
        <v/>
      </c>
      <c r="J61" s="34" t="str">
        <f t="shared" si="9"/>
        <v/>
      </c>
      <c r="K61" s="34" t="str">
        <f t="shared" si="10"/>
        <v/>
      </c>
      <c r="L61" s="33" t="str">
        <f>IF($A61="","",SUMIFS(ORE!$F:$F,ORE!$B:$B,$B61,ORE!$E:$E,$C61))</f>
        <v/>
      </c>
      <c r="M61" s="33" t="str">
        <f>IF($A61="","",SUMIFS(PREVISIONE_ORE!$G:$G,PREVISIONE_ORE!$D:$D,$B61,PREVISIONE_ORE!$E:$E,$C61,PREVISIONE_ORE!$K:$K,"Sì"))</f>
        <v/>
      </c>
      <c r="N61" s="33" t="str">
        <f>IF($A61="","",IF(COUNTIFS(PREVISIONE_ORE!$D:$D,$B61,PREVISIONE_ORE!$E:$E,$C61,PREVISIONE_ORE!$K:$K,"Sì")&gt;0,$L61+$M61,MAX($L61,$F61)))</f>
        <v/>
      </c>
      <c r="O61" s="33" t="str">
        <f t="shared" si="11"/>
        <v/>
      </c>
      <c r="P61" s="34" t="str">
        <f t="shared" si="12"/>
        <v/>
      </c>
      <c r="Q61" s="34" t="str">
        <f t="shared" si="13"/>
        <v/>
      </c>
      <c r="R61" s="35" t="str">
        <f t="shared" si="14"/>
        <v/>
      </c>
      <c r="S61" s="36" t="str">
        <f t="shared" si="15"/>
        <v/>
      </c>
    </row>
    <row r="62" spans="1:19" x14ac:dyDescent="0.3">
      <c r="A62" s="42"/>
      <c r="B62" s="42"/>
      <c r="C62" s="42"/>
      <c r="D62" s="36" t="str">
        <f>IF($A62="","",IFERROR(INDEX(TEAM!$B:$B,MATCH($C62,TEAM!$A:$A,0)),""))</f>
        <v/>
      </c>
      <c r="E62" s="42"/>
      <c r="F62" s="48"/>
      <c r="G62" s="47" t="str">
        <f>IF($A62="","",IFERROR(INDEX(TEAM!$C:$C,MATCH($C62,TEAM!$A:$A,0)),0))</f>
        <v/>
      </c>
      <c r="H62" s="47" t="str">
        <f>IF($A62="","",IFERROR(INDEX(TEAM!$D:$D,MATCH($C62,TEAM!$A:$A,0)),0))</f>
        <v/>
      </c>
      <c r="I62" s="34" t="str">
        <f t="shared" si="8"/>
        <v/>
      </c>
      <c r="J62" s="34" t="str">
        <f t="shared" si="9"/>
        <v/>
      </c>
      <c r="K62" s="34" t="str">
        <f t="shared" si="10"/>
        <v/>
      </c>
      <c r="L62" s="33" t="str">
        <f>IF($A62="","",SUMIFS(ORE!$F:$F,ORE!$B:$B,$B62,ORE!$E:$E,$C62))</f>
        <v/>
      </c>
      <c r="M62" s="33" t="str">
        <f>IF($A62="","",SUMIFS(PREVISIONE_ORE!$G:$G,PREVISIONE_ORE!$D:$D,$B62,PREVISIONE_ORE!$E:$E,$C62,PREVISIONE_ORE!$K:$K,"Sì"))</f>
        <v/>
      </c>
      <c r="N62" s="33" t="str">
        <f>IF($A62="","",IF(COUNTIFS(PREVISIONE_ORE!$D:$D,$B62,PREVISIONE_ORE!$E:$E,$C62,PREVISIONE_ORE!$K:$K,"Sì")&gt;0,$L62+$M62,MAX($L62,$F62)))</f>
        <v/>
      </c>
      <c r="O62" s="33" t="str">
        <f t="shared" si="11"/>
        <v/>
      </c>
      <c r="P62" s="34" t="str">
        <f t="shared" si="12"/>
        <v/>
      </c>
      <c r="Q62" s="34" t="str">
        <f t="shared" si="13"/>
        <v/>
      </c>
      <c r="R62" s="35" t="str">
        <f t="shared" si="14"/>
        <v/>
      </c>
      <c r="S62" s="36" t="str">
        <f t="shared" si="15"/>
        <v/>
      </c>
    </row>
    <row r="63" spans="1:19" x14ac:dyDescent="0.3">
      <c r="A63" s="42"/>
      <c r="B63" s="42"/>
      <c r="C63" s="42"/>
      <c r="D63" s="36" t="str">
        <f>IF($A63="","",IFERROR(INDEX(TEAM!$B:$B,MATCH($C63,TEAM!$A:$A,0)),""))</f>
        <v/>
      </c>
      <c r="E63" s="42"/>
      <c r="F63" s="48"/>
      <c r="G63" s="47" t="str">
        <f>IF($A63="","",IFERROR(INDEX(TEAM!$C:$C,MATCH($C63,TEAM!$A:$A,0)),0))</f>
        <v/>
      </c>
      <c r="H63" s="47" t="str">
        <f>IF($A63="","",IFERROR(INDEX(TEAM!$D:$D,MATCH($C63,TEAM!$A:$A,0)),0))</f>
        <v/>
      </c>
      <c r="I63" s="34" t="str">
        <f t="shared" si="8"/>
        <v/>
      </c>
      <c r="J63" s="34" t="str">
        <f t="shared" si="9"/>
        <v/>
      </c>
      <c r="K63" s="34" t="str">
        <f t="shared" si="10"/>
        <v/>
      </c>
      <c r="L63" s="33" t="str">
        <f>IF($A63="","",SUMIFS(ORE!$F:$F,ORE!$B:$B,$B63,ORE!$E:$E,$C63))</f>
        <v/>
      </c>
      <c r="M63" s="33" t="str">
        <f>IF($A63="","",SUMIFS(PREVISIONE_ORE!$G:$G,PREVISIONE_ORE!$D:$D,$B63,PREVISIONE_ORE!$E:$E,$C63,PREVISIONE_ORE!$K:$K,"Sì"))</f>
        <v/>
      </c>
      <c r="N63" s="33" t="str">
        <f>IF($A63="","",IF(COUNTIFS(PREVISIONE_ORE!$D:$D,$B63,PREVISIONE_ORE!$E:$E,$C63,PREVISIONE_ORE!$K:$K,"Sì")&gt;0,$L63+$M63,MAX($L63,$F63)))</f>
        <v/>
      </c>
      <c r="O63" s="33" t="str">
        <f t="shared" si="11"/>
        <v/>
      </c>
      <c r="P63" s="34" t="str">
        <f t="shared" si="12"/>
        <v/>
      </c>
      <c r="Q63" s="34" t="str">
        <f t="shared" si="13"/>
        <v/>
      </c>
      <c r="R63" s="35" t="str">
        <f t="shared" si="14"/>
        <v/>
      </c>
      <c r="S63" s="36" t="str">
        <f t="shared" si="15"/>
        <v/>
      </c>
    </row>
    <row r="64" spans="1:19" x14ac:dyDescent="0.3">
      <c r="A64" s="42"/>
      <c r="B64" s="42"/>
      <c r="C64" s="42"/>
      <c r="D64" s="36" t="str">
        <f>IF($A64="","",IFERROR(INDEX(TEAM!$B:$B,MATCH($C64,TEAM!$A:$A,0)),""))</f>
        <v/>
      </c>
      <c r="E64" s="42"/>
      <c r="F64" s="48"/>
      <c r="G64" s="47" t="str">
        <f>IF($A64="","",IFERROR(INDEX(TEAM!$C:$C,MATCH($C64,TEAM!$A:$A,0)),0))</f>
        <v/>
      </c>
      <c r="H64" s="47" t="str">
        <f>IF($A64="","",IFERROR(INDEX(TEAM!$D:$D,MATCH($C64,TEAM!$A:$A,0)),0))</f>
        <v/>
      </c>
      <c r="I64" s="34" t="str">
        <f t="shared" si="8"/>
        <v/>
      </c>
      <c r="J64" s="34" t="str">
        <f t="shared" si="9"/>
        <v/>
      </c>
      <c r="K64" s="34" t="str">
        <f t="shared" si="10"/>
        <v/>
      </c>
      <c r="L64" s="33" t="str">
        <f>IF($A64="","",SUMIFS(ORE!$F:$F,ORE!$B:$B,$B64,ORE!$E:$E,$C64))</f>
        <v/>
      </c>
      <c r="M64" s="33" t="str">
        <f>IF($A64="","",SUMIFS(PREVISIONE_ORE!$G:$G,PREVISIONE_ORE!$D:$D,$B64,PREVISIONE_ORE!$E:$E,$C64,PREVISIONE_ORE!$K:$K,"Sì"))</f>
        <v/>
      </c>
      <c r="N64" s="33" t="str">
        <f>IF($A64="","",IF(COUNTIFS(PREVISIONE_ORE!$D:$D,$B64,PREVISIONE_ORE!$E:$E,$C64,PREVISIONE_ORE!$K:$K,"Sì")&gt;0,$L64+$M64,MAX($L64,$F64)))</f>
        <v/>
      </c>
      <c r="O64" s="33" t="str">
        <f t="shared" si="11"/>
        <v/>
      </c>
      <c r="P64" s="34" t="str">
        <f t="shared" si="12"/>
        <v/>
      </c>
      <c r="Q64" s="34" t="str">
        <f t="shared" si="13"/>
        <v/>
      </c>
      <c r="R64" s="35" t="str">
        <f t="shared" si="14"/>
        <v/>
      </c>
      <c r="S64" s="36" t="str">
        <f t="shared" si="15"/>
        <v/>
      </c>
    </row>
    <row r="65" spans="1:19" x14ac:dyDescent="0.3">
      <c r="A65" s="42"/>
      <c r="B65" s="42"/>
      <c r="C65" s="42"/>
      <c r="D65" s="36" t="str">
        <f>IF($A65="","",IFERROR(INDEX(TEAM!$B:$B,MATCH($C65,TEAM!$A:$A,0)),""))</f>
        <v/>
      </c>
      <c r="E65" s="42"/>
      <c r="F65" s="48"/>
      <c r="G65" s="47" t="str">
        <f>IF($A65="","",IFERROR(INDEX(TEAM!$C:$C,MATCH($C65,TEAM!$A:$A,0)),0))</f>
        <v/>
      </c>
      <c r="H65" s="47" t="str">
        <f>IF($A65="","",IFERROR(INDEX(TEAM!$D:$D,MATCH($C65,TEAM!$A:$A,0)),0))</f>
        <v/>
      </c>
      <c r="I65" s="34" t="str">
        <f t="shared" si="8"/>
        <v/>
      </c>
      <c r="J65" s="34" t="str">
        <f t="shared" si="9"/>
        <v/>
      </c>
      <c r="K65" s="34" t="str">
        <f t="shared" si="10"/>
        <v/>
      </c>
      <c r="L65" s="33" t="str">
        <f>IF($A65="","",SUMIFS(ORE!$F:$F,ORE!$B:$B,$B65,ORE!$E:$E,$C65))</f>
        <v/>
      </c>
      <c r="M65" s="33" t="str">
        <f>IF($A65="","",SUMIFS(PREVISIONE_ORE!$G:$G,PREVISIONE_ORE!$D:$D,$B65,PREVISIONE_ORE!$E:$E,$C65,PREVISIONE_ORE!$K:$K,"Sì"))</f>
        <v/>
      </c>
      <c r="N65" s="33" t="str">
        <f>IF($A65="","",IF(COUNTIFS(PREVISIONE_ORE!$D:$D,$B65,PREVISIONE_ORE!$E:$E,$C65,PREVISIONE_ORE!$K:$K,"Sì")&gt;0,$L65+$M65,MAX($L65,$F65)))</f>
        <v/>
      </c>
      <c r="O65" s="33" t="str">
        <f t="shared" si="11"/>
        <v/>
      </c>
      <c r="P65" s="34" t="str">
        <f t="shared" si="12"/>
        <v/>
      </c>
      <c r="Q65" s="34" t="str">
        <f t="shared" si="13"/>
        <v/>
      </c>
      <c r="R65" s="35" t="str">
        <f t="shared" si="14"/>
        <v/>
      </c>
      <c r="S65" s="36" t="str">
        <f t="shared" si="15"/>
        <v/>
      </c>
    </row>
    <row r="66" spans="1:19" x14ac:dyDescent="0.3">
      <c r="A66" s="42"/>
      <c r="B66" s="42"/>
      <c r="C66" s="42"/>
      <c r="D66" s="36" t="str">
        <f>IF($A66="","",IFERROR(INDEX(TEAM!$B:$B,MATCH($C66,TEAM!$A:$A,0)),""))</f>
        <v/>
      </c>
      <c r="E66" s="42"/>
      <c r="F66" s="48"/>
      <c r="G66" s="47" t="str">
        <f>IF($A66="","",IFERROR(INDEX(TEAM!$C:$C,MATCH($C66,TEAM!$A:$A,0)),0))</f>
        <v/>
      </c>
      <c r="H66" s="47" t="str">
        <f>IF($A66="","",IFERROR(INDEX(TEAM!$D:$D,MATCH($C66,TEAM!$A:$A,0)),0))</f>
        <v/>
      </c>
      <c r="I66" s="34" t="str">
        <f t="shared" ref="I66:I97" si="16">IF($A66="","",$F66*$H66)</f>
        <v/>
      </c>
      <c r="J66" s="34" t="str">
        <f t="shared" ref="J66:J97" si="17">IF($A66="","",$F66*$G66)</f>
        <v/>
      </c>
      <c r="K66" s="34" t="str">
        <f t="shared" ref="K66:K97" si="18">IF($A66="","",$I66-$J66)</f>
        <v/>
      </c>
      <c r="L66" s="33" t="str">
        <f>IF($A66="","",SUMIFS(ORE!$F:$F,ORE!$B:$B,$B66,ORE!$E:$E,$C66))</f>
        <v/>
      </c>
      <c r="M66" s="33" t="str">
        <f>IF($A66="","",SUMIFS(PREVISIONE_ORE!$G:$G,PREVISIONE_ORE!$D:$D,$B66,PREVISIONE_ORE!$E:$E,$C66,PREVISIONE_ORE!$K:$K,"Sì"))</f>
        <v/>
      </c>
      <c r="N66" s="33" t="str">
        <f>IF($A66="","",IF(COUNTIFS(PREVISIONE_ORE!$D:$D,$B66,PREVISIONE_ORE!$E:$E,$C66,PREVISIONE_ORE!$K:$K,"Sì")&gt;0,$L66+$M66,MAX($L66,$F66)))</f>
        <v/>
      </c>
      <c r="O66" s="33" t="str">
        <f t="shared" ref="O66:O97" si="19">IF($A66="","",$N66-$F66)</f>
        <v/>
      </c>
      <c r="P66" s="34" t="str">
        <f t="shared" ref="P66:P97" si="20">IF($A66="","",$N66*$G66)</f>
        <v/>
      </c>
      <c r="Q66" s="34" t="str">
        <f t="shared" ref="Q66:Q97" si="21">IF($A66="","",$N66*$H66)</f>
        <v/>
      </c>
      <c r="R66" s="35" t="str">
        <f t="shared" ref="R66:R97" si="22">IF($A66="","",IFERROR($L66/$F66,0))</f>
        <v/>
      </c>
      <c r="S66" s="36" t="str">
        <f t="shared" ref="S66:S97" si="23">IF($A66="","",IF($O66&gt;$F66*0.15,"SFORAMENTO OLTRE 15%",IF($O66&gt;0,"SOPRA LA STIMA",IF($R66&gt;ALLERTA_ORE,"CONSUMO ELEVATO","OK"))))</f>
        <v/>
      </c>
    </row>
    <row r="67" spans="1:19" x14ac:dyDescent="0.3">
      <c r="A67" s="42"/>
      <c r="B67" s="42"/>
      <c r="C67" s="42"/>
      <c r="D67" s="36" t="str">
        <f>IF($A67="","",IFERROR(INDEX(TEAM!$B:$B,MATCH($C67,TEAM!$A:$A,0)),""))</f>
        <v/>
      </c>
      <c r="E67" s="42"/>
      <c r="F67" s="48"/>
      <c r="G67" s="47" t="str">
        <f>IF($A67="","",IFERROR(INDEX(TEAM!$C:$C,MATCH($C67,TEAM!$A:$A,0)),0))</f>
        <v/>
      </c>
      <c r="H67" s="47" t="str">
        <f>IF($A67="","",IFERROR(INDEX(TEAM!$D:$D,MATCH($C67,TEAM!$A:$A,0)),0))</f>
        <v/>
      </c>
      <c r="I67" s="34" t="str">
        <f t="shared" si="16"/>
        <v/>
      </c>
      <c r="J67" s="34" t="str">
        <f t="shared" si="17"/>
        <v/>
      </c>
      <c r="K67" s="34" t="str">
        <f t="shared" si="18"/>
        <v/>
      </c>
      <c r="L67" s="33" t="str">
        <f>IF($A67="","",SUMIFS(ORE!$F:$F,ORE!$B:$B,$B67,ORE!$E:$E,$C67))</f>
        <v/>
      </c>
      <c r="M67" s="33" t="str">
        <f>IF($A67="","",SUMIFS(PREVISIONE_ORE!$G:$G,PREVISIONE_ORE!$D:$D,$B67,PREVISIONE_ORE!$E:$E,$C67,PREVISIONE_ORE!$K:$K,"Sì"))</f>
        <v/>
      </c>
      <c r="N67" s="33" t="str">
        <f>IF($A67="","",IF(COUNTIFS(PREVISIONE_ORE!$D:$D,$B67,PREVISIONE_ORE!$E:$E,$C67,PREVISIONE_ORE!$K:$K,"Sì")&gt;0,$L67+$M67,MAX($L67,$F67)))</f>
        <v/>
      </c>
      <c r="O67" s="33" t="str">
        <f t="shared" si="19"/>
        <v/>
      </c>
      <c r="P67" s="34" t="str">
        <f t="shared" si="20"/>
        <v/>
      </c>
      <c r="Q67" s="34" t="str">
        <f t="shared" si="21"/>
        <v/>
      </c>
      <c r="R67" s="35" t="str">
        <f t="shared" si="22"/>
        <v/>
      </c>
      <c r="S67" s="36" t="str">
        <f t="shared" si="23"/>
        <v/>
      </c>
    </row>
    <row r="68" spans="1:19" x14ac:dyDescent="0.3">
      <c r="A68" s="42"/>
      <c r="B68" s="42"/>
      <c r="C68" s="42"/>
      <c r="D68" s="36" t="str">
        <f>IF($A68="","",IFERROR(INDEX(TEAM!$B:$B,MATCH($C68,TEAM!$A:$A,0)),""))</f>
        <v/>
      </c>
      <c r="E68" s="42"/>
      <c r="F68" s="48"/>
      <c r="G68" s="47" t="str">
        <f>IF($A68="","",IFERROR(INDEX(TEAM!$C:$C,MATCH($C68,TEAM!$A:$A,0)),0))</f>
        <v/>
      </c>
      <c r="H68" s="47" t="str">
        <f>IF($A68="","",IFERROR(INDEX(TEAM!$D:$D,MATCH($C68,TEAM!$A:$A,0)),0))</f>
        <v/>
      </c>
      <c r="I68" s="34" t="str">
        <f t="shared" si="16"/>
        <v/>
      </c>
      <c r="J68" s="34" t="str">
        <f t="shared" si="17"/>
        <v/>
      </c>
      <c r="K68" s="34" t="str">
        <f t="shared" si="18"/>
        <v/>
      </c>
      <c r="L68" s="33" t="str">
        <f>IF($A68="","",SUMIFS(ORE!$F:$F,ORE!$B:$B,$B68,ORE!$E:$E,$C68))</f>
        <v/>
      </c>
      <c r="M68" s="33" t="str">
        <f>IF($A68="","",SUMIFS(PREVISIONE_ORE!$G:$G,PREVISIONE_ORE!$D:$D,$B68,PREVISIONE_ORE!$E:$E,$C68,PREVISIONE_ORE!$K:$K,"Sì"))</f>
        <v/>
      </c>
      <c r="N68" s="33" t="str">
        <f>IF($A68="","",IF(COUNTIFS(PREVISIONE_ORE!$D:$D,$B68,PREVISIONE_ORE!$E:$E,$C68,PREVISIONE_ORE!$K:$K,"Sì")&gt;0,$L68+$M68,MAX($L68,$F68)))</f>
        <v/>
      </c>
      <c r="O68" s="33" t="str">
        <f t="shared" si="19"/>
        <v/>
      </c>
      <c r="P68" s="34" t="str">
        <f t="shared" si="20"/>
        <v/>
      </c>
      <c r="Q68" s="34" t="str">
        <f t="shared" si="21"/>
        <v/>
      </c>
      <c r="R68" s="35" t="str">
        <f t="shared" si="22"/>
        <v/>
      </c>
      <c r="S68" s="36" t="str">
        <f t="shared" si="23"/>
        <v/>
      </c>
    </row>
    <row r="69" spans="1:19" x14ac:dyDescent="0.3">
      <c r="A69" s="42"/>
      <c r="B69" s="42"/>
      <c r="C69" s="42"/>
      <c r="D69" s="36" t="str">
        <f>IF($A69="","",IFERROR(INDEX(TEAM!$B:$B,MATCH($C69,TEAM!$A:$A,0)),""))</f>
        <v/>
      </c>
      <c r="E69" s="42"/>
      <c r="F69" s="48"/>
      <c r="G69" s="47" t="str">
        <f>IF($A69="","",IFERROR(INDEX(TEAM!$C:$C,MATCH($C69,TEAM!$A:$A,0)),0))</f>
        <v/>
      </c>
      <c r="H69" s="47" t="str">
        <f>IF($A69="","",IFERROR(INDEX(TEAM!$D:$D,MATCH($C69,TEAM!$A:$A,0)),0))</f>
        <v/>
      </c>
      <c r="I69" s="34" t="str">
        <f t="shared" si="16"/>
        <v/>
      </c>
      <c r="J69" s="34" t="str">
        <f t="shared" si="17"/>
        <v/>
      </c>
      <c r="K69" s="34" t="str">
        <f t="shared" si="18"/>
        <v/>
      </c>
      <c r="L69" s="33" t="str">
        <f>IF($A69="","",SUMIFS(ORE!$F:$F,ORE!$B:$B,$B69,ORE!$E:$E,$C69))</f>
        <v/>
      </c>
      <c r="M69" s="33" t="str">
        <f>IF($A69="","",SUMIFS(PREVISIONE_ORE!$G:$G,PREVISIONE_ORE!$D:$D,$B69,PREVISIONE_ORE!$E:$E,$C69,PREVISIONE_ORE!$K:$K,"Sì"))</f>
        <v/>
      </c>
      <c r="N69" s="33" t="str">
        <f>IF($A69="","",IF(COUNTIFS(PREVISIONE_ORE!$D:$D,$B69,PREVISIONE_ORE!$E:$E,$C69,PREVISIONE_ORE!$K:$K,"Sì")&gt;0,$L69+$M69,MAX($L69,$F69)))</f>
        <v/>
      </c>
      <c r="O69" s="33" t="str">
        <f t="shared" si="19"/>
        <v/>
      </c>
      <c r="P69" s="34" t="str">
        <f t="shared" si="20"/>
        <v/>
      </c>
      <c r="Q69" s="34" t="str">
        <f t="shared" si="21"/>
        <v/>
      </c>
      <c r="R69" s="35" t="str">
        <f t="shared" si="22"/>
        <v/>
      </c>
      <c r="S69" s="36" t="str">
        <f t="shared" si="23"/>
        <v/>
      </c>
    </row>
    <row r="70" spans="1:19" x14ac:dyDescent="0.3">
      <c r="A70" s="42"/>
      <c r="B70" s="42"/>
      <c r="C70" s="42"/>
      <c r="D70" s="36" t="str">
        <f>IF($A70="","",IFERROR(INDEX(TEAM!$B:$B,MATCH($C70,TEAM!$A:$A,0)),""))</f>
        <v/>
      </c>
      <c r="E70" s="42"/>
      <c r="F70" s="48"/>
      <c r="G70" s="47" t="str">
        <f>IF($A70="","",IFERROR(INDEX(TEAM!$C:$C,MATCH($C70,TEAM!$A:$A,0)),0))</f>
        <v/>
      </c>
      <c r="H70" s="47" t="str">
        <f>IF($A70="","",IFERROR(INDEX(TEAM!$D:$D,MATCH($C70,TEAM!$A:$A,0)),0))</f>
        <v/>
      </c>
      <c r="I70" s="34" t="str">
        <f t="shared" si="16"/>
        <v/>
      </c>
      <c r="J70" s="34" t="str">
        <f t="shared" si="17"/>
        <v/>
      </c>
      <c r="K70" s="34" t="str">
        <f t="shared" si="18"/>
        <v/>
      </c>
      <c r="L70" s="33" t="str">
        <f>IF($A70="","",SUMIFS(ORE!$F:$F,ORE!$B:$B,$B70,ORE!$E:$E,$C70))</f>
        <v/>
      </c>
      <c r="M70" s="33" t="str">
        <f>IF($A70="","",SUMIFS(PREVISIONE_ORE!$G:$G,PREVISIONE_ORE!$D:$D,$B70,PREVISIONE_ORE!$E:$E,$C70,PREVISIONE_ORE!$K:$K,"Sì"))</f>
        <v/>
      </c>
      <c r="N70" s="33" t="str">
        <f>IF($A70="","",IF(COUNTIFS(PREVISIONE_ORE!$D:$D,$B70,PREVISIONE_ORE!$E:$E,$C70,PREVISIONE_ORE!$K:$K,"Sì")&gt;0,$L70+$M70,MAX($L70,$F70)))</f>
        <v/>
      </c>
      <c r="O70" s="33" t="str">
        <f t="shared" si="19"/>
        <v/>
      </c>
      <c r="P70" s="34" t="str">
        <f t="shared" si="20"/>
        <v/>
      </c>
      <c r="Q70" s="34" t="str">
        <f t="shared" si="21"/>
        <v/>
      </c>
      <c r="R70" s="35" t="str">
        <f t="shared" si="22"/>
        <v/>
      </c>
      <c r="S70" s="36" t="str">
        <f t="shared" si="23"/>
        <v/>
      </c>
    </row>
    <row r="71" spans="1:19" x14ac:dyDescent="0.3">
      <c r="A71" s="42"/>
      <c r="B71" s="42"/>
      <c r="C71" s="42"/>
      <c r="D71" s="36" t="str">
        <f>IF($A71="","",IFERROR(INDEX(TEAM!$B:$B,MATCH($C71,TEAM!$A:$A,0)),""))</f>
        <v/>
      </c>
      <c r="E71" s="42"/>
      <c r="F71" s="48"/>
      <c r="G71" s="47" t="str">
        <f>IF($A71="","",IFERROR(INDEX(TEAM!$C:$C,MATCH($C71,TEAM!$A:$A,0)),0))</f>
        <v/>
      </c>
      <c r="H71" s="47" t="str">
        <f>IF($A71="","",IFERROR(INDEX(TEAM!$D:$D,MATCH($C71,TEAM!$A:$A,0)),0))</f>
        <v/>
      </c>
      <c r="I71" s="34" t="str">
        <f t="shared" si="16"/>
        <v/>
      </c>
      <c r="J71" s="34" t="str">
        <f t="shared" si="17"/>
        <v/>
      </c>
      <c r="K71" s="34" t="str">
        <f t="shared" si="18"/>
        <v/>
      </c>
      <c r="L71" s="33" t="str">
        <f>IF($A71="","",SUMIFS(ORE!$F:$F,ORE!$B:$B,$B71,ORE!$E:$E,$C71))</f>
        <v/>
      </c>
      <c r="M71" s="33" t="str">
        <f>IF($A71="","",SUMIFS(PREVISIONE_ORE!$G:$G,PREVISIONE_ORE!$D:$D,$B71,PREVISIONE_ORE!$E:$E,$C71,PREVISIONE_ORE!$K:$K,"Sì"))</f>
        <v/>
      </c>
      <c r="N71" s="33" t="str">
        <f>IF($A71="","",IF(COUNTIFS(PREVISIONE_ORE!$D:$D,$B71,PREVISIONE_ORE!$E:$E,$C71,PREVISIONE_ORE!$K:$K,"Sì")&gt;0,$L71+$M71,MAX($L71,$F71)))</f>
        <v/>
      </c>
      <c r="O71" s="33" t="str">
        <f t="shared" si="19"/>
        <v/>
      </c>
      <c r="P71" s="34" t="str">
        <f t="shared" si="20"/>
        <v/>
      </c>
      <c r="Q71" s="34" t="str">
        <f t="shared" si="21"/>
        <v/>
      </c>
      <c r="R71" s="35" t="str">
        <f t="shared" si="22"/>
        <v/>
      </c>
      <c r="S71" s="36" t="str">
        <f t="shared" si="23"/>
        <v/>
      </c>
    </row>
    <row r="72" spans="1:19" x14ac:dyDescent="0.3">
      <c r="A72" s="42"/>
      <c r="B72" s="42"/>
      <c r="C72" s="42"/>
      <c r="D72" s="36" t="str">
        <f>IF($A72="","",IFERROR(INDEX(TEAM!$B:$B,MATCH($C72,TEAM!$A:$A,0)),""))</f>
        <v/>
      </c>
      <c r="E72" s="42"/>
      <c r="F72" s="48"/>
      <c r="G72" s="47" t="str">
        <f>IF($A72="","",IFERROR(INDEX(TEAM!$C:$C,MATCH($C72,TEAM!$A:$A,0)),0))</f>
        <v/>
      </c>
      <c r="H72" s="47" t="str">
        <f>IF($A72="","",IFERROR(INDEX(TEAM!$D:$D,MATCH($C72,TEAM!$A:$A,0)),0))</f>
        <v/>
      </c>
      <c r="I72" s="34" t="str">
        <f t="shared" si="16"/>
        <v/>
      </c>
      <c r="J72" s="34" t="str">
        <f t="shared" si="17"/>
        <v/>
      </c>
      <c r="K72" s="34" t="str">
        <f t="shared" si="18"/>
        <v/>
      </c>
      <c r="L72" s="33" t="str">
        <f>IF($A72="","",SUMIFS(ORE!$F:$F,ORE!$B:$B,$B72,ORE!$E:$E,$C72))</f>
        <v/>
      </c>
      <c r="M72" s="33" t="str">
        <f>IF($A72="","",SUMIFS(PREVISIONE_ORE!$G:$G,PREVISIONE_ORE!$D:$D,$B72,PREVISIONE_ORE!$E:$E,$C72,PREVISIONE_ORE!$K:$K,"Sì"))</f>
        <v/>
      </c>
      <c r="N72" s="33" t="str">
        <f>IF($A72="","",IF(COUNTIFS(PREVISIONE_ORE!$D:$D,$B72,PREVISIONE_ORE!$E:$E,$C72,PREVISIONE_ORE!$K:$K,"Sì")&gt;0,$L72+$M72,MAX($L72,$F72)))</f>
        <v/>
      </c>
      <c r="O72" s="33" t="str">
        <f t="shared" si="19"/>
        <v/>
      </c>
      <c r="P72" s="34" t="str">
        <f t="shared" si="20"/>
        <v/>
      </c>
      <c r="Q72" s="34" t="str">
        <f t="shared" si="21"/>
        <v/>
      </c>
      <c r="R72" s="35" t="str">
        <f t="shared" si="22"/>
        <v/>
      </c>
      <c r="S72" s="36" t="str">
        <f t="shared" si="23"/>
        <v/>
      </c>
    </row>
    <row r="73" spans="1:19" x14ac:dyDescent="0.3">
      <c r="A73" s="42"/>
      <c r="B73" s="42"/>
      <c r="C73" s="42"/>
      <c r="D73" s="36" t="str">
        <f>IF($A73="","",IFERROR(INDEX(TEAM!$B:$B,MATCH($C73,TEAM!$A:$A,0)),""))</f>
        <v/>
      </c>
      <c r="E73" s="42"/>
      <c r="F73" s="48"/>
      <c r="G73" s="47" t="str">
        <f>IF($A73="","",IFERROR(INDEX(TEAM!$C:$C,MATCH($C73,TEAM!$A:$A,0)),0))</f>
        <v/>
      </c>
      <c r="H73" s="47" t="str">
        <f>IF($A73="","",IFERROR(INDEX(TEAM!$D:$D,MATCH($C73,TEAM!$A:$A,0)),0))</f>
        <v/>
      </c>
      <c r="I73" s="34" t="str">
        <f t="shared" si="16"/>
        <v/>
      </c>
      <c r="J73" s="34" t="str">
        <f t="shared" si="17"/>
        <v/>
      </c>
      <c r="K73" s="34" t="str">
        <f t="shared" si="18"/>
        <v/>
      </c>
      <c r="L73" s="33" t="str">
        <f>IF($A73="","",SUMIFS(ORE!$F:$F,ORE!$B:$B,$B73,ORE!$E:$E,$C73))</f>
        <v/>
      </c>
      <c r="M73" s="33" t="str">
        <f>IF($A73="","",SUMIFS(PREVISIONE_ORE!$G:$G,PREVISIONE_ORE!$D:$D,$B73,PREVISIONE_ORE!$E:$E,$C73,PREVISIONE_ORE!$K:$K,"Sì"))</f>
        <v/>
      </c>
      <c r="N73" s="33" t="str">
        <f>IF($A73="","",IF(COUNTIFS(PREVISIONE_ORE!$D:$D,$B73,PREVISIONE_ORE!$E:$E,$C73,PREVISIONE_ORE!$K:$K,"Sì")&gt;0,$L73+$M73,MAX($L73,$F73)))</f>
        <v/>
      </c>
      <c r="O73" s="33" t="str">
        <f t="shared" si="19"/>
        <v/>
      </c>
      <c r="P73" s="34" t="str">
        <f t="shared" si="20"/>
        <v/>
      </c>
      <c r="Q73" s="34" t="str">
        <f t="shared" si="21"/>
        <v/>
      </c>
      <c r="R73" s="35" t="str">
        <f t="shared" si="22"/>
        <v/>
      </c>
      <c r="S73" s="36" t="str">
        <f t="shared" si="23"/>
        <v/>
      </c>
    </row>
    <row r="74" spans="1:19" x14ac:dyDescent="0.3">
      <c r="A74" s="42"/>
      <c r="B74" s="42"/>
      <c r="C74" s="42"/>
      <c r="D74" s="36" t="str">
        <f>IF($A74="","",IFERROR(INDEX(TEAM!$B:$B,MATCH($C74,TEAM!$A:$A,0)),""))</f>
        <v/>
      </c>
      <c r="E74" s="42"/>
      <c r="F74" s="48"/>
      <c r="G74" s="47" t="str">
        <f>IF($A74="","",IFERROR(INDEX(TEAM!$C:$C,MATCH($C74,TEAM!$A:$A,0)),0))</f>
        <v/>
      </c>
      <c r="H74" s="47" t="str">
        <f>IF($A74="","",IFERROR(INDEX(TEAM!$D:$D,MATCH($C74,TEAM!$A:$A,0)),0))</f>
        <v/>
      </c>
      <c r="I74" s="34" t="str">
        <f t="shared" si="16"/>
        <v/>
      </c>
      <c r="J74" s="34" t="str">
        <f t="shared" si="17"/>
        <v/>
      </c>
      <c r="K74" s="34" t="str">
        <f t="shared" si="18"/>
        <v/>
      </c>
      <c r="L74" s="33" t="str">
        <f>IF($A74="","",SUMIFS(ORE!$F:$F,ORE!$B:$B,$B74,ORE!$E:$E,$C74))</f>
        <v/>
      </c>
      <c r="M74" s="33" t="str">
        <f>IF($A74="","",SUMIFS(PREVISIONE_ORE!$G:$G,PREVISIONE_ORE!$D:$D,$B74,PREVISIONE_ORE!$E:$E,$C74,PREVISIONE_ORE!$K:$K,"Sì"))</f>
        <v/>
      </c>
      <c r="N74" s="33" t="str">
        <f>IF($A74="","",IF(COUNTIFS(PREVISIONE_ORE!$D:$D,$B74,PREVISIONE_ORE!$E:$E,$C74,PREVISIONE_ORE!$K:$K,"Sì")&gt;0,$L74+$M74,MAX($L74,$F74)))</f>
        <v/>
      </c>
      <c r="O74" s="33" t="str">
        <f t="shared" si="19"/>
        <v/>
      </c>
      <c r="P74" s="34" t="str">
        <f t="shared" si="20"/>
        <v/>
      </c>
      <c r="Q74" s="34" t="str">
        <f t="shared" si="21"/>
        <v/>
      </c>
      <c r="R74" s="35" t="str">
        <f t="shared" si="22"/>
        <v/>
      </c>
      <c r="S74" s="36" t="str">
        <f t="shared" si="23"/>
        <v/>
      </c>
    </row>
    <row r="75" spans="1:19" x14ac:dyDescent="0.3">
      <c r="A75" s="42"/>
      <c r="B75" s="42"/>
      <c r="C75" s="42"/>
      <c r="D75" s="36" t="str">
        <f>IF($A75="","",IFERROR(INDEX(TEAM!$B:$B,MATCH($C75,TEAM!$A:$A,0)),""))</f>
        <v/>
      </c>
      <c r="E75" s="42"/>
      <c r="F75" s="48"/>
      <c r="G75" s="47" t="str">
        <f>IF($A75="","",IFERROR(INDEX(TEAM!$C:$C,MATCH($C75,TEAM!$A:$A,0)),0))</f>
        <v/>
      </c>
      <c r="H75" s="47" t="str">
        <f>IF($A75="","",IFERROR(INDEX(TEAM!$D:$D,MATCH($C75,TEAM!$A:$A,0)),0))</f>
        <v/>
      </c>
      <c r="I75" s="34" t="str">
        <f t="shared" si="16"/>
        <v/>
      </c>
      <c r="J75" s="34" t="str">
        <f t="shared" si="17"/>
        <v/>
      </c>
      <c r="K75" s="34" t="str">
        <f t="shared" si="18"/>
        <v/>
      </c>
      <c r="L75" s="33" t="str">
        <f>IF($A75="","",SUMIFS(ORE!$F:$F,ORE!$B:$B,$B75,ORE!$E:$E,$C75))</f>
        <v/>
      </c>
      <c r="M75" s="33" t="str">
        <f>IF($A75="","",SUMIFS(PREVISIONE_ORE!$G:$G,PREVISIONE_ORE!$D:$D,$B75,PREVISIONE_ORE!$E:$E,$C75,PREVISIONE_ORE!$K:$K,"Sì"))</f>
        <v/>
      </c>
      <c r="N75" s="33" t="str">
        <f>IF($A75="","",IF(COUNTIFS(PREVISIONE_ORE!$D:$D,$B75,PREVISIONE_ORE!$E:$E,$C75,PREVISIONE_ORE!$K:$K,"Sì")&gt;0,$L75+$M75,MAX($L75,$F75)))</f>
        <v/>
      </c>
      <c r="O75" s="33" t="str">
        <f t="shared" si="19"/>
        <v/>
      </c>
      <c r="P75" s="34" t="str">
        <f t="shared" si="20"/>
        <v/>
      </c>
      <c r="Q75" s="34" t="str">
        <f t="shared" si="21"/>
        <v/>
      </c>
      <c r="R75" s="35" t="str">
        <f t="shared" si="22"/>
        <v/>
      </c>
      <c r="S75" s="36" t="str">
        <f t="shared" si="23"/>
        <v/>
      </c>
    </row>
    <row r="76" spans="1:19" x14ac:dyDescent="0.3">
      <c r="A76" s="42"/>
      <c r="B76" s="42"/>
      <c r="C76" s="42"/>
      <c r="D76" s="36" t="str">
        <f>IF($A76="","",IFERROR(INDEX(TEAM!$B:$B,MATCH($C76,TEAM!$A:$A,0)),""))</f>
        <v/>
      </c>
      <c r="E76" s="42"/>
      <c r="F76" s="48"/>
      <c r="G76" s="47" t="str">
        <f>IF($A76="","",IFERROR(INDEX(TEAM!$C:$C,MATCH($C76,TEAM!$A:$A,0)),0))</f>
        <v/>
      </c>
      <c r="H76" s="47" t="str">
        <f>IF($A76="","",IFERROR(INDEX(TEAM!$D:$D,MATCH($C76,TEAM!$A:$A,0)),0))</f>
        <v/>
      </c>
      <c r="I76" s="34" t="str">
        <f t="shared" si="16"/>
        <v/>
      </c>
      <c r="J76" s="34" t="str">
        <f t="shared" si="17"/>
        <v/>
      </c>
      <c r="K76" s="34" t="str">
        <f t="shared" si="18"/>
        <v/>
      </c>
      <c r="L76" s="33" t="str">
        <f>IF($A76="","",SUMIFS(ORE!$F:$F,ORE!$B:$B,$B76,ORE!$E:$E,$C76))</f>
        <v/>
      </c>
      <c r="M76" s="33" t="str">
        <f>IF($A76="","",SUMIFS(PREVISIONE_ORE!$G:$G,PREVISIONE_ORE!$D:$D,$B76,PREVISIONE_ORE!$E:$E,$C76,PREVISIONE_ORE!$K:$K,"Sì"))</f>
        <v/>
      </c>
      <c r="N76" s="33" t="str">
        <f>IF($A76="","",IF(COUNTIFS(PREVISIONE_ORE!$D:$D,$B76,PREVISIONE_ORE!$E:$E,$C76,PREVISIONE_ORE!$K:$K,"Sì")&gt;0,$L76+$M76,MAX($L76,$F76)))</f>
        <v/>
      </c>
      <c r="O76" s="33" t="str">
        <f t="shared" si="19"/>
        <v/>
      </c>
      <c r="P76" s="34" t="str">
        <f t="shared" si="20"/>
        <v/>
      </c>
      <c r="Q76" s="34" t="str">
        <f t="shared" si="21"/>
        <v/>
      </c>
      <c r="R76" s="35" t="str">
        <f t="shared" si="22"/>
        <v/>
      </c>
      <c r="S76" s="36" t="str">
        <f t="shared" si="23"/>
        <v/>
      </c>
    </row>
    <row r="77" spans="1:19" x14ac:dyDescent="0.3">
      <c r="A77" s="42"/>
      <c r="B77" s="42"/>
      <c r="C77" s="42"/>
      <c r="D77" s="36" t="str">
        <f>IF($A77="","",IFERROR(INDEX(TEAM!$B:$B,MATCH($C77,TEAM!$A:$A,0)),""))</f>
        <v/>
      </c>
      <c r="E77" s="42"/>
      <c r="F77" s="48"/>
      <c r="G77" s="47" t="str">
        <f>IF($A77="","",IFERROR(INDEX(TEAM!$C:$C,MATCH($C77,TEAM!$A:$A,0)),0))</f>
        <v/>
      </c>
      <c r="H77" s="47" t="str">
        <f>IF($A77="","",IFERROR(INDEX(TEAM!$D:$D,MATCH($C77,TEAM!$A:$A,0)),0))</f>
        <v/>
      </c>
      <c r="I77" s="34" t="str">
        <f t="shared" si="16"/>
        <v/>
      </c>
      <c r="J77" s="34" t="str">
        <f t="shared" si="17"/>
        <v/>
      </c>
      <c r="K77" s="34" t="str">
        <f t="shared" si="18"/>
        <v/>
      </c>
      <c r="L77" s="33" t="str">
        <f>IF($A77="","",SUMIFS(ORE!$F:$F,ORE!$B:$B,$B77,ORE!$E:$E,$C77))</f>
        <v/>
      </c>
      <c r="M77" s="33" t="str">
        <f>IF($A77="","",SUMIFS(PREVISIONE_ORE!$G:$G,PREVISIONE_ORE!$D:$D,$B77,PREVISIONE_ORE!$E:$E,$C77,PREVISIONE_ORE!$K:$K,"Sì"))</f>
        <v/>
      </c>
      <c r="N77" s="33" t="str">
        <f>IF($A77="","",IF(COUNTIFS(PREVISIONE_ORE!$D:$D,$B77,PREVISIONE_ORE!$E:$E,$C77,PREVISIONE_ORE!$K:$K,"Sì")&gt;0,$L77+$M77,MAX($L77,$F77)))</f>
        <v/>
      </c>
      <c r="O77" s="33" t="str">
        <f t="shared" si="19"/>
        <v/>
      </c>
      <c r="P77" s="34" t="str">
        <f t="shared" si="20"/>
        <v/>
      </c>
      <c r="Q77" s="34" t="str">
        <f t="shared" si="21"/>
        <v/>
      </c>
      <c r="R77" s="35" t="str">
        <f t="shared" si="22"/>
        <v/>
      </c>
      <c r="S77" s="36" t="str">
        <f t="shared" si="23"/>
        <v/>
      </c>
    </row>
    <row r="78" spans="1:19" x14ac:dyDescent="0.3">
      <c r="A78" s="42"/>
      <c r="B78" s="42"/>
      <c r="C78" s="42"/>
      <c r="D78" s="36" t="str">
        <f>IF($A78="","",IFERROR(INDEX(TEAM!$B:$B,MATCH($C78,TEAM!$A:$A,0)),""))</f>
        <v/>
      </c>
      <c r="E78" s="42"/>
      <c r="F78" s="48"/>
      <c r="G78" s="47" t="str">
        <f>IF($A78="","",IFERROR(INDEX(TEAM!$C:$C,MATCH($C78,TEAM!$A:$A,0)),0))</f>
        <v/>
      </c>
      <c r="H78" s="47" t="str">
        <f>IF($A78="","",IFERROR(INDEX(TEAM!$D:$D,MATCH($C78,TEAM!$A:$A,0)),0))</f>
        <v/>
      </c>
      <c r="I78" s="34" t="str">
        <f t="shared" si="16"/>
        <v/>
      </c>
      <c r="J78" s="34" t="str">
        <f t="shared" si="17"/>
        <v/>
      </c>
      <c r="K78" s="34" t="str">
        <f t="shared" si="18"/>
        <v/>
      </c>
      <c r="L78" s="33" t="str">
        <f>IF($A78="","",SUMIFS(ORE!$F:$F,ORE!$B:$B,$B78,ORE!$E:$E,$C78))</f>
        <v/>
      </c>
      <c r="M78" s="33" t="str">
        <f>IF($A78="","",SUMIFS(PREVISIONE_ORE!$G:$G,PREVISIONE_ORE!$D:$D,$B78,PREVISIONE_ORE!$E:$E,$C78,PREVISIONE_ORE!$K:$K,"Sì"))</f>
        <v/>
      </c>
      <c r="N78" s="33" t="str">
        <f>IF($A78="","",IF(COUNTIFS(PREVISIONE_ORE!$D:$D,$B78,PREVISIONE_ORE!$E:$E,$C78,PREVISIONE_ORE!$K:$K,"Sì")&gt;0,$L78+$M78,MAX($L78,$F78)))</f>
        <v/>
      </c>
      <c r="O78" s="33" t="str">
        <f t="shared" si="19"/>
        <v/>
      </c>
      <c r="P78" s="34" t="str">
        <f t="shared" si="20"/>
        <v/>
      </c>
      <c r="Q78" s="34" t="str">
        <f t="shared" si="21"/>
        <v/>
      </c>
      <c r="R78" s="35" t="str">
        <f t="shared" si="22"/>
        <v/>
      </c>
      <c r="S78" s="36" t="str">
        <f t="shared" si="23"/>
        <v/>
      </c>
    </row>
    <row r="79" spans="1:19" x14ac:dyDescent="0.3">
      <c r="A79" s="42"/>
      <c r="B79" s="42"/>
      <c r="C79" s="42"/>
      <c r="D79" s="36" t="str">
        <f>IF($A79="","",IFERROR(INDEX(TEAM!$B:$B,MATCH($C79,TEAM!$A:$A,0)),""))</f>
        <v/>
      </c>
      <c r="E79" s="42"/>
      <c r="F79" s="48"/>
      <c r="G79" s="47" t="str">
        <f>IF($A79="","",IFERROR(INDEX(TEAM!$C:$C,MATCH($C79,TEAM!$A:$A,0)),0))</f>
        <v/>
      </c>
      <c r="H79" s="47" t="str">
        <f>IF($A79="","",IFERROR(INDEX(TEAM!$D:$D,MATCH($C79,TEAM!$A:$A,0)),0))</f>
        <v/>
      </c>
      <c r="I79" s="34" t="str">
        <f t="shared" si="16"/>
        <v/>
      </c>
      <c r="J79" s="34" t="str">
        <f t="shared" si="17"/>
        <v/>
      </c>
      <c r="K79" s="34" t="str">
        <f t="shared" si="18"/>
        <v/>
      </c>
      <c r="L79" s="33" t="str">
        <f>IF($A79="","",SUMIFS(ORE!$F:$F,ORE!$B:$B,$B79,ORE!$E:$E,$C79))</f>
        <v/>
      </c>
      <c r="M79" s="33" t="str">
        <f>IF($A79="","",SUMIFS(PREVISIONE_ORE!$G:$G,PREVISIONE_ORE!$D:$D,$B79,PREVISIONE_ORE!$E:$E,$C79,PREVISIONE_ORE!$K:$K,"Sì"))</f>
        <v/>
      </c>
      <c r="N79" s="33" t="str">
        <f>IF($A79="","",IF(COUNTIFS(PREVISIONE_ORE!$D:$D,$B79,PREVISIONE_ORE!$E:$E,$C79,PREVISIONE_ORE!$K:$K,"Sì")&gt;0,$L79+$M79,MAX($L79,$F79)))</f>
        <v/>
      </c>
      <c r="O79" s="33" t="str">
        <f t="shared" si="19"/>
        <v/>
      </c>
      <c r="P79" s="34" t="str">
        <f t="shared" si="20"/>
        <v/>
      </c>
      <c r="Q79" s="34" t="str">
        <f t="shared" si="21"/>
        <v/>
      </c>
      <c r="R79" s="35" t="str">
        <f t="shared" si="22"/>
        <v/>
      </c>
      <c r="S79" s="36" t="str">
        <f t="shared" si="23"/>
        <v/>
      </c>
    </row>
    <row r="80" spans="1:19" x14ac:dyDescent="0.3">
      <c r="A80" s="42"/>
      <c r="B80" s="42"/>
      <c r="C80" s="42"/>
      <c r="D80" s="36" t="str">
        <f>IF($A80="","",IFERROR(INDEX(TEAM!$B:$B,MATCH($C80,TEAM!$A:$A,0)),""))</f>
        <v/>
      </c>
      <c r="E80" s="42"/>
      <c r="F80" s="48"/>
      <c r="G80" s="47" t="str">
        <f>IF($A80="","",IFERROR(INDEX(TEAM!$C:$C,MATCH($C80,TEAM!$A:$A,0)),0))</f>
        <v/>
      </c>
      <c r="H80" s="47" t="str">
        <f>IF($A80="","",IFERROR(INDEX(TEAM!$D:$D,MATCH($C80,TEAM!$A:$A,0)),0))</f>
        <v/>
      </c>
      <c r="I80" s="34" t="str">
        <f t="shared" si="16"/>
        <v/>
      </c>
      <c r="J80" s="34" t="str">
        <f t="shared" si="17"/>
        <v/>
      </c>
      <c r="K80" s="34" t="str">
        <f t="shared" si="18"/>
        <v/>
      </c>
      <c r="L80" s="33" t="str">
        <f>IF($A80="","",SUMIFS(ORE!$F:$F,ORE!$B:$B,$B80,ORE!$E:$E,$C80))</f>
        <v/>
      </c>
      <c r="M80" s="33" t="str">
        <f>IF($A80="","",SUMIFS(PREVISIONE_ORE!$G:$G,PREVISIONE_ORE!$D:$D,$B80,PREVISIONE_ORE!$E:$E,$C80,PREVISIONE_ORE!$K:$K,"Sì"))</f>
        <v/>
      </c>
      <c r="N80" s="33" t="str">
        <f>IF($A80="","",IF(COUNTIFS(PREVISIONE_ORE!$D:$D,$B80,PREVISIONE_ORE!$E:$E,$C80,PREVISIONE_ORE!$K:$K,"Sì")&gt;0,$L80+$M80,MAX($L80,$F80)))</f>
        <v/>
      </c>
      <c r="O80" s="33" t="str">
        <f t="shared" si="19"/>
        <v/>
      </c>
      <c r="P80" s="34" t="str">
        <f t="shared" si="20"/>
        <v/>
      </c>
      <c r="Q80" s="34" t="str">
        <f t="shared" si="21"/>
        <v/>
      </c>
      <c r="R80" s="35" t="str">
        <f t="shared" si="22"/>
        <v/>
      </c>
      <c r="S80" s="36" t="str">
        <f t="shared" si="23"/>
        <v/>
      </c>
    </row>
    <row r="81" spans="1:19" x14ac:dyDescent="0.3">
      <c r="A81" s="42"/>
      <c r="B81" s="42"/>
      <c r="C81" s="42"/>
      <c r="D81" s="36" t="str">
        <f>IF($A81="","",IFERROR(INDEX(TEAM!$B:$B,MATCH($C81,TEAM!$A:$A,0)),""))</f>
        <v/>
      </c>
      <c r="E81" s="42"/>
      <c r="F81" s="48"/>
      <c r="G81" s="47" t="str">
        <f>IF($A81="","",IFERROR(INDEX(TEAM!$C:$C,MATCH($C81,TEAM!$A:$A,0)),0))</f>
        <v/>
      </c>
      <c r="H81" s="47" t="str">
        <f>IF($A81="","",IFERROR(INDEX(TEAM!$D:$D,MATCH($C81,TEAM!$A:$A,0)),0))</f>
        <v/>
      </c>
      <c r="I81" s="34" t="str">
        <f t="shared" si="16"/>
        <v/>
      </c>
      <c r="J81" s="34" t="str">
        <f t="shared" si="17"/>
        <v/>
      </c>
      <c r="K81" s="34" t="str">
        <f t="shared" si="18"/>
        <v/>
      </c>
      <c r="L81" s="33" t="str">
        <f>IF($A81="","",SUMIFS(ORE!$F:$F,ORE!$B:$B,$B81,ORE!$E:$E,$C81))</f>
        <v/>
      </c>
      <c r="M81" s="33" t="str">
        <f>IF($A81="","",SUMIFS(PREVISIONE_ORE!$G:$G,PREVISIONE_ORE!$D:$D,$B81,PREVISIONE_ORE!$E:$E,$C81,PREVISIONE_ORE!$K:$K,"Sì"))</f>
        <v/>
      </c>
      <c r="N81" s="33" t="str">
        <f>IF($A81="","",IF(COUNTIFS(PREVISIONE_ORE!$D:$D,$B81,PREVISIONE_ORE!$E:$E,$C81,PREVISIONE_ORE!$K:$K,"Sì")&gt;0,$L81+$M81,MAX($L81,$F81)))</f>
        <v/>
      </c>
      <c r="O81" s="33" t="str">
        <f t="shared" si="19"/>
        <v/>
      </c>
      <c r="P81" s="34" t="str">
        <f t="shared" si="20"/>
        <v/>
      </c>
      <c r="Q81" s="34" t="str">
        <f t="shared" si="21"/>
        <v/>
      </c>
      <c r="R81" s="35" t="str">
        <f t="shared" si="22"/>
        <v/>
      </c>
      <c r="S81" s="36" t="str">
        <f t="shared" si="23"/>
        <v/>
      </c>
    </row>
    <row r="82" spans="1:19" x14ac:dyDescent="0.3">
      <c r="A82" s="42"/>
      <c r="B82" s="42"/>
      <c r="C82" s="42"/>
      <c r="D82" s="36" t="str">
        <f>IF($A82="","",IFERROR(INDEX(TEAM!$B:$B,MATCH($C82,TEAM!$A:$A,0)),""))</f>
        <v/>
      </c>
      <c r="E82" s="42"/>
      <c r="F82" s="48"/>
      <c r="G82" s="47" t="str">
        <f>IF($A82="","",IFERROR(INDEX(TEAM!$C:$C,MATCH($C82,TEAM!$A:$A,0)),0))</f>
        <v/>
      </c>
      <c r="H82" s="47" t="str">
        <f>IF($A82="","",IFERROR(INDEX(TEAM!$D:$D,MATCH($C82,TEAM!$A:$A,0)),0))</f>
        <v/>
      </c>
      <c r="I82" s="34" t="str">
        <f t="shared" si="16"/>
        <v/>
      </c>
      <c r="J82" s="34" t="str">
        <f t="shared" si="17"/>
        <v/>
      </c>
      <c r="K82" s="34" t="str">
        <f t="shared" si="18"/>
        <v/>
      </c>
      <c r="L82" s="33" t="str">
        <f>IF($A82="","",SUMIFS(ORE!$F:$F,ORE!$B:$B,$B82,ORE!$E:$E,$C82))</f>
        <v/>
      </c>
      <c r="M82" s="33" t="str">
        <f>IF($A82="","",SUMIFS(PREVISIONE_ORE!$G:$G,PREVISIONE_ORE!$D:$D,$B82,PREVISIONE_ORE!$E:$E,$C82,PREVISIONE_ORE!$K:$K,"Sì"))</f>
        <v/>
      </c>
      <c r="N82" s="33" t="str">
        <f>IF($A82="","",IF(COUNTIFS(PREVISIONE_ORE!$D:$D,$B82,PREVISIONE_ORE!$E:$E,$C82,PREVISIONE_ORE!$K:$K,"Sì")&gt;0,$L82+$M82,MAX($L82,$F82)))</f>
        <v/>
      </c>
      <c r="O82" s="33" t="str">
        <f t="shared" si="19"/>
        <v/>
      </c>
      <c r="P82" s="34" t="str">
        <f t="shared" si="20"/>
        <v/>
      </c>
      <c r="Q82" s="34" t="str">
        <f t="shared" si="21"/>
        <v/>
      </c>
      <c r="R82" s="35" t="str">
        <f t="shared" si="22"/>
        <v/>
      </c>
      <c r="S82" s="36" t="str">
        <f t="shared" si="23"/>
        <v/>
      </c>
    </row>
    <row r="83" spans="1:19" x14ac:dyDescent="0.3">
      <c r="A83" s="42"/>
      <c r="B83" s="42"/>
      <c r="C83" s="42"/>
      <c r="D83" s="36" t="str">
        <f>IF($A83="","",IFERROR(INDEX(TEAM!$B:$B,MATCH($C83,TEAM!$A:$A,0)),""))</f>
        <v/>
      </c>
      <c r="E83" s="42"/>
      <c r="F83" s="48"/>
      <c r="G83" s="47" t="str">
        <f>IF($A83="","",IFERROR(INDEX(TEAM!$C:$C,MATCH($C83,TEAM!$A:$A,0)),0))</f>
        <v/>
      </c>
      <c r="H83" s="47" t="str">
        <f>IF($A83="","",IFERROR(INDEX(TEAM!$D:$D,MATCH($C83,TEAM!$A:$A,0)),0))</f>
        <v/>
      </c>
      <c r="I83" s="34" t="str">
        <f t="shared" si="16"/>
        <v/>
      </c>
      <c r="J83" s="34" t="str">
        <f t="shared" si="17"/>
        <v/>
      </c>
      <c r="K83" s="34" t="str">
        <f t="shared" si="18"/>
        <v/>
      </c>
      <c r="L83" s="33" t="str">
        <f>IF($A83="","",SUMIFS(ORE!$F:$F,ORE!$B:$B,$B83,ORE!$E:$E,$C83))</f>
        <v/>
      </c>
      <c r="M83" s="33" t="str">
        <f>IF($A83="","",SUMIFS(PREVISIONE_ORE!$G:$G,PREVISIONE_ORE!$D:$D,$B83,PREVISIONE_ORE!$E:$E,$C83,PREVISIONE_ORE!$K:$K,"Sì"))</f>
        <v/>
      </c>
      <c r="N83" s="33" t="str">
        <f>IF($A83="","",IF(COUNTIFS(PREVISIONE_ORE!$D:$D,$B83,PREVISIONE_ORE!$E:$E,$C83,PREVISIONE_ORE!$K:$K,"Sì")&gt;0,$L83+$M83,MAX($L83,$F83)))</f>
        <v/>
      </c>
      <c r="O83" s="33" t="str">
        <f t="shared" si="19"/>
        <v/>
      </c>
      <c r="P83" s="34" t="str">
        <f t="shared" si="20"/>
        <v/>
      </c>
      <c r="Q83" s="34" t="str">
        <f t="shared" si="21"/>
        <v/>
      </c>
      <c r="R83" s="35" t="str">
        <f t="shared" si="22"/>
        <v/>
      </c>
      <c r="S83" s="36" t="str">
        <f t="shared" si="23"/>
        <v/>
      </c>
    </row>
    <row r="84" spans="1:19" x14ac:dyDescent="0.3">
      <c r="A84" s="42"/>
      <c r="B84" s="42"/>
      <c r="C84" s="42"/>
      <c r="D84" s="36" t="str">
        <f>IF($A84="","",IFERROR(INDEX(TEAM!$B:$B,MATCH($C84,TEAM!$A:$A,0)),""))</f>
        <v/>
      </c>
      <c r="E84" s="42"/>
      <c r="F84" s="48"/>
      <c r="G84" s="47" t="str">
        <f>IF($A84="","",IFERROR(INDEX(TEAM!$C:$C,MATCH($C84,TEAM!$A:$A,0)),0))</f>
        <v/>
      </c>
      <c r="H84" s="47" t="str">
        <f>IF($A84="","",IFERROR(INDEX(TEAM!$D:$D,MATCH($C84,TEAM!$A:$A,0)),0))</f>
        <v/>
      </c>
      <c r="I84" s="34" t="str">
        <f t="shared" si="16"/>
        <v/>
      </c>
      <c r="J84" s="34" t="str">
        <f t="shared" si="17"/>
        <v/>
      </c>
      <c r="K84" s="34" t="str">
        <f t="shared" si="18"/>
        <v/>
      </c>
      <c r="L84" s="33" t="str">
        <f>IF($A84="","",SUMIFS(ORE!$F:$F,ORE!$B:$B,$B84,ORE!$E:$E,$C84))</f>
        <v/>
      </c>
      <c r="M84" s="33" t="str">
        <f>IF($A84="","",SUMIFS(PREVISIONE_ORE!$G:$G,PREVISIONE_ORE!$D:$D,$B84,PREVISIONE_ORE!$E:$E,$C84,PREVISIONE_ORE!$K:$K,"Sì"))</f>
        <v/>
      </c>
      <c r="N84" s="33" t="str">
        <f>IF($A84="","",IF(COUNTIFS(PREVISIONE_ORE!$D:$D,$B84,PREVISIONE_ORE!$E:$E,$C84,PREVISIONE_ORE!$K:$K,"Sì")&gt;0,$L84+$M84,MAX($L84,$F84)))</f>
        <v/>
      </c>
      <c r="O84" s="33" t="str">
        <f t="shared" si="19"/>
        <v/>
      </c>
      <c r="P84" s="34" t="str">
        <f t="shared" si="20"/>
        <v/>
      </c>
      <c r="Q84" s="34" t="str">
        <f t="shared" si="21"/>
        <v/>
      </c>
      <c r="R84" s="35" t="str">
        <f t="shared" si="22"/>
        <v/>
      </c>
      <c r="S84" s="36" t="str">
        <f t="shared" si="23"/>
        <v/>
      </c>
    </row>
    <row r="85" spans="1:19" x14ac:dyDescent="0.3">
      <c r="A85" s="42"/>
      <c r="B85" s="42"/>
      <c r="C85" s="42"/>
      <c r="D85" s="36" t="str">
        <f>IF($A85="","",IFERROR(INDEX(TEAM!$B:$B,MATCH($C85,TEAM!$A:$A,0)),""))</f>
        <v/>
      </c>
      <c r="E85" s="42"/>
      <c r="F85" s="48"/>
      <c r="G85" s="47" t="str">
        <f>IF($A85="","",IFERROR(INDEX(TEAM!$C:$C,MATCH($C85,TEAM!$A:$A,0)),0))</f>
        <v/>
      </c>
      <c r="H85" s="47" t="str">
        <f>IF($A85="","",IFERROR(INDEX(TEAM!$D:$D,MATCH($C85,TEAM!$A:$A,0)),0))</f>
        <v/>
      </c>
      <c r="I85" s="34" t="str">
        <f t="shared" si="16"/>
        <v/>
      </c>
      <c r="J85" s="34" t="str">
        <f t="shared" si="17"/>
        <v/>
      </c>
      <c r="K85" s="34" t="str">
        <f t="shared" si="18"/>
        <v/>
      </c>
      <c r="L85" s="33" t="str">
        <f>IF($A85="","",SUMIFS(ORE!$F:$F,ORE!$B:$B,$B85,ORE!$E:$E,$C85))</f>
        <v/>
      </c>
      <c r="M85" s="33" t="str">
        <f>IF($A85="","",SUMIFS(PREVISIONE_ORE!$G:$G,PREVISIONE_ORE!$D:$D,$B85,PREVISIONE_ORE!$E:$E,$C85,PREVISIONE_ORE!$K:$K,"Sì"))</f>
        <v/>
      </c>
      <c r="N85" s="33" t="str">
        <f>IF($A85="","",IF(COUNTIFS(PREVISIONE_ORE!$D:$D,$B85,PREVISIONE_ORE!$E:$E,$C85,PREVISIONE_ORE!$K:$K,"Sì")&gt;0,$L85+$M85,MAX($L85,$F85)))</f>
        <v/>
      </c>
      <c r="O85" s="33" t="str">
        <f t="shared" si="19"/>
        <v/>
      </c>
      <c r="P85" s="34" t="str">
        <f t="shared" si="20"/>
        <v/>
      </c>
      <c r="Q85" s="34" t="str">
        <f t="shared" si="21"/>
        <v/>
      </c>
      <c r="R85" s="35" t="str">
        <f t="shared" si="22"/>
        <v/>
      </c>
      <c r="S85" s="36" t="str">
        <f t="shared" si="23"/>
        <v/>
      </c>
    </row>
    <row r="86" spans="1:19" x14ac:dyDescent="0.3">
      <c r="A86" s="42"/>
      <c r="B86" s="42"/>
      <c r="C86" s="42"/>
      <c r="D86" s="36" t="str">
        <f>IF($A86="","",IFERROR(INDEX(TEAM!$B:$B,MATCH($C86,TEAM!$A:$A,0)),""))</f>
        <v/>
      </c>
      <c r="E86" s="42"/>
      <c r="F86" s="48"/>
      <c r="G86" s="47" t="str">
        <f>IF($A86="","",IFERROR(INDEX(TEAM!$C:$C,MATCH($C86,TEAM!$A:$A,0)),0))</f>
        <v/>
      </c>
      <c r="H86" s="47" t="str">
        <f>IF($A86="","",IFERROR(INDEX(TEAM!$D:$D,MATCH($C86,TEAM!$A:$A,0)),0))</f>
        <v/>
      </c>
      <c r="I86" s="34" t="str">
        <f t="shared" si="16"/>
        <v/>
      </c>
      <c r="J86" s="34" t="str">
        <f t="shared" si="17"/>
        <v/>
      </c>
      <c r="K86" s="34" t="str">
        <f t="shared" si="18"/>
        <v/>
      </c>
      <c r="L86" s="33" t="str">
        <f>IF($A86="","",SUMIFS(ORE!$F:$F,ORE!$B:$B,$B86,ORE!$E:$E,$C86))</f>
        <v/>
      </c>
      <c r="M86" s="33" t="str">
        <f>IF($A86="","",SUMIFS(PREVISIONE_ORE!$G:$G,PREVISIONE_ORE!$D:$D,$B86,PREVISIONE_ORE!$E:$E,$C86,PREVISIONE_ORE!$K:$K,"Sì"))</f>
        <v/>
      </c>
      <c r="N86" s="33" t="str">
        <f>IF($A86="","",IF(COUNTIFS(PREVISIONE_ORE!$D:$D,$B86,PREVISIONE_ORE!$E:$E,$C86,PREVISIONE_ORE!$K:$K,"Sì")&gt;0,$L86+$M86,MAX($L86,$F86)))</f>
        <v/>
      </c>
      <c r="O86" s="33" t="str">
        <f t="shared" si="19"/>
        <v/>
      </c>
      <c r="P86" s="34" t="str">
        <f t="shared" si="20"/>
        <v/>
      </c>
      <c r="Q86" s="34" t="str">
        <f t="shared" si="21"/>
        <v/>
      </c>
      <c r="R86" s="35" t="str">
        <f t="shared" si="22"/>
        <v/>
      </c>
      <c r="S86" s="36" t="str">
        <f t="shared" si="23"/>
        <v/>
      </c>
    </row>
    <row r="87" spans="1:19" x14ac:dyDescent="0.3">
      <c r="A87" s="42"/>
      <c r="B87" s="42"/>
      <c r="C87" s="42"/>
      <c r="D87" s="36" t="str">
        <f>IF($A87="","",IFERROR(INDEX(TEAM!$B:$B,MATCH($C87,TEAM!$A:$A,0)),""))</f>
        <v/>
      </c>
      <c r="E87" s="42"/>
      <c r="F87" s="48"/>
      <c r="G87" s="47" t="str">
        <f>IF($A87="","",IFERROR(INDEX(TEAM!$C:$C,MATCH($C87,TEAM!$A:$A,0)),0))</f>
        <v/>
      </c>
      <c r="H87" s="47" t="str">
        <f>IF($A87="","",IFERROR(INDEX(TEAM!$D:$D,MATCH($C87,TEAM!$A:$A,0)),0))</f>
        <v/>
      </c>
      <c r="I87" s="34" t="str">
        <f t="shared" si="16"/>
        <v/>
      </c>
      <c r="J87" s="34" t="str">
        <f t="shared" si="17"/>
        <v/>
      </c>
      <c r="K87" s="34" t="str">
        <f t="shared" si="18"/>
        <v/>
      </c>
      <c r="L87" s="33" t="str">
        <f>IF($A87="","",SUMIFS(ORE!$F:$F,ORE!$B:$B,$B87,ORE!$E:$E,$C87))</f>
        <v/>
      </c>
      <c r="M87" s="33" t="str">
        <f>IF($A87="","",SUMIFS(PREVISIONE_ORE!$G:$G,PREVISIONE_ORE!$D:$D,$B87,PREVISIONE_ORE!$E:$E,$C87,PREVISIONE_ORE!$K:$K,"Sì"))</f>
        <v/>
      </c>
      <c r="N87" s="33" t="str">
        <f>IF($A87="","",IF(COUNTIFS(PREVISIONE_ORE!$D:$D,$B87,PREVISIONE_ORE!$E:$E,$C87,PREVISIONE_ORE!$K:$K,"Sì")&gt;0,$L87+$M87,MAX($L87,$F87)))</f>
        <v/>
      </c>
      <c r="O87" s="33" t="str">
        <f t="shared" si="19"/>
        <v/>
      </c>
      <c r="P87" s="34" t="str">
        <f t="shared" si="20"/>
        <v/>
      </c>
      <c r="Q87" s="34" t="str">
        <f t="shared" si="21"/>
        <v/>
      </c>
      <c r="R87" s="35" t="str">
        <f t="shared" si="22"/>
        <v/>
      </c>
      <c r="S87" s="36" t="str">
        <f t="shared" si="23"/>
        <v/>
      </c>
    </row>
    <row r="88" spans="1:19" x14ac:dyDescent="0.3">
      <c r="A88" s="42"/>
      <c r="B88" s="42"/>
      <c r="C88" s="42"/>
      <c r="D88" s="36" t="str">
        <f>IF($A88="","",IFERROR(INDEX(TEAM!$B:$B,MATCH($C88,TEAM!$A:$A,0)),""))</f>
        <v/>
      </c>
      <c r="E88" s="42"/>
      <c r="F88" s="48"/>
      <c r="G88" s="47" t="str">
        <f>IF($A88="","",IFERROR(INDEX(TEAM!$C:$C,MATCH($C88,TEAM!$A:$A,0)),0))</f>
        <v/>
      </c>
      <c r="H88" s="47" t="str">
        <f>IF($A88="","",IFERROR(INDEX(TEAM!$D:$D,MATCH($C88,TEAM!$A:$A,0)),0))</f>
        <v/>
      </c>
      <c r="I88" s="34" t="str">
        <f t="shared" si="16"/>
        <v/>
      </c>
      <c r="J88" s="34" t="str">
        <f t="shared" si="17"/>
        <v/>
      </c>
      <c r="K88" s="34" t="str">
        <f t="shared" si="18"/>
        <v/>
      </c>
      <c r="L88" s="33" t="str">
        <f>IF($A88="","",SUMIFS(ORE!$F:$F,ORE!$B:$B,$B88,ORE!$E:$E,$C88))</f>
        <v/>
      </c>
      <c r="M88" s="33" t="str">
        <f>IF($A88="","",SUMIFS(PREVISIONE_ORE!$G:$G,PREVISIONE_ORE!$D:$D,$B88,PREVISIONE_ORE!$E:$E,$C88,PREVISIONE_ORE!$K:$K,"Sì"))</f>
        <v/>
      </c>
      <c r="N88" s="33" t="str">
        <f>IF($A88="","",IF(COUNTIFS(PREVISIONE_ORE!$D:$D,$B88,PREVISIONE_ORE!$E:$E,$C88,PREVISIONE_ORE!$K:$K,"Sì")&gt;0,$L88+$M88,MAX($L88,$F88)))</f>
        <v/>
      </c>
      <c r="O88" s="33" t="str">
        <f t="shared" si="19"/>
        <v/>
      </c>
      <c r="P88" s="34" t="str">
        <f t="shared" si="20"/>
        <v/>
      </c>
      <c r="Q88" s="34" t="str">
        <f t="shared" si="21"/>
        <v/>
      </c>
      <c r="R88" s="35" t="str">
        <f t="shared" si="22"/>
        <v/>
      </c>
      <c r="S88" s="36" t="str">
        <f t="shared" si="23"/>
        <v/>
      </c>
    </row>
    <row r="89" spans="1:19" x14ac:dyDescent="0.3">
      <c r="A89" s="42"/>
      <c r="B89" s="42"/>
      <c r="C89" s="42"/>
      <c r="D89" s="36" t="str">
        <f>IF($A89="","",IFERROR(INDEX(TEAM!$B:$B,MATCH($C89,TEAM!$A:$A,0)),""))</f>
        <v/>
      </c>
      <c r="E89" s="42"/>
      <c r="F89" s="48"/>
      <c r="G89" s="47" t="str">
        <f>IF($A89="","",IFERROR(INDEX(TEAM!$C:$C,MATCH($C89,TEAM!$A:$A,0)),0))</f>
        <v/>
      </c>
      <c r="H89" s="47" t="str">
        <f>IF($A89="","",IFERROR(INDEX(TEAM!$D:$D,MATCH($C89,TEAM!$A:$A,0)),0))</f>
        <v/>
      </c>
      <c r="I89" s="34" t="str">
        <f t="shared" si="16"/>
        <v/>
      </c>
      <c r="J89" s="34" t="str">
        <f t="shared" si="17"/>
        <v/>
      </c>
      <c r="K89" s="34" t="str">
        <f t="shared" si="18"/>
        <v/>
      </c>
      <c r="L89" s="33" t="str">
        <f>IF($A89="","",SUMIFS(ORE!$F:$F,ORE!$B:$B,$B89,ORE!$E:$E,$C89))</f>
        <v/>
      </c>
      <c r="M89" s="33" t="str">
        <f>IF($A89="","",SUMIFS(PREVISIONE_ORE!$G:$G,PREVISIONE_ORE!$D:$D,$B89,PREVISIONE_ORE!$E:$E,$C89,PREVISIONE_ORE!$K:$K,"Sì"))</f>
        <v/>
      </c>
      <c r="N89" s="33" t="str">
        <f>IF($A89="","",IF(COUNTIFS(PREVISIONE_ORE!$D:$D,$B89,PREVISIONE_ORE!$E:$E,$C89,PREVISIONE_ORE!$K:$K,"Sì")&gt;0,$L89+$M89,MAX($L89,$F89)))</f>
        <v/>
      </c>
      <c r="O89" s="33" t="str">
        <f t="shared" si="19"/>
        <v/>
      </c>
      <c r="P89" s="34" t="str">
        <f t="shared" si="20"/>
        <v/>
      </c>
      <c r="Q89" s="34" t="str">
        <f t="shared" si="21"/>
        <v/>
      </c>
      <c r="R89" s="35" t="str">
        <f t="shared" si="22"/>
        <v/>
      </c>
      <c r="S89" s="36" t="str">
        <f t="shared" si="23"/>
        <v/>
      </c>
    </row>
    <row r="90" spans="1:19" x14ac:dyDescent="0.3">
      <c r="A90" s="42"/>
      <c r="B90" s="42"/>
      <c r="C90" s="42"/>
      <c r="D90" s="36" t="str">
        <f>IF($A90="","",IFERROR(INDEX(TEAM!$B:$B,MATCH($C90,TEAM!$A:$A,0)),""))</f>
        <v/>
      </c>
      <c r="E90" s="42"/>
      <c r="F90" s="48"/>
      <c r="G90" s="47" t="str">
        <f>IF($A90="","",IFERROR(INDEX(TEAM!$C:$C,MATCH($C90,TEAM!$A:$A,0)),0))</f>
        <v/>
      </c>
      <c r="H90" s="47" t="str">
        <f>IF($A90="","",IFERROR(INDEX(TEAM!$D:$D,MATCH($C90,TEAM!$A:$A,0)),0))</f>
        <v/>
      </c>
      <c r="I90" s="34" t="str">
        <f t="shared" si="16"/>
        <v/>
      </c>
      <c r="J90" s="34" t="str">
        <f t="shared" si="17"/>
        <v/>
      </c>
      <c r="K90" s="34" t="str">
        <f t="shared" si="18"/>
        <v/>
      </c>
      <c r="L90" s="33" t="str">
        <f>IF($A90="","",SUMIFS(ORE!$F:$F,ORE!$B:$B,$B90,ORE!$E:$E,$C90))</f>
        <v/>
      </c>
      <c r="M90" s="33" t="str">
        <f>IF($A90="","",SUMIFS(PREVISIONE_ORE!$G:$G,PREVISIONE_ORE!$D:$D,$B90,PREVISIONE_ORE!$E:$E,$C90,PREVISIONE_ORE!$K:$K,"Sì"))</f>
        <v/>
      </c>
      <c r="N90" s="33" t="str">
        <f>IF($A90="","",IF(COUNTIFS(PREVISIONE_ORE!$D:$D,$B90,PREVISIONE_ORE!$E:$E,$C90,PREVISIONE_ORE!$K:$K,"Sì")&gt;0,$L90+$M90,MAX($L90,$F90)))</f>
        <v/>
      </c>
      <c r="O90" s="33" t="str">
        <f t="shared" si="19"/>
        <v/>
      </c>
      <c r="P90" s="34" t="str">
        <f t="shared" si="20"/>
        <v/>
      </c>
      <c r="Q90" s="34" t="str">
        <f t="shared" si="21"/>
        <v/>
      </c>
      <c r="R90" s="35" t="str">
        <f t="shared" si="22"/>
        <v/>
      </c>
      <c r="S90" s="36" t="str">
        <f t="shared" si="23"/>
        <v/>
      </c>
    </row>
    <row r="91" spans="1:19" x14ac:dyDescent="0.3">
      <c r="A91" s="42"/>
      <c r="B91" s="42"/>
      <c r="C91" s="42"/>
      <c r="D91" s="36" t="str">
        <f>IF($A91="","",IFERROR(INDEX(TEAM!$B:$B,MATCH($C91,TEAM!$A:$A,0)),""))</f>
        <v/>
      </c>
      <c r="E91" s="42"/>
      <c r="F91" s="48"/>
      <c r="G91" s="47" t="str">
        <f>IF($A91="","",IFERROR(INDEX(TEAM!$C:$C,MATCH($C91,TEAM!$A:$A,0)),0))</f>
        <v/>
      </c>
      <c r="H91" s="47" t="str">
        <f>IF($A91="","",IFERROR(INDEX(TEAM!$D:$D,MATCH($C91,TEAM!$A:$A,0)),0))</f>
        <v/>
      </c>
      <c r="I91" s="34" t="str">
        <f t="shared" si="16"/>
        <v/>
      </c>
      <c r="J91" s="34" t="str">
        <f t="shared" si="17"/>
        <v/>
      </c>
      <c r="K91" s="34" t="str">
        <f t="shared" si="18"/>
        <v/>
      </c>
      <c r="L91" s="33" t="str">
        <f>IF($A91="","",SUMIFS(ORE!$F:$F,ORE!$B:$B,$B91,ORE!$E:$E,$C91))</f>
        <v/>
      </c>
      <c r="M91" s="33" t="str">
        <f>IF($A91="","",SUMIFS(PREVISIONE_ORE!$G:$G,PREVISIONE_ORE!$D:$D,$B91,PREVISIONE_ORE!$E:$E,$C91,PREVISIONE_ORE!$K:$K,"Sì"))</f>
        <v/>
      </c>
      <c r="N91" s="33" t="str">
        <f>IF($A91="","",IF(COUNTIFS(PREVISIONE_ORE!$D:$D,$B91,PREVISIONE_ORE!$E:$E,$C91,PREVISIONE_ORE!$K:$K,"Sì")&gt;0,$L91+$M91,MAX($L91,$F91)))</f>
        <v/>
      </c>
      <c r="O91" s="33" t="str">
        <f t="shared" si="19"/>
        <v/>
      </c>
      <c r="P91" s="34" t="str">
        <f t="shared" si="20"/>
        <v/>
      </c>
      <c r="Q91" s="34" t="str">
        <f t="shared" si="21"/>
        <v/>
      </c>
      <c r="R91" s="35" t="str">
        <f t="shared" si="22"/>
        <v/>
      </c>
      <c r="S91" s="36" t="str">
        <f t="shared" si="23"/>
        <v/>
      </c>
    </row>
    <row r="92" spans="1:19" x14ac:dyDescent="0.3">
      <c r="A92" s="42"/>
      <c r="B92" s="42"/>
      <c r="C92" s="42"/>
      <c r="D92" s="36" t="str">
        <f>IF($A92="","",IFERROR(INDEX(TEAM!$B:$B,MATCH($C92,TEAM!$A:$A,0)),""))</f>
        <v/>
      </c>
      <c r="E92" s="42"/>
      <c r="F92" s="48"/>
      <c r="G92" s="47" t="str">
        <f>IF($A92="","",IFERROR(INDEX(TEAM!$C:$C,MATCH($C92,TEAM!$A:$A,0)),0))</f>
        <v/>
      </c>
      <c r="H92" s="47" t="str">
        <f>IF($A92="","",IFERROR(INDEX(TEAM!$D:$D,MATCH($C92,TEAM!$A:$A,0)),0))</f>
        <v/>
      </c>
      <c r="I92" s="34" t="str">
        <f t="shared" si="16"/>
        <v/>
      </c>
      <c r="J92" s="34" t="str">
        <f t="shared" si="17"/>
        <v/>
      </c>
      <c r="K92" s="34" t="str">
        <f t="shared" si="18"/>
        <v/>
      </c>
      <c r="L92" s="33" t="str">
        <f>IF($A92="","",SUMIFS(ORE!$F:$F,ORE!$B:$B,$B92,ORE!$E:$E,$C92))</f>
        <v/>
      </c>
      <c r="M92" s="33" t="str">
        <f>IF($A92="","",SUMIFS(PREVISIONE_ORE!$G:$G,PREVISIONE_ORE!$D:$D,$B92,PREVISIONE_ORE!$E:$E,$C92,PREVISIONE_ORE!$K:$K,"Sì"))</f>
        <v/>
      </c>
      <c r="N92" s="33" t="str">
        <f>IF($A92="","",IF(COUNTIFS(PREVISIONE_ORE!$D:$D,$B92,PREVISIONE_ORE!$E:$E,$C92,PREVISIONE_ORE!$K:$K,"Sì")&gt;0,$L92+$M92,MAX($L92,$F92)))</f>
        <v/>
      </c>
      <c r="O92" s="33" t="str">
        <f t="shared" si="19"/>
        <v/>
      </c>
      <c r="P92" s="34" t="str">
        <f t="shared" si="20"/>
        <v/>
      </c>
      <c r="Q92" s="34" t="str">
        <f t="shared" si="21"/>
        <v/>
      </c>
      <c r="R92" s="35" t="str">
        <f t="shared" si="22"/>
        <v/>
      </c>
      <c r="S92" s="36" t="str">
        <f t="shared" si="23"/>
        <v/>
      </c>
    </row>
    <row r="93" spans="1:19" x14ac:dyDescent="0.3">
      <c r="A93" s="42"/>
      <c r="B93" s="42"/>
      <c r="C93" s="42"/>
      <c r="D93" s="36" t="str">
        <f>IF($A93="","",IFERROR(INDEX(TEAM!$B:$B,MATCH($C93,TEAM!$A:$A,0)),""))</f>
        <v/>
      </c>
      <c r="E93" s="42"/>
      <c r="F93" s="48"/>
      <c r="G93" s="47" t="str">
        <f>IF($A93="","",IFERROR(INDEX(TEAM!$C:$C,MATCH($C93,TEAM!$A:$A,0)),0))</f>
        <v/>
      </c>
      <c r="H93" s="47" t="str">
        <f>IF($A93="","",IFERROR(INDEX(TEAM!$D:$D,MATCH($C93,TEAM!$A:$A,0)),0))</f>
        <v/>
      </c>
      <c r="I93" s="34" t="str">
        <f t="shared" si="16"/>
        <v/>
      </c>
      <c r="J93" s="34" t="str">
        <f t="shared" si="17"/>
        <v/>
      </c>
      <c r="K93" s="34" t="str">
        <f t="shared" si="18"/>
        <v/>
      </c>
      <c r="L93" s="33" t="str">
        <f>IF($A93="","",SUMIFS(ORE!$F:$F,ORE!$B:$B,$B93,ORE!$E:$E,$C93))</f>
        <v/>
      </c>
      <c r="M93" s="33" t="str">
        <f>IF($A93="","",SUMIFS(PREVISIONE_ORE!$G:$G,PREVISIONE_ORE!$D:$D,$B93,PREVISIONE_ORE!$E:$E,$C93,PREVISIONE_ORE!$K:$K,"Sì"))</f>
        <v/>
      </c>
      <c r="N93" s="33" t="str">
        <f>IF($A93="","",IF(COUNTIFS(PREVISIONE_ORE!$D:$D,$B93,PREVISIONE_ORE!$E:$E,$C93,PREVISIONE_ORE!$K:$K,"Sì")&gt;0,$L93+$M93,MAX($L93,$F93)))</f>
        <v/>
      </c>
      <c r="O93" s="33" t="str">
        <f t="shared" si="19"/>
        <v/>
      </c>
      <c r="P93" s="34" t="str">
        <f t="shared" si="20"/>
        <v/>
      </c>
      <c r="Q93" s="34" t="str">
        <f t="shared" si="21"/>
        <v/>
      </c>
      <c r="R93" s="35" t="str">
        <f t="shared" si="22"/>
        <v/>
      </c>
      <c r="S93" s="36" t="str">
        <f t="shared" si="23"/>
        <v/>
      </c>
    </row>
    <row r="94" spans="1:19" x14ac:dyDescent="0.3">
      <c r="A94" s="42"/>
      <c r="B94" s="42"/>
      <c r="C94" s="42"/>
      <c r="D94" s="36" t="str">
        <f>IF($A94="","",IFERROR(INDEX(TEAM!$B:$B,MATCH($C94,TEAM!$A:$A,0)),""))</f>
        <v/>
      </c>
      <c r="E94" s="42"/>
      <c r="F94" s="48"/>
      <c r="G94" s="47" t="str">
        <f>IF($A94="","",IFERROR(INDEX(TEAM!$C:$C,MATCH($C94,TEAM!$A:$A,0)),0))</f>
        <v/>
      </c>
      <c r="H94" s="47" t="str">
        <f>IF($A94="","",IFERROR(INDEX(TEAM!$D:$D,MATCH($C94,TEAM!$A:$A,0)),0))</f>
        <v/>
      </c>
      <c r="I94" s="34" t="str">
        <f t="shared" si="16"/>
        <v/>
      </c>
      <c r="J94" s="34" t="str">
        <f t="shared" si="17"/>
        <v/>
      </c>
      <c r="K94" s="34" t="str">
        <f t="shared" si="18"/>
        <v/>
      </c>
      <c r="L94" s="33" t="str">
        <f>IF($A94="","",SUMIFS(ORE!$F:$F,ORE!$B:$B,$B94,ORE!$E:$E,$C94))</f>
        <v/>
      </c>
      <c r="M94" s="33" t="str">
        <f>IF($A94="","",SUMIFS(PREVISIONE_ORE!$G:$G,PREVISIONE_ORE!$D:$D,$B94,PREVISIONE_ORE!$E:$E,$C94,PREVISIONE_ORE!$K:$K,"Sì"))</f>
        <v/>
      </c>
      <c r="N94" s="33" t="str">
        <f>IF($A94="","",IF(COUNTIFS(PREVISIONE_ORE!$D:$D,$B94,PREVISIONE_ORE!$E:$E,$C94,PREVISIONE_ORE!$K:$K,"Sì")&gt;0,$L94+$M94,MAX($L94,$F94)))</f>
        <v/>
      </c>
      <c r="O94" s="33" t="str">
        <f t="shared" si="19"/>
        <v/>
      </c>
      <c r="P94" s="34" t="str">
        <f t="shared" si="20"/>
        <v/>
      </c>
      <c r="Q94" s="34" t="str">
        <f t="shared" si="21"/>
        <v/>
      </c>
      <c r="R94" s="35" t="str">
        <f t="shared" si="22"/>
        <v/>
      </c>
      <c r="S94" s="36" t="str">
        <f t="shared" si="23"/>
        <v/>
      </c>
    </row>
    <row r="95" spans="1:19" x14ac:dyDescent="0.3">
      <c r="A95" s="42"/>
      <c r="B95" s="42"/>
      <c r="C95" s="42"/>
      <c r="D95" s="36" t="str">
        <f>IF($A95="","",IFERROR(INDEX(TEAM!$B:$B,MATCH($C95,TEAM!$A:$A,0)),""))</f>
        <v/>
      </c>
      <c r="E95" s="42"/>
      <c r="F95" s="48"/>
      <c r="G95" s="47" t="str">
        <f>IF($A95="","",IFERROR(INDEX(TEAM!$C:$C,MATCH($C95,TEAM!$A:$A,0)),0))</f>
        <v/>
      </c>
      <c r="H95" s="47" t="str">
        <f>IF($A95="","",IFERROR(INDEX(TEAM!$D:$D,MATCH($C95,TEAM!$A:$A,0)),0))</f>
        <v/>
      </c>
      <c r="I95" s="34" t="str">
        <f t="shared" si="16"/>
        <v/>
      </c>
      <c r="J95" s="34" t="str">
        <f t="shared" si="17"/>
        <v/>
      </c>
      <c r="K95" s="34" t="str">
        <f t="shared" si="18"/>
        <v/>
      </c>
      <c r="L95" s="33" t="str">
        <f>IF($A95="","",SUMIFS(ORE!$F:$F,ORE!$B:$B,$B95,ORE!$E:$E,$C95))</f>
        <v/>
      </c>
      <c r="M95" s="33" t="str">
        <f>IF($A95="","",SUMIFS(PREVISIONE_ORE!$G:$G,PREVISIONE_ORE!$D:$D,$B95,PREVISIONE_ORE!$E:$E,$C95,PREVISIONE_ORE!$K:$K,"Sì"))</f>
        <v/>
      </c>
      <c r="N95" s="33" t="str">
        <f>IF($A95="","",IF(COUNTIFS(PREVISIONE_ORE!$D:$D,$B95,PREVISIONE_ORE!$E:$E,$C95,PREVISIONE_ORE!$K:$K,"Sì")&gt;0,$L95+$M95,MAX($L95,$F95)))</f>
        <v/>
      </c>
      <c r="O95" s="33" t="str">
        <f t="shared" si="19"/>
        <v/>
      </c>
      <c r="P95" s="34" t="str">
        <f t="shared" si="20"/>
        <v/>
      </c>
      <c r="Q95" s="34" t="str">
        <f t="shared" si="21"/>
        <v/>
      </c>
      <c r="R95" s="35" t="str">
        <f t="shared" si="22"/>
        <v/>
      </c>
      <c r="S95" s="36" t="str">
        <f t="shared" si="23"/>
        <v/>
      </c>
    </row>
    <row r="96" spans="1:19" x14ac:dyDescent="0.3">
      <c r="A96" s="42"/>
      <c r="B96" s="42"/>
      <c r="C96" s="42"/>
      <c r="D96" s="36" t="str">
        <f>IF($A96="","",IFERROR(INDEX(TEAM!$B:$B,MATCH($C96,TEAM!$A:$A,0)),""))</f>
        <v/>
      </c>
      <c r="E96" s="42"/>
      <c r="F96" s="48"/>
      <c r="G96" s="47" t="str">
        <f>IF($A96="","",IFERROR(INDEX(TEAM!$C:$C,MATCH($C96,TEAM!$A:$A,0)),0))</f>
        <v/>
      </c>
      <c r="H96" s="47" t="str">
        <f>IF($A96="","",IFERROR(INDEX(TEAM!$D:$D,MATCH($C96,TEAM!$A:$A,0)),0))</f>
        <v/>
      </c>
      <c r="I96" s="34" t="str">
        <f t="shared" si="16"/>
        <v/>
      </c>
      <c r="J96" s="34" t="str">
        <f t="shared" si="17"/>
        <v/>
      </c>
      <c r="K96" s="34" t="str">
        <f t="shared" si="18"/>
        <v/>
      </c>
      <c r="L96" s="33" t="str">
        <f>IF($A96="","",SUMIFS(ORE!$F:$F,ORE!$B:$B,$B96,ORE!$E:$E,$C96))</f>
        <v/>
      </c>
      <c r="M96" s="33" t="str">
        <f>IF($A96="","",SUMIFS(PREVISIONE_ORE!$G:$G,PREVISIONE_ORE!$D:$D,$B96,PREVISIONE_ORE!$E:$E,$C96,PREVISIONE_ORE!$K:$K,"Sì"))</f>
        <v/>
      </c>
      <c r="N96" s="33" t="str">
        <f>IF($A96="","",IF(COUNTIFS(PREVISIONE_ORE!$D:$D,$B96,PREVISIONE_ORE!$E:$E,$C96,PREVISIONE_ORE!$K:$K,"Sì")&gt;0,$L96+$M96,MAX($L96,$F96)))</f>
        <v/>
      </c>
      <c r="O96" s="33" t="str">
        <f t="shared" si="19"/>
        <v/>
      </c>
      <c r="P96" s="34" t="str">
        <f t="shared" si="20"/>
        <v/>
      </c>
      <c r="Q96" s="34" t="str">
        <f t="shared" si="21"/>
        <v/>
      </c>
      <c r="R96" s="35" t="str">
        <f t="shared" si="22"/>
        <v/>
      </c>
      <c r="S96" s="36" t="str">
        <f t="shared" si="23"/>
        <v/>
      </c>
    </row>
    <row r="97" spans="1:19" x14ac:dyDescent="0.3">
      <c r="A97" s="42"/>
      <c r="B97" s="42"/>
      <c r="C97" s="42"/>
      <c r="D97" s="36" t="str">
        <f>IF($A97="","",IFERROR(INDEX(TEAM!$B:$B,MATCH($C97,TEAM!$A:$A,0)),""))</f>
        <v/>
      </c>
      <c r="E97" s="42"/>
      <c r="F97" s="48"/>
      <c r="G97" s="47" t="str">
        <f>IF($A97="","",IFERROR(INDEX(TEAM!$C:$C,MATCH($C97,TEAM!$A:$A,0)),0))</f>
        <v/>
      </c>
      <c r="H97" s="47" t="str">
        <f>IF($A97="","",IFERROR(INDEX(TEAM!$D:$D,MATCH($C97,TEAM!$A:$A,0)),0))</f>
        <v/>
      </c>
      <c r="I97" s="34" t="str">
        <f t="shared" si="16"/>
        <v/>
      </c>
      <c r="J97" s="34" t="str">
        <f t="shared" si="17"/>
        <v/>
      </c>
      <c r="K97" s="34" t="str">
        <f t="shared" si="18"/>
        <v/>
      </c>
      <c r="L97" s="33" t="str">
        <f>IF($A97="","",SUMIFS(ORE!$F:$F,ORE!$B:$B,$B97,ORE!$E:$E,$C97))</f>
        <v/>
      </c>
      <c r="M97" s="33" t="str">
        <f>IF($A97="","",SUMIFS(PREVISIONE_ORE!$G:$G,PREVISIONE_ORE!$D:$D,$B97,PREVISIONE_ORE!$E:$E,$C97,PREVISIONE_ORE!$K:$K,"Sì"))</f>
        <v/>
      </c>
      <c r="N97" s="33" t="str">
        <f>IF($A97="","",IF(COUNTIFS(PREVISIONE_ORE!$D:$D,$B97,PREVISIONE_ORE!$E:$E,$C97,PREVISIONE_ORE!$K:$K,"Sì")&gt;0,$L97+$M97,MAX($L97,$F97)))</f>
        <v/>
      </c>
      <c r="O97" s="33" t="str">
        <f t="shared" si="19"/>
        <v/>
      </c>
      <c r="P97" s="34" t="str">
        <f t="shared" si="20"/>
        <v/>
      </c>
      <c r="Q97" s="34" t="str">
        <f t="shared" si="21"/>
        <v/>
      </c>
      <c r="R97" s="35" t="str">
        <f t="shared" si="22"/>
        <v/>
      </c>
      <c r="S97" s="36" t="str">
        <f t="shared" si="23"/>
        <v/>
      </c>
    </row>
    <row r="98" spans="1:19" x14ac:dyDescent="0.3">
      <c r="A98" s="42"/>
      <c r="B98" s="42"/>
      <c r="C98" s="42"/>
      <c r="D98" s="36" t="str">
        <f>IF($A98="","",IFERROR(INDEX(TEAM!$B:$B,MATCH($C98,TEAM!$A:$A,0)),""))</f>
        <v/>
      </c>
      <c r="E98" s="42"/>
      <c r="F98" s="48"/>
      <c r="G98" s="47" t="str">
        <f>IF($A98="","",IFERROR(INDEX(TEAM!$C:$C,MATCH($C98,TEAM!$A:$A,0)),0))</f>
        <v/>
      </c>
      <c r="H98" s="47" t="str">
        <f>IF($A98="","",IFERROR(INDEX(TEAM!$D:$D,MATCH($C98,TEAM!$A:$A,0)),0))</f>
        <v/>
      </c>
      <c r="I98" s="34" t="str">
        <f t="shared" ref="I98:I129" si="24">IF($A98="","",$F98*$H98)</f>
        <v/>
      </c>
      <c r="J98" s="34" t="str">
        <f t="shared" ref="J98:J129" si="25">IF($A98="","",$F98*$G98)</f>
        <v/>
      </c>
      <c r="K98" s="34" t="str">
        <f t="shared" ref="K98:K129" si="26">IF($A98="","",$I98-$J98)</f>
        <v/>
      </c>
      <c r="L98" s="33" t="str">
        <f>IF($A98="","",SUMIFS(ORE!$F:$F,ORE!$B:$B,$B98,ORE!$E:$E,$C98))</f>
        <v/>
      </c>
      <c r="M98" s="33" t="str">
        <f>IF($A98="","",SUMIFS(PREVISIONE_ORE!$G:$G,PREVISIONE_ORE!$D:$D,$B98,PREVISIONE_ORE!$E:$E,$C98,PREVISIONE_ORE!$K:$K,"Sì"))</f>
        <v/>
      </c>
      <c r="N98" s="33" t="str">
        <f>IF($A98="","",IF(COUNTIFS(PREVISIONE_ORE!$D:$D,$B98,PREVISIONE_ORE!$E:$E,$C98,PREVISIONE_ORE!$K:$K,"Sì")&gt;0,$L98+$M98,MAX($L98,$F98)))</f>
        <v/>
      </c>
      <c r="O98" s="33" t="str">
        <f t="shared" ref="O98:O129" si="27">IF($A98="","",$N98-$F98)</f>
        <v/>
      </c>
      <c r="P98" s="34" t="str">
        <f t="shared" ref="P98:P129" si="28">IF($A98="","",$N98*$G98)</f>
        <v/>
      </c>
      <c r="Q98" s="34" t="str">
        <f t="shared" ref="Q98:Q129" si="29">IF($A98="","",$N98*$H98)</f>
        <v/>
      </c>
      <c r="R98" s="35" t="str">
        <f t="shared" ref="R98:R129" si="30">IF($A98="","",IFERROR($L98/$F98,0))</f>
        <v/>
      </c>
      <c r="S98" s="36" t="str">
        <f t="shared" ref="S98:S129" si="31">IF($A98="","",IF($O98&gt;$F98*0.15,"SFORAMENTO OLTRE 15%",IF($O98&gt;0,"SOPRA LA STIMA",IF($R98&gt;ALLERTA_ORE,"CONSUMO ELEVATO","OK"))))</f>
        <v/>
      </c>
    </row>
    <row r="99" spans="1:19" x14ac:dyDescent="0.3">
      <c r="A99" s="42"/>
      <c r="B99" s="42"/>
      <c r="C99" s="42"/>
      <c r="D99" s="36" t="str">
        <f>IF($A99="","",IFERROR(INDEX(TEAM!$B:$B,MATCH($C99,TEAM!$A:$A,0)),""))</f>
        <v/>
      </c>
      <c r="E99" s="42"/>
      <c r="F99" s="48"/>
      <c r="G99" s="47" t="str">
        <f>IF($A99="","",IFERROR(INDEX(TEAM!$C:$C,MATCH($C99,TEAM!$A:$A,0)),0))</f>
        <v/>
      </c>
      <c r="H99" s="47" t="str">
        <f>IF($A99="","",IFERROR(INDEX(TEAM!$D:$D,MATCH($C99,TEAM!$A:$A,0)),0))</f>
        <v/>
      </c>
      <c r="I99" s="34" t="str">
        <f t="shared" si="24"/>
        <v/>
      </c>
      <c r="J99" s="34" t="str">
        <f t="shared" si="25"/>
        <v/>
      </c>
      <c r="K99" s="34" t="str">
        <f t="shared" si="26"/>
        <v/>
      </c>
      <c r="L99" s="33" t="str">
        <f>IF($A99="","",SUMIFS(ORE!$F:$F,ORE!$B:$B,$B99,ORE!$E:$E,$C99))</f>
        <v/>
      </c>
      <c r="M99" s="33" t="str">
        <f>IF($A99="","",SUMIFS(PREVISIONE_ORE!$G:$G,PREVISIONE_ORE!$D:$D,$B99,PREVISIONE_ORE!$E:$E,$C99,PREVISIONE_ORE!$K:$K,"Sì"))</f>
        <v/>
      </c>
      <c r="N99" s="33" t="str">
        <f>IF($A99="","",IF(COUNTIFS(PREVISIONE_ORE!$D:$D,$B99,PREVISIONE_ORE!$E:$E,$C99,PREVISIONE_ORE!$K:$K,"Sì")&gt;0,$L99+$M99,MAX($L99,$F99)))</f>
        <v/>
      </c>
      <c r="O99" s="33" t="str">
        <f t="shared" si="27"/>
        <v/>
      </c>
      <c r="P99" s="34" t="str">
        <f t="shared" si="28"/>
        <v/>
      </c>
      <c r="Q99" s="34" t="str">
        <f t="shared" si="29"/>
        <v/>
      </c>
      <c r="R99" s="35" t="str">
        <f t="shared" si="30"/>
        <v/>
      </c>
      <c r="S99" s="36" t="str">
        <f t="shared" si="31"/>
        <v/>
      </c>
    </row>
    <row r="100" spans="1:19" x14ac:dyDescent="0.3">
      <c r="A100" s="42"/>
      <c r="B100" s="42"/>
      <c r="C100" s="42"/>
      <c r="D100" s="36" t="str">
        <f>IF($A100="","",IFERROR(INDEX(TEAM!$B:$B,MATCH($C100,TEAM!$A:$A,0)),""))</f>
        <v/>
      </c>
      <c r="E100" s="42"/>
      <c r="F100" s="48"/>
      <c r="G100" s="47" t="str">
        <f>IF($A100="","",IFERROR(INDEX(TEAM!$C:$C,MATCH($C100,TEAM!$A:$A,0)),0))</f>
        <v/>
      </c>
      <c r="H100" s="47" t="str">
        <f>IF($A100="","",IFERROR(INDEX(TEAM!$D:$D,MATCH($C100,TEAM!$A:$A,0)),0))</f>
        <v/>
      </c>
      <c r="I100" s="34" t="str">
        <f t="shared" si="24"/>
        <v/>
      </c>
      <c r="J100" s="34" t="str">
        <f t="shared" si="25"/>
        <v/>
      </c>
      <c r="K100" s="34" t="str">
        <f t="shared" si="26"/>
        <v/>
      </c>
      <c r="L100" s="33" t="str">
        <f>IF($A100="","",SUMIFS(ORE!$F:$F,ORE!$B:$B,$B100,ORE!$E:$E,$C100))</f>
        <v/>
      </c>
      <c r="M100" s="33" t="str">
        <f>IF($A100="","",SUMIFS(PREVISIONE_ORE!$G:$G,PREVISIONE_ORE!$D:$D,$B100,PREVISIONE_ORE!$E:$E,$C100,PREVISIONE_ORE!$K:$K,"Sì"))</f>
        <v/>
      </c>
      <c r="N100" s="33" t="str">
        <f>IF($A100="","",IF(COUNTIFS(PREVISIONE_ORE!$D:$D,$B100,PREVISIONE_ORE!$E:$E,$C100,PREVISIONE_ORE!$K:$K,"Sì")&gt;0,$L100+$M100,MAX($L100,$F100)))</f>
        <v/>
      </c>
      <c r="O100" s="33" t="str">
        <f t="shared" si="27"/>
        <v/>
      </c>
      <c r="P100" s="34" t="str">
        <f t="shared" si="28"/>
        <v/>
      </c>
      <c r="Q100" s="34" t="str">
        <f t="shared" si="29"/>
        <v/>
      </c>
      <c r="R100" s="35" t="str">
        <f t="shared" si="30"/>
        <v/>
      </c>
      <c r="S100" s="36" t="str">
        <f t="shared" si="31"/>
        <v/>
      </c>
    </row>
    <row r="101" spans="1:19" x14ac:dyDescent="0.3">
      <c r="A101" s="42"/>
      <c r="B101" s="42"/>
      <c r="C101" s="42"/>
      <c r="D101" s="36" t="str">
        <f>IF($A101="","",IFERROR(INDEX(TEAM!$B:$B,MATCH($C101,TEAM!$A:$A,0)),""))</f>
        <v/>
      </c>
      <c r="E101" s="42"/>
      <c r="F101" s="48"/>
      <c r="G101" s="47" t="str">
        <f>IF($A101="","",IFERROR(INDEX(TEAM!$C:$C,MATCH($C101,TEAM!$A:$A,0)),0))</f>
        <v/>
      </c>
      <c r="H101" s="47" t="str">
        <f>IF($A101="","",IFERROR(INDEX(TEAM!$D:$D,MATCH($C101,TEAM!$A:$A,0)),0))</f>
        <v/>
      </c>
      <c r="I101" s="34" t="str">
        <f t="shared" si="24"/>
        <v/>
      </c>
      <c r="J101" s="34" t="str">
        <f t="shared" si="25"/>
        <v/>
      </c>
      <c r="K101" s="34" t="str">
        <f t="shared" si="26"/>
        <v/>
      </c>
      <c r="L101" s="33" t="str">
        <f>IF($A101="","",SUMIFS(ORE!$F:$F,ORE!$B:$B,$B101,ORE!$E:$E,$C101))</f>
        <v/>
      </c>
      <c r="M101" s="33" t="str">
        <f>IF($A101="","",SUMIFS(PREVISIONE_ORE!$G:$G,PREVISIONE_ORE!$D:$D,$B101,PREVISIONE_ORE!$E:$E,$C101,PREVISIONE_ORE!$K:$K,"Sì"))</f>
        <v/>
      </c>
      <c r="N101" s="33" t="str">
        <f>IF($A101="","",IF(COUNTIFS(PREVISIONE_ORE!$D:$D,$B101,PREVISIONE_ORE!$E:$E,$C101,PREVISIONE_ORE!$K:$K,"Sì")&gt;0,$L101+$M101,MAX($L101,$F101)))</f>
        <v/>
      </c>
      <c r="O101" s="33" t="str">
        <f t="shared" si="27"/>
        <v/>
      </c>
      <c r="P101" s="34" t="str">
        <f t="shared" si="28"/>
        <v/>
      </c>
      <c r="Q101" s="34" t="str">
        <f t="shared" si="29"/>
        <v/>
      </c>
      <c r="R101" s="35" t="str">
        <f t="shared" si="30"/>
        <v/>
      </c>
      <c r="S101" s="36" t="str">
        <f t="shared" si="31"/>
        <v/>
      </c>
    </row>
    <row r="102" spans="1:19" x14ac:dyDescent="0.3">
      <c r="A102" s="42"/>
      <c r="B102" s="42"/>
      <c r="C102" s="42"/>
      <c r="D102" s="36" t="str">
        <f>IF($A102="","",IFERROR(INDEX(TEAM!$B:$B,MATCH($C102,TEAM!$A:$A,0)),""))</f>
        <v/>
      </c>
      <c r="E102" s="42"/>
      <c r="F102" s="48"/>
      <c r="G102" s="47" t="str">
        <f>IF($A102="","",IFERROR(INDEX(TEAM!$C:$C,MATCH($C102,TEAM!$A:$A,0)),0))</f>
        <v/>
      </c>
      <c r="H102" s="47" t="str">
        <f>IF($A102="","",IFERROR(INDEX(TEAM!$D:$D,MATCH($C102,TEAM!$A:$A,0)),0))</f>
        <v/>
      </c>
      <c r="I102" s="34" t="str">
        <f t="shared" si="24"/>
        <v/>
      </c>
      <c r="J102" s="34" t="str">
        <f t="shared" si="25"/>
        <v/>
      </c>
      <c r="K102" s="34" t="str">
        <f t="shared" si="26"/>
        <v/>
      </c>
      <c r="L102" s="33" t="str">
        <f>IF($A102="","",SUMIFS(ORE!$F:$F,ORE!$B:$B,$B102,ORE!$E:$E,$C102))</f>
        <v/>
      </c>
      <c r="M102" s="33" t="str">
        <f>IF($A102="","",SUMIFS(PREVISIONE_ORE!$G:$G,PREVISIONE_ORE!$D:$D,$B102,PREVISIONE_ORE!$E:$E,$C102,PREVISIONE_ORE!$K:$K,"Sì"))</f>
        <v/>
      </c>
      <c r="N102" s="33" t="str">
        <f>IF($A102="","",IF(COUNTIFS(PREVISIONE_ORE!$D:$D,$B102,PREVISIONE_ORE!$E:$E,$C102,PREVISIONE_ORE!$K:$K,"Sì")&gt;0,$L102+$M102,MAX($L102,$F102)))</f>
        <v/>
      </c>
      <c r="O102" s="33" t="str">
        <f t="shared" si="27"/>
        <v/>
      </c>
      <c r="P102" s="34" t="str">
        <f t="shared" si="28"/>
        <v/>
      </c>
      <c r="Q102" s="34" t="str">
        <f t="shared" si="29"/>
        <v/>
      </c>
      <c r="R102" s="35" t="str">
        <f t="shared" si="30"/>
        <v/>
      </c>
      <c r="S102" s="36" t="str">
        <f t="shared" si="31"/>
        <v/>
      </c>
    </row>
    <row r="103" spans="1:19" x14ac:dyDescent="0.3">
      <c r="A103" s="42"/>
      <c r="B103" s="42"/>
      <c r="C103" s="42"/>
      <c r="D103" s="36" t="str">
        <f>IF($A103="","",IFERROR(INDEX(TEAM!$B:$B,MATCH($C103,TEAM!$A:$A,0)),""))</f>
        <v/>
      </c>
      <c r="E103" s="42"/>
      <c r="F103" s="48"/>
      <c r="G103" s="47" t="str">
        <f>IF($A103="","",IFERROR(INDEX(TEAM!$C:$C,MATCH($C103,TEAM!$A:$A,0)),0))</f>
        <v/>
      </c>
      <c r="H103" s="47" t="str">
        <f>IF($A103="","",IFERROR(INDEX(TEAM!$D:$D,MATCH($C103,TEAM!$A:$A,0)),0))</f>
        <v/>
      </c>
      <c r="I103" s="34" t="str">
        <f t="shared" si="24"/>
        <v/>
      </c>
      <c r="J103" s="34" t="str">
        <f t="shared" si="25"/>
        <v/>
      </c>
      <c r="K103" s="34" t="str">
        <f t="shared" si="26"/>
        <v/>
      </c>
      <c r="L103" s="33" t="str">
        <f>IF($A103="","",SUMIFS(ORE!$F:$F,ORE!$B:$B,$B103,ORE!$E:$E,$C103))</f>
        <v/>
      </c>
      <c r="M103" s="33" t="str">
        <f>IF($A103="","",SUMIFS(PREVISIONE_ORE!$G:$G,PREVISIONE_ORE!$D:$D,$B103,PREVISIONE_ORE!$E:$E,$C103,PREVISIONE_ORE!$K:$K,"Sì"))</f>
        <v/>
      </c>
      <c r="N103" s="33" t="str">
        <f>IF($A103="","",IF(COUNTIFS(PREVISIONE_ORE!$D:$D,$B103,PREVISIONE_ORE!$E:$E,$C103,PREVISIONE_ORE!$K:$K,"Sì")&gt;0,$L103+$M103,MAX($L103,$F103)))</f>
        <v/>
      </c>
      <c r="O103" s="33" t="str">
        <f t="shared" si="27"/>
        <v/>
      </c>
      <c r="P103" s="34" t="str">
        <f t="shared" si="28"/>
        <v/>
      </c>
      <c r="Q103" s="34" t="str">
        <f t="shared" si="29"/>
        <v/>
      </c>
      <c r="R103" s="35" t="str">
        <f t="shared" si="30"/>
        <v/>
      </c>
      <c r="S103" s="36" t="str">
        <f t="shared" si="31"/>
        <v/>
      </c>
    </row>
    <row r="104" spans="1:19" x14ac:dyDescent="0.3">
      <c r="A104" s="42"/>
      <c r="B104" s="42"/>
      <c r="C104" s="42"/>
      <c r="D104" s="36" t="str">
        <f>IF($A104="","",IFERROR(INDEX(TEAM!$B:$B,MATCH($C104,TEAM!$A:$A,0)),""))</f>
        <v/>
      </c>
      <c r="E104" s="42"/>
      <c r="F104" s="48"/>
      <c r="G104" s="47" t="str">
        <f>IF($A104="","",IFERROR(INDEX(TEAM!$C:$C,MATCH($C104,TEAM!$A:$A,0)),0))</f>
        <v/>
      </c>
      <c r="H104" s="47" t="str">
        <f>IF($A104="","",IFERROR(INDEX(TEAM!$D:$D,MATCH($C104,TEAM!$A:$A,0)),0))</f>
        <v/>
      </c>
      <c r="I104" s="34" t="str">
        <f t="shared" si="24"/>
        <v/>
      </c>
      <c r="J104" s="34" t="str">
        <f t="shared" si="25"/>
        <v/>
      </c>
      <c r="K104" s="34" t="str">
        <f t="shared" si="26"/>
        <v/>
      </c>
      <c r="L104" s="33" t="str">
        <f>IF($A104="","",SUMIFS(ORE!$F:$F,ORE!$B:$B,$B104,ORE!$E:$E,$C104))</f>
        <v/>
      </c>
      <c r="M104" s="33" t="str">
        <f>IF($A104="","",SUMIFS(PREVISIONE_ORE!$G:$G,PREVISIONE_ORE!$D:$D,$B104,PREVISIONE_ORE!$E:$E,$C104,PREVISIONE_ORE!$K:$K,"Sì"))</f>
        <v/>
      </c>
      <c r="N104" s="33" t="str">
        <f>IF($A104="","",IF(COUNTIFS(PREVISIONE_ORE!$D:$D,$B104,PREVISIONE_ORE!$E:$E,$C104,PREVISIONE_ORE!$K:$K,"Sì")&gt;0,$L104+$M104,MAX($L104,$F104)))</f>
        <v/>
      </c>
      <c r="O104" s="33" t="str">
        <f t="shared" si="27"/>
        <v/>
      </c>
      <c r="P104" s="34" t="str">
        <f t="shared" si="28"/>
        <v/>
      </c>
      <c r="Q104" s="34" t="str">
        <f t="shared" si="29"/>
        <v/>
      </c>
      <c r="R104" s="35" t="str">
        <f t="shared" si="30"/>
        <v/>
      </c>
      <c r="S104" s="36" t="str">
        <f t="shared" si="31"/>
        <v/>
      </c>
    </row>
    <row r="105" spans="1:19" x14ac:dyDescent="0.3">
      <c r="A105" s="42"/>
      <c r="B105" s="42"/>
      <c r="C105" s="42"/>
      <c r="D105" s="36" t="str">
        <f>IF($A105="","",IFERROR(INDEX(TEAM!$B:$B,MATCH($C105,TEAM!$A:$A,0)),""))</f>
        <v/>
      </c>
      <c r="E105" s="42"/>
      <c r="F105" s="48"/>
      <c r="G105" s="47" t="str">
        <f>IF($A105="","",IFERROR(INDEX(TEAM!$C:$C,MATCH($C105,TEAM!$A:$A,0)),0))</f>
        <v/>
      </c>
      <c r="H105" s="47" t="str">
        <f>IF($A105="","",IFERROR(INDEX(TEAM!$D:$D,MATCH($C105,TEAM!$A:$A,0)),0))</f>
        <v/>
      </c>
      <c r="I105" s="34" t="str">
        <f t="shared" si="24"/>
        <v/>
      </c>
      <c r="J105" s="34" t="str">
        <f t="shared" si="25"/>
        <v/>
      </c>
      <c r="K105" s="34" t="str">
        <f t="shared" si="26"/>
        <v/>
      </c>
      <c r="L105" s="33" t="str">
        <f>IF($A105="","",SUMIFS(ORE!$F:$F,ORE!$B:$B,$B105,ORE!$E:$E,$C105))</f>
        <v/>
      </c>
      <c r="M105" s="33" t="str">
        <f>IF($A105="","",SUMIFS(PREVISIONE_ORE!$G:$G,PREVISIONE_ORE!$D:$D,$B105,PREVISIONE_ORE!$E:$E,$C105,PREVISIONE_ORE!$K:$K,"Sì"))</f>
        <v/>
      </c>
      <c r="N105" s="33" t="str">
        <f>IF($A105="","",IF(COUNTIFS(PREVISIONE_ORE!$D:$D,$B105,PREVISIONE_ORE!$E:$E,$C105,PREVISIONE_ORE!$K:$K,"Sì")&gt;0,$L105+$M105,MAX($L105,$F105)))</f>
        <v/>
      </c>
      <c r="O105" s="33" t="str">
        <f t="shared" si="27"/>
        <v/>
      </c>
      <c r="P105" s="34" t="str">
        <f t="shared" si="28"/>
        <v/>
      </c>
      <c r="Q105" s="34" t="str">
        <f t="shared" si="29"/>
        <v/>
      </c>
      <c r="R105" s="35" t="str">
        <f t="shared" si="30"/>
        <v/>
      </c>
      <c r="S105" s="36" t="str">
        <f t="shared" si="31"/>
        <v/>
      </c>
    </row>
    <row r="106" spans="1:19" x14ac:dyDescent="0.3">
      <c r="A106" s="42"/>
      <c r="B106" s="42"/>
      <c r="C106" s="42"/>
      <c r="D106" s="36" t="str">
        <f>IF($A106="","",IFERROR(INDEX(TEAM!$B:$B,MATCH($C106,TEAM!$A:$A,0)),""))</f>
        <v/>
      </c>
      <c r="E106" s="42"/>
      <c r="F106" s="48"/>
      <c r="G106" s="47" t="str">
        <f>IF($A106="","",IFERROR(INDEX(TEAM!$C:$C,MATCH($C106,TEAM!$A:$A,0)),0))</f>
        <v/>
      </c>
      <c r="H106" s="47" t="str">
        <f>IF($A106="","",IFERROR(INDEX(TEAM!$D:$D,MATCH($C106,TEAM!$A:$A,0)),0))</f>
        <v/>
      </c>
      <c r="I106" s="34" t="str">
        <f t="shared" si="24"/>
        <v/>
      </c>
      <c r="J106" s="34" t="str">
        <f t="shared" si="25"/>
        <v/>
      </c>
      <c r="K106" s="34" t="str">
        <f t="shared" si="26"/>
        <v/>
      </c>
      <c r="L106" s="33" t="str">
        <f>IF($A106="","",SUMIFS(ORE!$F:$F,ORE!$B:$B,$B106,ORE!$E:$E,$C106))</f>
        <v/>
      </c>
      <c r="M106" s="33" t="str">
        <f>IF($A106="","",SUMIFS(PREVISIONE_ORE!$G:$G,PREVISIONE_ORE!$D:$D,$B106,PREVISIONE_ORE!$E:$E,$C106,PREVISIONE_ORE!$K:$K,"Sì"))</f>
        <v/>
      </c>
      <c r="N106" s="33" t="str">
        <f>IF($A106="","",IF(COUNTIFS(PREVISIONE_ORE!$D:$D,$B106,PREVISIONE_ORE!$E:$E,$C106,PREVISIONE_ORE!$K:$K,"Sì")&gt;0,$L106+$M106,MAX($L106,$F106)))</f>
        <v/>
      </c>
      <c r="O106" s="33" t="str">
        <f t="shared" si="27"/>
        <v/>
      </c>
      <c r="P106" s="34" t="str">
        <f t="shared" si="28"/>
        <v/>
      </c>
      <c r="Q106" s="34" t="str">
        <f t="shared" si="29"/>
        <v/>
      </c>
      <c r="R106" s="35" t="str">
        <f t="shared" si="30"/>
        <v/>
      </c>
      <c r="S106" s="36" t="str">
        <f t="shared" si="31"/>
        <v/>
      </c>
    </row>
    <row r="107" spans="1:19" x14ac:dyDescent="0.3">
      <c r="A107" s="42"/>
      <c r="B107" s="42"/>
      <c r="C107" s="42"/>
      <c r="D107" s="36" t="str">
        <f>IF($A107="","",IFERROR(INDEX(TEAM!$B:$B,MATCH($C107,TEAM!$A:$A,0)),""))</f>
        <v/>
      </c>
      <c r="E107" s="42"/>
      <c r="F107" s="48"/>
      <c r="G107" s="47" t="str">
        <f>IF($A107="","",IFERROR(INDEX(TEAM!$C:$C,MATCH($C107,TEAM!$A:$A,0)),0))</f>
        <v/>
      </c>
      <c r="H107" s="47" t="str">
        <f>IF($A107="","",IFERROR(INDEX(TEAM!$D:$D,MATCH($C107,TEAM!$A:$A,0)),0))</f>
        <v/>
      </c>
      <c r="I107" s="34" t="str">
        <f t="shared" si="24"/>
        <v/>
      </c>
      <c r="J107" s="34" t="str">
        <f t="shared" si="25"/>
        <v/>
      </c>
      <c r="K107" s="34" t="str">
        <f t="shared" si="26"/>
        <v/>
      </c>
      <c r="L107" s="33" t="str">
        <f>IF($A107="","",SUMIFS(ORE!$F:$F,ORE!$B:$B,$B107,ORE!$E:$E,$C107))</f>
        <v/>
      </c>
      <c r="M107" s="33" t="str">
        <f>IF($A107="","",SUMIFS(PREVISIONE_ORE!$G:$G,PREVISIONE_ORE!$D:$D,$B107,PREVISIONE_ORE!$E:$E,$C107,PREVISIONE_ORE!$K:$K,"Sì"))</f>
        <v/>
      </c>
      <c r="N107" s="33" t="str">
        <f>IF($A107="","",IF(COUNTIFS(PREVISIONE_ORE!$D:$D,$B107,PREVISIONE_ORE!$E:$E,$C107,PREVISIONE_ORE!$K:$K,"Sì")&gt;0,$L107+$M107,MAX($L107,$F107)))</f>
        <v/>
      </c>
      <c r="O107" s="33" t="str">
        <f t="shared" si="27"/>
        <v/>
      </c>
      <c r="P107" s="34" t="str">
        <f t="shared" si="28"/>
        <v/>
      </c>
      <c r="Q107" s="34" t="str">
        <f t="shared" si="29"/>
        <v/>
      </c>
      <c r="R107" s="35" t="str">
        <f t="shared" si="30"/>
        <v/>
      </c>
      <c r="S107" s="36" t="str">
        <f t="shared" si="31"/>
        <v/>
      </c>
    </row>
    <row r="108" spans="1:19" x14ac:dyDescent="0.3">
      <c r="A108" s="42"/>
      <c r="B108" s="42"/>
      <c r="C108" s="42"/>
      <c r="D108" s="36" t="str">
        <f>IF($A108="","",IFERROR(INDEX(TEAM!$B:$B,MATCH($C108,TEAM!$A:$A,0)),""))</f>
        <v/>
      </c>
      <c r="E108" s="42"/>
      <c r="F108" s="48"/>
      <c r="G108" s="47" t="str">
        <f>IF($A108="","",IFERROR(INDEX(TEAM!$C:$C,MATCH($C108,TEAM!$A:$A,0)),0))</f>
        <v/>
      </c>
      <c r="H108" s="47" t="str">
        <f>IF($A108="","",IFERROR(INDEX(TEAM!$D:$D,MATCH($C108,TEAM!$A:$A,0)),0))</f>
        <v/>
      </c>
      <c r="I108" s="34" t="str">
        <f t="shared" si="24"/>
        <v/>
      </c>
      <c r="J108" s="34" t="str">
        <f t="shared" si="25"/>
        <v/>
      </c>
      <c r="K108" s="34" t="str">
        <f t="shared" si="26"/>
        <v/>
      </c>
      <c r="L108" s="33" t="str">
        <f>IF($A108="","",SUMIFS(ORE!$F:$F,ORE!$B:$B,$B108,ORE!$E:$E,$C108))</f>
        <v/>
      </c>
      <c r="M108" s="33" t="str">
        <f>IF($A108="","",SUMIFS(PREVISIONE_ORE!$G:$G,PREVISIONE_ORE!$D:$D,$B108,PREVISIONE_ORE!$E:$E,$C108,PREVISIONE_ORE!$K:$K,"Sì"))</f>
        <v/>
      </c>
      <c r="N108" s="33" t="str">
        <f>IF($A108="","",IF(COUNTIFS(PREVISIONE_ORE!$D:$D,$B108,PREVISIONE_ORE!$E:$E,$C108,PREVISIONE_ORE!$K:$K,"Sì")&gt;0,$L108+$M108,MAX($L108,$F108)))</f>
        <v/>
      </c>
      <c r="O108" s="33" t="str">
        <f t="shared" si="27"/>
        <v/>
      </c>
      <c r="P108" s="34" t="str">
        <f t="shared" si="28"/>
        <v/>
      </c>
      <c r="Q108" s="34" t="str">
        <f t="shared" si="29"/>
        <v/>
      </c>
      <c r="R108" s="35" t="str">
        <f t="shared" si="30"/>
        <v/>
      </c>
      <c r="S108" s="36" t="str">
        <f t="shared" si="31"/>
        <v/>
      </c>
    </row>
    <row r="109" spans="1:19" x14ac:dyDescent="0.3">
      <c r="A109" s="42"/>
      <c r="B109" s="42"/>
      <c r="C109" s="42"/>
      <c r="D109" s="36" t="str">
        <f>IF($A109="","",IFERROR(INDEX(TEAM!$B:$B,MATCH($C109,TEAM!$A:$A,0)),""))</f>
        <v/>
      </c>
      <c r="E109" s="42"/>
      <c r="F109" s="48"/>
      <c r="G109" s="47" t="str">
        <f>IF($A109="","",IFERROR(INDEX(TEAM!$C:$C,MATCH($C109,TEAM!$A:$A,0)),0))</f>
        <v/>
      </c>
      <c r="H109" s="47" t="str">
        <f>IF($A109="","",IFERROR(INDEX(TEAM!$D:$D,MATCH($C109,TEAM!$A:$A,0)),0))</f>
        <v/>
      </c>
      <c r="I109" s="34" t="str">
        <f t="shared" si="24"/>
        <v/>
      </c>
      <c r="J109" s="34" t="str">
        <f t="shared" si="25"/>
        <v/>
      </c>
      <c r="K109" s="34" t="str">
        <f t="shared" si="26"/>
        <v/>
      </c>
      <c r="L109" s="33" t="str">
        <f>IF($A109="","",SUMIFS(ORE!$F:$F,ORE!$B:$B,$B109,ORE!$E:$E,$C109))</f>
        <v/>
      </c>
      <c r="M109" s="33" t="str">
        <f>IF($A109="","",SUMIFS(PREVISIONE_ORE!$G:$G,PREVISIONE_ORE!$D:$D,$B109,PREVISIONE_ORE!$E:$E,$C109,PREVISIONE_ORE!$K:$K,"Sì"))</f>
        <v/>
      </c>
      <c r="N109" s="33" t="str">
        <f>IF($A109="","",IF(COUNTIFS(PREVISIONE_ORE!$D:$D,$B109,PREVISIONE_ORE!$E:$E,$C109,PREVISIONE_ORE!$K:$K,"Sì")&gt;0,$L109+$M109,MAX($L109,$F109)))</f>
        <v/>
      </c>
      <c r="O109" s="33" t="str">
        <f t="shared" si="27"/>
        <v/>
      </c>
      <c r="P109" s="34" t="str">
        <f t="shared" si="28"/>
        <v/>
      </c>
      <c r="Q109" s="34" t="str">
        <f t="shared" si="29"/>
        <v/>
      </c>
      <c r="R109" s="35" t="str">
        <f t="shared" si="30"/>
        <v/>
      </c>
      <c r="S109" s="36" t="str">
        <f t="shared" si="31"/>
        <v/>
      </c>
    </row>
    <row r="110" spans="1:19" x14ac:dyDescent="0.3">
      <c r="A110" s="42"/>
      <c r="B110" s="42"/>
      <c r="C110" s="42"/>
      <c r="D110" s="36" t="str">
        <f>IF($A110="","",IFERROR(INDEX(TEAM!$B:$B,MATCH($C110,TEAM!$A:$A,0)),""))</f>
        <v/>
      </c>
      <c r="E110" s="42"/>
      <c r="F110" s="48"/>
      <c r="G110" s="47" t="str">
        <f>IF($A110="","",IFERROR(INDEX(TEAM!$C:$C,MATCH($C110,TEAM!$A:$A,0)),0))</f>
        <v/>
      </c>
      <c r="H110" s="47" t="str">
        <f>IF($A110="","",IFERROR(INDEX(TEAM!$D:$D,MATCH($C110,TEAM!$A:$A,0)),0))</f>
        <v/>
      </c>
      <c r="I110" s="34" t="str">
        <f t="shared" si="24"/>
        <v/>
      </c>
      <c r="J110" s="34" t="str">
        <f t="shared" si="25"/>
        <v/>
      </c>
      <c r="K110" s="34" t="str">
        <f t="shared" si="26"/>
        <v/>
      </c>
      <c r="L110" s="33" t="str">
        <f>IF($A110="","",SUMIFS(ORE!$F:$F,ORE!$B:$B,$B110,ORE!$E:$E,$C110))</f>
        <v/>
      </c>
      <c r="M110" s="33" t="str">
        <f>IF($A110="","",SUMIFS(PREVISIONE_ORE!$G:$G,PREVISIONE_ORE!$D:$D,$B110,PREVISIONE_ORE!$E:$E,$C110,PREVISIONE_ORE!$K:$K,"Sì"))</f>
        <v/>
      </c>
      <c r="N110" s="33" t="str">
        <f>IF($A110="","",IF(COUNTIFS(PREVISIONE_ORE!$D:$D,$B110,PREVISIONE_ORE!$E:$E,$C110,PREVISIONE_ORE!$K:$K,"Sì")&gt;0,$L110+$M110,MAX($L110,$F110)))</f>
        <v/>
      </c>
      <c r="O110" s="33" t="str">
        <f t="shared" si="27"/>
        <v/>
      </c>
      <c r="P110" s="34" t="str">
        <f t="shared" si="28"/>
        <v/>
      </c>
      <c r="Q110" s="34" t="str">
        <f t="shared" si="29"/>
        <v/>
      </c>
      <c r="R110" s="35" t="str">
        <f t="shared" si="30"/>
        <v/>
      </c>
      <c r="S110" s="36" t="str">
        <f t="shared" si="31"/>
        <v/>
      </c>
    </row>
    <row r="111" spans="1:19" x14ac:dyDescent="0.3">
      <c r="A111" s="42"/>
      <c r="B111" s="42"/>
      <c r="C111" s="42"/>
      <c r="D111" s="36" t="str">
        <f>IF($A111="","",IFERROR(INDEX(TEAM!$B:$B,MATCH($C111,TEAM!$A:$A,0)),""))</f>
        <v/>
      </c>
      <c r="E111" s="42"/>
      <c r="F111" s="48"/>
      <c r="G111" s="47" t="str">
        <f>IF($A111="","",IFERROR(INDEX(TEAM!$C:$C,MATCH($C111,TEAM!$A:$A,0)),0))</f>
        <v/>
      </c>
      <c r="H111" s="47" t="str">
        <f>IF($A111="","",IFERROR(INDEX(TEAM!$D:$D,MATCH($C111,TEAM!$A:$A,0)),0))</f>
        <v/>
      </c>
      <c r="I111" s="34" t="str">
        <f t="shared" si="24"/>
        <v/>
      </c>
      <c r="J111" s="34" t="str">
        <f t="shared" si="25"/>
        <v/>
      </c>
      <c r="K111" s="34" t="str">
        <f t="shared" si="26"/>
        <v/>
      </c>
      <c r="L111" s="33" t="str">
        <f>IF($A111="","",SUMIFS(ORE!$F:$F,ORE!$B:$B,$B111,ORE!$E:$E,$C111))</f>
        <v/>
      </c>
      <c r="M111" s="33" t="str">
        <f>IF($A111="","",SUMIFS(PREVISIONE_ORE!$G:$G,PREVISIONE_ORE!$D:$D,$B111,PREVISIONE_ORE!$E:$E,$C111,PREVISIONE_ORE!$K:$K,"Sì"))</f>
        <v/>
      </c>
      <c r="N111" s="33" t="str">
        <f>IF($A111="","",IF(COUNTIFS(PREVISIONE_ORE!$D:$D,$B111,PREVISIONE_ORE!$E:$E,$C111,PREVISIONE_ORE!$K:$K,"Sì")&gt;0,$L111+$M111,MAX($L111,$F111)))</f>
        <v/>
      </c>
      <c r="O111" s="33" t="str">
        <f t="shared" si="27"/>
        <v/>
      </c>
      <c r="P111" s="34" t="str">
        <f t="shared" si="28"/>
        <v/>
      </c>
      <c r="Q111" s="34" t="str">
        <f t="shared" si="29"/>
        <v/>
      </c>
      <c r="R111" s="35" t="str">
        <f t="shared" si="30"/>
        <v/>
      </c>
      <c r="S111" s="36" t="str">
        <f t="shared" si="31"/>
        <v/>
      </c>
    </row>
    <row r="112" spans="1:19" x14ac:dyDescent="0.3">
      <c r="A112" s="42"/>
      <c r="B112" s="42"/>
      <c r="C112" s="42"/>
      <c r="D112" s="36" t="str">
        <f>IF($A112="","",IFERROR(INDEX(TEAM!$B:$B,MATCH($C112,TEAM!$A:$A,0)),""))</f>
        <v/>
      </c>
      <c r="E112" s="42"/>
      <c r="F112" s="48"/>
      <c r="G112" s="47" t="str">
        <f>IF($A112="","",IFERROR(INDEX(TEAM!$C:$C,MATCH($C112,TEAM!$A:$A,0)),0))</f>
        <v/>
      </c>
      <c r="H112" s="47" t="str">
        <f>IF($A112="","",IFERROR(INDEX(TEAM!$D:$D,MATCH($C112,TEAM!$A:$A,0)),0))</f>
        <v/>
      </c>
      <c r="I112" s="34" t="str">
        <f t="shared" si="24"/>
        <v/>
      </c>
      <c r="J112" s="34" t="str">
        <f t="shared" si="25"/>
        <v/>
      </c>
      <c r="K112" s="34" t="str">
        <f t="shared" si="26"/>
        <v/>
      </c>
      <c r="L112" s="33" t="str">
        <f>IF($A112="","",SUMIFS(ORE!$F:$F,ORE!$B:$B,$B112,ORE!$E:$E,$C112))</f>
        <v/>
      </c>
      <c r="M112" s="33" t="str">
        <f>IF($A112="","",SUMIFS(PREVISIONE_ORE!$G:$G,PREVISIONE_ORE!$D:$D,$B112,PREVISIONE_ORE!$E:$E,$C112,PREVISIONE_ORE!$K:$K,"Sì"))</f>
        <v/>
      </c>
      <c r="N112" s="33" t="str">
        <f>IF($A112="","",IF(COUNTIFS(PREVISIONE_ORE!$D:$D,$B112,PREVISIONE_ORE!$E:$E,$C112,PREVISIONE_ORE!$K:$K,"Sì")&gt;0,$L112+$M112,MAX($L112,$F112)))</f>
        <v/>
      </c>
      <c r="O112" s="33" t="str">
        <f t="shared" si="27"/>
        <v/>
      </c>
      <c r="P112" s="34" t="str">
        <f t="shared" si="28"/>
        <v/>
      </c>
      <c r="Q112" s="34" t="str">
        <f t="shared" si="29"/>
        <v/>
      </c>
      <c r="R112" s="35" t="str">
        <f t="shared" si="30"/>
        <v/>
      </c>
      <c r="S112" s="36" t="str">
        <f t="shared" si="31"/>
        <v/>
      </c>
    </row>
    <row r="113" spans="1:19" x14ac:dyDescent="0.3">
      <c r="A113" s="42"/>
      <c r="B113" s="42"/>
      <c r="C113" s="42"/>
      <c r="D113" s="36" t="str">
        <f>IF($A113="","",IFERROR(INDEX(TEAM!$B:$B,MATCH($C113,TEAM!$A:$A,0)),""))</f>
        <v/>
      </c>
      <c r="E113" s="42"/>
      <c r="F113" s="48"/>
      <c r="G113" s="47" t="str">
        <f>IF($A113="","",IFERROR(INDEX(TEAM!$C:$C,MATCH($C113,TEAM!$A:$A,0)),0))</f>
        <v/>
      </c>
      <c r="H113" s="47" t="str">
        <f>IF($A113="","",IFERROR(INDEX(TEAM!$D:$D,MATCH($C113,TEAM!$A:$A,0)),0))</f>
        <v/>
      </c>
      <c r="I113" s="34" t="str">
        <f t="shared" si="24"/>
        <v/>
      </c>
      <c r="J113" s="34" t="str">
        <f t="shared" si="25"/>
        <v/>
      </c>
      <c r="K113" s="34" t="str">
        <f t="shared" si="26"/>
        <v/>
      </c>
      <c r="L113" s="33" t="str">
        <f>IF($A113="","",SUMIFS(ORE!$F:$F,ORE!$B:$B,$B113,ORE!$E:$E,$C113))</f>
        <v/>
      </c>
      <c r="M113" s="33" t="str">
        <f>IF($A113="","",SUMIFS(PREVISIONE_ORE!$G:$G,PREVISIONE_ORE!$D:$D,$B113,PREVISIONE_ORE!$E:$E,$C113,PREVISIONE_ORE!$K:$K,"Sì"))</f>
        <v/>
      </c>
      <c r="N113" s="33" t="str">
        <f>IF($A113="","",IF(COUNTIFS(PREVISIONE_ORE!$D:$D,$B113,PREVISIONE_ORE!$E:$E,$C113,PREVISIONE_ORE!$K:$K,"Sì")&gt;0,$L113+$M113,MAX($L113,$F113)))</f>
        <v/>
      </c>
      <c r="O113" s="33" t="str">
        <f t="shared" si="27"/>
        <v/>
      </c>
      <c r="P113" s="34" t="str">
        <f t="shared" si="28"/>
        <v/>
      </c>
      <c r="Q113" s="34" t="str">
        <f t="shared" si="29"/>
        <v/>
      </c>
      <c r="R113" s="35" t="str">
        <f t="shared" si="30"/>
        <v/>
      </c>
      <c r="S113" s="36" t="str">
        <f t="shared" si="31"/>
        <v/>
      </c>
    </row>
    <row r="114" spans="1:19" x14ac:dyDescent="0.3">
      <c r="A114" s="42"/>
      <c r="B114" s="42"/>
      <c r="C114" s="42"/>
      <c r="D114" s="36" t="str">
        <f>IF($A114="","",IFERROR(INDEX(TEAM!$B:$B,MATCH($C114,TEAM!$A:$A,0)),""))</f>
        <v/>
      </c>
      <c r="E114" s="42"/>
      <c r="F114" s="48"/>
      <c r="G114" s="47" t="str">
        <f>IF($A114="","",IFERROR(INDEX(TEAM!$C:$C,MATCH($C114,TEAM!$A:$A,0)),0))</f>
        <v/>
      </c>
      <c r="H114" s="47" t="str">
        <f>IF($A114="","",IFERROR(INDEX(TEAM!$D:$D,MATCH($C114,TEAM!$A:$A,0)),0))</f>
        <v/>
      </c>
      <c r="I114" s="34" t="str">
        <f t="shared" si="24"/>
        <v/>
      </c>
      <c r="J114" s="34" t="str">
        <f t="shared" si="25"/>
        <v/>
      </c>
      <c r="K114" s="34" t="str">
        <f t="shared" si="26"/>
        <v/>
      </c>
      <c r="L114" s="33" t="str">
        <f>IF($A114="","",SUMIFS(ORE!$F:$F,ORE!$B:$B,$B114,ORE!$E:$E,$C114))</f>
        <v/>
      </c>
      <c r="M114" s="33" t="str">
        <f>IF($A114="","",SUMIFS(PREVISIONE_ORE!$G:$G,PREVISIONE_ORE!$D:$D,$B114,PREVISIONE_ORE!$E:$E,$C114,PREVISIONE_ORE!$K:$K,"Sì"))</f>
        <v/>
      </c>
      <c r="N114" s="33" t="str">
        <f>IF($A114="","",IF(COUNTIFS(PREVISIONE_ORE!$D:$D,$B114,PREVISIONE_ORE!$E:$E,$C114,PREVISIONE_ORE!$K:$K,"Sì")&gt;0,$L114+$M114,MAX($L114,$F114)))</f>
        <v/>
      </c>
      <c r="O114" s="33" t="str">
        <f t="shared" si="27"/>
        <v/>
      </c>
      <c r="P114" s="34" t="str">
        <f t="shared" si="28"/>
        <v/>
      </c>
      <c r="Q114" s="34" t="str">
        <f t="shared" si="29"/>
        <v/>
      </c>
      <c r="R114" s="35" t="str">
        <f t="shared" si="30"/>
        <v/>
      </c>
      <c r="S114" s="36" t="str">
        <f t="shared" si="31"/>
        <v/>
      </c>
    </row>
    <row r="115" spans="1:19" x14ac:dyDescent="0.3">
      <c r="A115" s="42"/>
      <c r="B115" s="42"/>
      <c r="C115" s="42"/>
      <c r="D115" s="36" t="str">
        <f>IF($A115="","",IFERROR(INDEX(TEAM!$B:$B,MATCH($C115,TEAM!$A:$A,0)),""))</f>
        <v/>
      </c>
      <c r="E115" s="42"/>
      <c r="F115" s="48"/>
      <c r="G115" s="47" t="str">
        <f>IF($A115="","",IFERROR(INDEX(TEAM!$C:$C,MATCH($C115,TEAM!$A:$A,0)),0))</f>
        <v/>
      </c>
      <c r="H115" s="47" t="str">
        <f>IF($A115="","",IFERROR(INDEX(TEAM!$D:$D,MATCH($C115,TEAM!$A:$A,0)),0))</f>
        <v/>
      </c>
      <c r="I115" s="34" t="str">
        <f t="shared" si="24"/>
        <v/>
      </c>
      <c r="J115" s="34" t="str">
        <f t="shared" si="25"/>
        <v/>
      </c>
      <c r="K115" s="34" t="str">
        <f t="shared" si="26"/>
        <v/>
      </c>
      <c r="L115" s="33" t="str">
        <f>IF($A115="","",SUMIFS(ORE!$F:$F,ORE!$B:$B,$B115,ORE!$E:$E,$C115))</f>
        <v/>
      </c>
      <c r="M115" s="33" t="str">
        <f>IF($A115="","",SUMIFS(PREVISIONE_ORE!$G:$G,PREVISIONE_ORE!$D:$D,$B115,PREVISIONE_ORE!$E:$E,$C115,PREVISIONE_ORE!$K:$K,"Sì"))</f>
        <v/>
      </c>
      <c r="N115" s="33" t="str">
        <f>IF($A115="","",IF(COUNTIFS(PREVISIONE_ORE!$D:$D,$B115,PREVISIONE_ORE!$E:$E,$C115,PREVISIONE_ORE!$K:$K,"Sì")&gt;0,$L115+$M115,MAX($L115,$F115)))</f>
        <v/>
      </c>
      <c r="O115" s="33" t="str">
        <f t="shared" si="27"/>
        <v/>
      </c>
      <c r="P115" s="34" t="str">
        <f t="shared" si="28"/>
        <v/>
      </c>
      <c r="Q115" s="34" t="str">
        <f t="shared" si="29"/>
        <v/>
      </c>
      <c r="R115" s="35" t="str">
        <f t="shared" si="30"/>
        <v/>
      </c>
      <c r="S115" s="36" t="str">
        <f t="shared" si="31"/>
        <v/>
      </c>
    </row>
    <row r="116" spans="1:19" x14ac:dyDescent="0.3">
      <c r="A116" s="42"/>
      <c r="B116" s="42"/>
      <c r="C116" s="42"/>
      <c r="D116" s="36" t="str">
        <f>IF($A116="","",IFERROR(INDEX(TEAM!$B:$B,MATCH($C116,TEAM!$A:$A,0)),""))</f>
        <v/>
      </c>
      <c r="E116" s="42"/>
      <c r="F116" s="48"/>
      <c r="G116" s="47" t="str">
        <f>IF($A116="","",IFERROR(INDEX(TEAM!$C:$C,MATCH($C116,TEAM!$A:$A,0)),0))</f>
        <v/>
      </c>
      <c r="H116" s="47" t="str">
        <f>IF($A116="","",IFERROR(INDEX(TEAM!$D:$D,MATCH($C116,TEAM!$A:$A,0)),0))</f>
        <v/>
      </c>
      <c r="I116" s="34" t="str">
        <f t="shared" si="24"/>
        <v/>
      </c>
      <c r="J116" s="34" t="str">
        <f t="shared" si="25"/>
        <v/>
      </c>
      <c r="K116" s="34" t="str">
        <f t="shared" si="26"/>
        <v/>
      </c>
      <c r="L116" s="33" t="str">
        <f>IF($A116="","",SUMIFS(ORE!$F:$F,ORE!$B:$B,$B116,ORE!$E:$E,$C116))</f>
        <v/>
      </c>
      <c r="M116" s="33" t="str">
        <f>IF($A116="","",SUMIFS(PREVISIONE_ORE!$G:$G,PREVISIONE_ORE!$D:$D,$B116,PREVISIONE_ORE!$E:$E,$C116,PREVISIONE_ORE!$K:$K,"Sì"))</f>
        <v/>
      </c>
      <c r="N116" s="33" t="str">
        <f>IF($A116="","",IF(COUNTIFS(PREVISIONE_ORE!$D:$D,$B116,PREVISIONE_ORE!$E:$E,$C116,PREVISIONE_ORE!$K:$K,"Sì")&gt;0,$L116+$M116,MAX($L116,$F116)))</f>
        <v/>
      </c>
      <c r="O116" s="33" t="str">
        <f t="shared" si="27"/>
        <v/>
      </c>
      <c r="P116" s="34" t="str">
        <f t="shared" si="28"/>
        <v/>
      </c>
      <c r="Q116" s="34" t="str">
        <f t="shared" si="29"/>
        <v/>
      </c>
      <c r="R116" s="35" t="str">
        <f t="shared" si="30"/>
        <v/>
      </c>
      <c r="S116" s="36" t="str">
        <f t="shared" si="31"/>
        <v/>
      </c>
    </row>
    <row r="117" spans="1:19" x14ac:dyDescent="0.3">
      <c r="A117" s="42"/>
      <c r="B117" s="42"/>
      <c r="C117" s="42"/>
      <c r="D117" s="36" t="str">
        <f>IF($A117="","",IFERROR(INDEX(TEAM!$B:$B,MATCH($C117,TEAM!$A:$A,0)),""))</f>
        <v/>
      </c>
      <c r="E117" s="42"/>
      <c r="F117" s="48"/>
      <c r="G117" s="47" t="str">
        <f>IF($A117="","",IFERROR(INDEX(TEAM!$C:$C,MATCH($C117,TEAM!$A:$A,0)),0))</f>
        <v/>
      </c>
      <c r="H117" s="47" t="str">
        <f>IF($A117="","",IFERROR(INDEX(TEAM!$D:$D,MATCH($C117,TEAM!$A:$A,0)),0))</f>
        <v/>
      </c>
      <c r="I117" s="34" t="str">
        <f t="shared" si="24"/>
        <v/>
      </c>
      <c r="J117" s="34" t="str">
        <f t="shared" si="25"/>
        <v/>
      </c>
      <c r="K117" s="34" t="str">
        <f t="shared" si="26"/>
        <v/>
      </c>
      <c r="L117" s="33" t="str">
        <f>IF($A117="","",SUMIFS(ORE!$F:$F,ORE!$B:$B,$B117,ORE!$E:$E,$C117))</f>
        <v/>
      </c>
      <c r="M117" s="33" t="str">
        <f>IF($A117="","",SUMIFS(PREVISIONE_ORE!$G:$G,PREVISIONE_ORE!$D:$D,$B117,PREVISIONE_ORE!$E:$E,$C117,PREVISIONE_ORE!$K:$K,"Sì"))</f>
        <v/>
      </c>
      <c r="N117" s="33" t="str">
        <f>IF($A117="","",IF(COUNTIFS(PREVISIONE_ORE!$D:$D,$B117,PREVISIONE_ORE!$E:$E,$C117,PREVISIONE_ORE!$K:$K,"Sì")&gt;0,$L117+$M117,MAX($L117,$F117)))</f>
        <v/>
      </c>
      <c r="O117" s="33" t="str">
        <f t="shared" si="27"/>
        <v/>
      </c>
      <c r="P117" s="34" t="str">
        <f t="shared" si="28"/>
        <v/>
      </c>
      <c r="Q117" s="34" t="str">
        <f t="shared" si="29"/>
        <v/>
      </c>
      <c r="R117" s="35" t="str">
        <f t="shared" si="30"/>
        <v/>
      </c>
      <c r="S117" s="36" t="str">
        <f t="shared" si="31"/>
        <v/>
      </c>
    </row>
    <row r="118" spans="1:19" x14ac:dyDescent="0.3">
      <c r="A118" s="42"/>
      <c r="B118" s="42"/>
      <c r="C118" s="42"/>
      <c r="D118" s="36" t="str">
        <f>IF($A118="","",IFERROR(INDEX(TEAM!$B:$B,MATCH($C118,TEAM!$A:$A,0)),""))</f>
        <v/>
      </c>
      <c r="E118" s="42"/>
      <c r="F118" s="48"/>
      <c r="G118" s="47" t="str">
        <f>IF($A118="","",IFERROR(INDEX(TEAM!$C:$C,MATCH($C118,TEAM!$A:$A,0)),0))</f>
        <v/>
      </c>
      <c r="H118" s="47" t="str">
        <f>IF($A118="","",IFERROR(INDEX(TEAM!$D:$D,MATCH($C118,TEAM!$A:$A,0)),0))</f>
        <v/>
      </c>
      <c r="I118" s="34" t="str">
        <f t="shared" si="24"/>
        <v/>
      </c>
      <c r="J118" s="34" t="str">
        <f t="shared" si="25"/>
        <v/>
      </c>
      <c r="K118" s="34" t="str">
        <f t="shared" si="26"/>
        <v/>
      </c>
      <c r="L118" s="33" t="str">
        <f>IF($A118="","",SUMIFS(ORE!$F:$F,ORE!$B:$B,$B118,ORE!$E:$E,$C118))</f>
        <v/>
      </c>
      <c r="M118" s="33" t="str">
        <f>IF($A118="","",SUMIFS(PREVISIONE_ORE!$G:$G,PREVISIONE_ORE!$D:$D,$B118,PREVISIONE_ORE!$E:$E,$C118,PREVISIONE_ORE!$K:$K,"Sì"))</f>
        <v/>
      </c>
      <c r="N118" s="33" t="str">
        <f>IF($A118="","",IF(COUNTIFS(PREVISIONE_ORE!$D:$D,$B118,PREVISIONE_ORE!$E:$E,$C118,PREVISIONE_ORE!$K:$K,"Sì")&gt;0,$L118+$M118,MAX($L118,$F118)))</f>
        <v/>
      </c>
      <c r="O118" s="33" t="str">
        <f t="shared" si="27"/>
        <v/>
      </c>
      <c r="P118" s="34" t="str">
        <f t="shared" si="28"/>
        <v/>
      </c>
      <c r="Q118" s="34" t="str">
        <f t="shared" si="29"/>
        <v/>
      </c>
      <c r="R118" s="35" t="str">
        <f t="shared" si="30"/>
        <v/>
      </c>
      <c r="S118" s="36" t="str">
        <f t="shared" si="31"/>
        <v/>
      </c>
    </row>
    <row r="119" spans="1:19" x14ac:dyDescent="0.3">
      <c r="A119" s="42"/>
      <c r="B119" s="42"/>
      <c r="C119" s="42"/>
      <c r="D119" s="36" t="str">
        <f>IF($A119="","",IFERROR(INDEX(TEAM!$B:$B,MATCH($C119,TEAM!$A:$A,0)),""))</f>
        <v/>
      </c>
      <c r="E119" s="42"/>
      <c r="F119" s="48"/>
      <c r="G119" s="47" t="str">
        <f>IF($A119="","",IFERROR(INDEX(TEAM!$C:$C,MATCH($C119,TEAM!$A:$A,0)),0))</f>
        <v/>
      </c>
      <c r="H119" s="47" t="str">
        <f>IF($A119="","",IFERROR(INDEX(TEAM!$D:$D,MATCH($C119,TEAM!$A:$A,0)),0))</f>
        <v/>
      </c>
      <c r="I119" s="34" t="str">
        <f t="shared" si="24"/>
        <v/>
      </c>
      <c r="J119" s="34" t="str">
        <f t="shared" si="25"/>
        <v/>
      </c>
      <c r="K119" s="34" t="str">
        <f t="shared" si="26"/>
        <v/>
      </c>
      <c r="L119" s="33" t="str">
        <f>IF($A119="","",SUMIFS(ORE!$F:$F,ORE!$B:$B,$B119,ORE!$E:$E,$C119))</f>
        <v/>
      </c>
      <c r="M119" s="33" t="str">
        <f>IF($A119="","",SUMIFS(PREVISIONE_ORE!$G:$G,PREVISIONE_ORE!$D:$D,$B119,PREVISIONE_ORE!$E:$E,$C119,PREVISIONE_ORE!$K:$K,"Sì"))</f>
        <v/>
      </c>
      <c r="N119" s="33" t="str">
        <f>IF($A119="","",IF(COUNTIFS(PREVISIONE_ORE!$D:$D,$B119,PREVISIONE_ORE!$E:$E,$C119,PREVISIONE_ORE!$K:$K,"Sì")&gt;0,$L119+$M119,MAX($L119,$F119)))</f>
        <v/>
      </c>
      <c r="O119" s="33" t="str">
        <f t="shared" si="27"/>
        <v/>
      </c>
      <c r="P119" s="34" t="str">
        <f t="shared" si="28"/>
        <v/>
      </c>
      <c r="Q119" s="34" t="str">
        <f t="shared" si="29"/>
        <v/>
      </c>
      <c r="R119" s="35" t="str">
        <f t="shared" si="30"/>
        <v/>
      </c>
      <c r="S119" s="36" t="str">
        <f t="shared" si="31"/>
        <v/>
      </c>
    </row>
    <row r="120" spans="1:19" x14ac:dyDescent="0.3">
      <c r="A120" s="42"/>
      <c r="B120" s="42"/>
      <c r="C120" s="42"/>
      <c r="D120" s="36" t="str">
        <f>IF($A120="","",IFERROR(INDEX(TEAM!$B:$B,MATCH($C120,TEAM!$A:$A,0)),""))</f>
        <v/>
      </c>
      <c r="E120" s="42"/>
      <c r="F120" s="48"/>
      <c r="G120" s="47" t="str">
        <f>IF($A120="","",IFERROR(INDEX(TEAM!$C:$C,MATCH($C120,TEAM!$A:$A,0)),0))</f>
        <v/>
      </c>
      <c r="H120" s="47" t="str">
        <f>IF($A120="","",IFERROR(INDEX(TEAM!$D:$D,MATCH($C120,TEAM!$A:$A,0)),0))</f>
        <v/>
      </c>
      <c r="I120" s="34" t="str">
        <f t="shared" si="24"/>
        <v/>
      </c>
      <c r="J120" s="34" t="str">
        <f t="shared" si="25"/>
        <v/>
      </c>
      <c r="K120" s="34" t="str">
        <f t="shared" si="26"/>
        <v/>
      </c>
      <c r="L120" s="33" t="str">
        <f>IF($A120="","",SUMIFS(ORE!$F:$F,ORE!$B:$B,$B120,ORE!$E:$E,$C120))</f>
        <v/>
      </c>
      <c r="M120" s="33" t="str">
        <f>IF($A120="","",SUMIFS(PREVISIONE_ORE!$G:$G,PREVISIONE_ORE!$D:$D,$B120,PREVISIONE_ORE!$E:$E,$C120,PREVISIONE_ORE!$K:$K,"Sì"))</f>
        <v/>
      </c>
      <c r="N120" s="33" t="str">
        <f>IF($A120="","",IF(COUNTIFS(PREVISIONE_ORE!$D:$D,$B120,PREVISIONE_ORE!$E:$E,$C120,PREVISIONE_ORE!$K:$K,"Sì")&gt;0,$L120+$M120,MAX($L120,$F120)))</f>
        <v/>
      </c>
      <c r="O120" s="33" t="str">
        <f t="shared" si="27"/>
        <v/>
      </c>
      <c r="P120" s="34" t="str">
        <f t="shared" si="28"/>
        <v/>
      </c>
      <c r="Q120" s="34" t="str">
        <f t="shared" si="29"/>
        <v/>
      </c>
      <c r="R120" s="35" t="str">
        <f t="shared" si="30"/>
        <v/>
      </c>
      <c r="S120" s="36" t="str">
        <f t="shared" si="31"/>
        <v/>
      </c>
    </row>
    <row r="121" spans="1:19" x14ac:dyDescent="0.3">
      <c r="A121" s="42"/>
      <c r="B121" s="42"/>
      <c r="C121" s="42"/>
      <c r="D121" s="36" t="str">
        <f>IF($A121="","",IFERROR(INDEX(TEAM!$B:$B,MATCH($C121,TEAM!$A:$A,0)),""))</f>
        <v/>
      </c>
      <c r="E121" s="42"/>
      <c r="F121" s="48"/>
      <c r="G121" s="47" t="str">
        <f>IF($A121="","",IFERROR(INDEX(TEAM!$C:$C,MATCH($C121,TEAM!$A:$A,0)),0))</f>
        <v/>
      </c>
      <c r="H121" s="47" t="str">
        <f>IF($A121="","",IFERROR(INDEX(TEAM!$D:$D,MATCH($C121,TEAM!$A:$A,0)),0))</f>
        <v/>
      </c>
      <c r="I121" s="34" t="str">
        <f t="shared" si="24"/>
        <v/>
      </c>
      <c r="J121" s="34" t="str">
        <f t="shared" si="25"/>
        <v/>
      </c>
      <c r="K121" s="34" t="str">
        <f t="shared" si="26"/>
        <v/>
      </c>
      <c r="L121" s="33" t="str">
        <f>IF($A121="","",SUMIFS(ORE!$F:$F,ORE!$B:$B,$B121,ORE!$E:$E,$C121))</f>
        <v/>
      </c>
      <c r="M121" s="33" t="str">
        <f>IF($A121="","",SUMIFS(PREVISIONE_ORE!$G:$G,PREVISIONE_ORE!$D:$D,$B121,PREVISIONE_ORE!$E:$E,$C121,PREVISIONE_ORE!$K:$K,"Sì"))</f>
        <v/>
      </c>
      <c r="N121" s="33" t="str">
        <f>IF($A121="","",IF(COUNTIFS(PREVISIONE_ORE!$D:$D,$B121,PREVISIONE_ORE!$E:$E,$C121,PREVISIONE_ORE!$K:$K,"Sì")&gt;0,$L121+$M121,MAX($L121,$F121)))</f>
        <v/>
      </c>
      <c r="O121" s="33" t="str">
        <f t="shared" si="27"/>
        <v/>
      </c>
      <c r="P121" s="34" t="str">
        <f t="shared" si="28"/>
        <v/>
      </c>
      <c r="Q121" s="34" t="str">
        <f t="shared" si="29"/>
        <v/>
      </c>
      <c r="R121" s="35" t="str">
        <f t="shared" si="30"/>
        <v/>
      </c>
      <c r="S121" s="36" t="str">
        <f t="shared" si="31"/>
        <v/>
      </c>
    </row>
    <row r="122" spans="1:19" x14ac:dyDescent="0.3">
      <c r="A122" s="42"/>
      <c r="B122" s="42"/>
      <c r="C122" s="42"/>
      <c r="D122" s="36" t="str">
        <f>IF($A122="","",IFERROR(INDEX(TEAM!$B:$B,MATCH($C122,TEAM!$A:$A,0)),""))</f>
        <v/>
      </c>
      <c r="E122" s="42"/>
      <c r="F122" s="48"/>
      <c r="G122" s="47" t="str">
        <f>IF($A122="","",IFERROR(INDEX(TEAM!$C:$C,MATCH($C122,TEAM!$A:$A,0)),0))</f>
        <v/>
      </c>
      <c r="H122" s="47" t="str">
        <f>IF($A122="","",IFERROR(INDEX(TEAM!$D:$D,MATCH($C122,TEAM!$A:$A,0)),0))</f>
        <v/>
      </c>
      <c r="I122" s="34" t="str">
        <f t="shared" si="24"/>
        <v/>
      </c>
      <c r="J122" s="34" t="str">
        <f t="shared" si="25"/>
        <v/>
      </c>
      <c r="K122" s="34" t="str">
        <f t="shared" si="26"/>
        <v/>
      </c>
      <c r="L122" s="33" t="str">
        <f>IF($A122="","",SUMIFS(ORE!$F:$F,ORE!$B:$B,$B122,ORE!$E:$E,$C122))</f>
        <v/>
      </c>
      <c r="M122" s="33" t="str">
        <f>IF($A122="","",SUMIFS(PREVISIONE_ORE!$G:$G,PREVISIONE_ORE!$D:$D,$B122,PREVISIONE_ORE!$E:$E,$C122,PREVISIONE_ORE!$K:$K,"Sì"))</f>
        <v/>
      </c>
      <c r="N122" s="33" t="str">
        <f>IF($A122="","",IF(COUNTIFS(PREVISIONE_ORE!$D:$D,$B122,PREVISIONE_ORE!$E:$E,$C122,PREVISIONE_ORE!$K:$K,"Sì")&gt;0,$L122+$M122,MAX($L122,$F122)))</f>
        <v/>
      </c>
      <c r="O122" s="33" t="str">
        <f t="shared" si="27"/>
        <v/>
      </c>
      <c r="P122" s="34" t="str">
        <f t="shared" si="28"/>
        <v/>
      </c>
      <c r="Q122" s="34" t="str">
        <f t="shared" si="29"/>
        <v/>
      </c>
      <c r="R122" s="35" t="str">
        <f t="shared" si="30"/>
        <v/>
      </c>
      <c r="S122" s="36" t="str">
        <f t="shared" si="31"/>
        <v/>
      </c>
    </row>
    <row r="123" spans="1:19" x14ac:dyDescent="0.3">
      <c r="A123" s="42"/>
      <c r="B123" s="42"/>
      <c r="C123" s="42"/>
      <c r="D123" s="36" t="str">
        <f>IF($A123="","",IFERROR(INDEX(TEAM!$B:$B,MATCH($C123,TEAM!$A:$A,0)),""))</f>
        <v/>
      </c>
      <c r="E123" s="42"/>
      <c r="F123" s="48"/>
      <c r="G123" s="47" t="str">
        <f>IF($A123="","",IFERROR(INDEX(TEAM!$C:$C,MATCH($C123,TEAM!$A:$A,0)),0))</f>
        <v/>
      </c>
      <c r="H123" s="47" t="str">
        <f>IF($A123="","",IFERROR(INDEX(TEAM!$D:$D,MATCH($C123,TEAM!$A:$A,0)),0))</f>
        <v/>
      </c>
      <c r="I123" s="34" t="str">
        <f t="shared" si="24"/>
        <v/>
      </c>
      <c r="J123" s="34" t="str">
        <f t="shared" si="25"/>
        <v/>
      </c>
      <c r="K123" s="34" t="str">
        <f t="shared" si="26"/>
        <v/>
      </c>
      <c r="L123" s="33" t="str">
        <f>IF($A123="","",SUMIFS(ORE!$F:$F,ORE!$B:$B,$B123,ORE!$E:$E,$C123))</f>
        <v/>
      </c>
      <c r="M123" s="33" t="str">
        <f>IF($A123="","",SUMIFS(PREVISIONE_ORE!$G:$G,PREVISIONE_ORE!$D:$D,$B123,PREVISIONE_ORE!$E:$E,$C123,PREVISIONE_ORE!$K:$K,"Sì"))</f>
        <v/>
      </c>
      <c r="N123" s="33" t="str">
        <f>IF($A123="","",IF(COUNTIFS(PREVISIONE_ORE!$D:$D,$B123,PREVISIONE_ORE!$E:$E,$C123,PREVISIONE_ORE!$K:$K,"Sì")&gt;0,$L123+$M123,MAX($L123,$F123)))</f>
        <v/>
      </c>
      <c r="O123" s="33" t="str">
        <f t="shared" si="27"/>
        <v/>
      </c>
      <c r="P123" s="34" t="str">
        <f t="shared" si="28"/>
        <v/>
      </c>
      <c r="Q123" s="34" t="str">
        <f t="shared" si="29"/>
        <v/>
      </c>
      <c r="R123" s="35" t="str">
        <f t="shared" si="30"/>
        <v/>
      </c>
      <c r="S123" s="36" t="str">
        <f t="shared" si="31"/>
        <v/>
      </c>
    </row>
    <row r="124" spans="1:19" x14ac:dyDescent="0.3">
      <c r="A124" s="42"/>
      <c r="B124" s="42"/>
      <c r="C124" s="42"/>
      <c r="D124" s="36" t="str">
        <f>IF($A124="","",IFERROR(INDEX(TEAM!$B:$B,MATCH($C124,TEAM!$A:$A,0)),""))</f>
        <v/>
      </c>
      <c r="E124" s="42"/>
      <c r="F124" s="48"/>
      <c r="G124" s="47" t="str">
        <f>IF($A124="","",IFERROR(INDEX(TEAM!$C:$C,MATCH($C124,TEAM!$A:$A,0)),0))</f>
        <v/>
      </c>
      <c r="H124" s="47" t="str">
        <f>IF($A124="","",IFERROR(INDEX(TEAM!$D:$D,MATCH($C124,TEAM!$A:$A,0)),0))</f>
        <v/>
      </c>
      <c r="I124" s="34" t="str">
        <f t="shared" si="24"/>
        <v/>
      </c>
      <c r="J124" s="34" t="str">
        <f t="shared" si="25"/>
        <v/>
      </c>
      <c r="K124" s="34" t="str">
        <f t="shared" si="26"/>
        <v/>
      </c>
      <c r="L124" s="33" t="str">
        <f>IF($A124="","",SUMIFS(ORE!$F:$F,ORE!$B:$B,$B124,ORE!$E:$E,$C124))</f>
        <v/>
      </c>
      <c r="M124" s="33" t="str">
        <f>IF($A124="","",SUMIFS(PREVISIONE_ORE!$G:$G,PREVISIONE_ORE!$D:$D,$B124,PREVISIONE_ORE!$E:$E,$C124,PREVISIONE_ORE!$K:$K,"Sì"))</f>
        <v/>
      </c>
      <c r="N124" s="33" t="str">
        <f>IF($A124="","",IF(COUNTIFS(PREVISIONE_ORE!$D:$D,$B124,PREVISIONE_ORE!$E:$E,$C124,PREVISIONE_ORE!$K:$K,"Sì")&gt;0,$L124+$M124,MAX($L124,$F124)))</f>
        <v/>
      </c>
      <c r="O124" s="33" t="str">
        <f t="shared" si="27"/>
        <v/>
      </c>
      <c r="P124" s="34" t="str">
        <f t="shared" si="28"/>
        <v/>
      </c>
      <c r="Q124" s="34" t="str">
        <f t="shared" si="29"/>
        <v/>
      </c>
      <c r="R124" s="35" t="str">
        <f t="shared" si="30"/>
        <v/>
      </c>
      <c r="S124" s="36" t="str">
        <f t="shared" si="31"/>
        <v/>
      </c>
    </row>
    <row r="125" spans="1:19" x14ac:dyDescent="0.3">
      <c r="A125" s="42"/>
      <c r="B125" s="42"/>
      <c r="C125" s="42"/>
      <c r="D125" s="36" t="str">
        <f>IF($A125="","",IFERROR(INDEX(TEAM!$B:$B,MATCH($C125,TEAM!$A:$A,0)),""))</f>
        <v/>
      </c>
      <c r="E125" s="42"/>
      <c r="F125" s="48"/>
      <c r="G125" s="47" t="str">
        <f>IF($A125="","",IFERROR(INDEX(TEAM!$C:$C,MATCH($C125,TEAM!$A:$A,0)),0))</f>
        <v/>
      </c>
      <c r="H125" s="47" t="str">
        <f>IF($A125="","",IFERROR(INDEX(TEAM!$D:$D,MATCH($C125,TEAM!$A:$A,0)),0))</f>
        <v/>
      </c>
      <c r="I125" s="34" t="str">
        <f t="shared" si="24"/>
        <v/>
      </c>
      <c r="J125" s="34" t="str">
        <f t="shared" si="25"/>
        <v/>
      </c>
      <c r="K125" s="34" t="str">
        <f t="shared" si="26"/>
        <v/>
      </c>
      <c r="L125" s="33" t="str">
        <f>IF($A125="","",SUMIFS(ORE!$F:$F,ORE!$B:$B,$B125,ORE!$E:$E,$C125))</f>
        <v/>
      </c>
      <c r="M125" s="33" t="str">
        <f>IF($A125="","",SUMIFS(PREVISIONE_ORE!$G:$G,PREVISIONE_ORE!$D:$D,$B125,PREVISIONE_ORE!$E:$E,$C125,PREVISIONE_ORE!$K:$K,"Sì"))</f>
        <v/>
      </c>
      <c r="N125" s="33" t="str">
        <f>IF($A125="","",IF(COUNTIFS(PREVISIONE_ORE!$D:$D,$B125,PREVISIONE_ORE!$E:$E,$C125,PREVISIONE_ORE!$K:$K,"Sì")&gt;0,$L125+$M125,MAX($L125,$F125)))</f>
        <v/>
      </c>
      <c r="O125" s="33" t="str">
        <f t="shared" si="27"/>
        <v/>
      </c>
      <c r="P125" s="34" t="str">
        <f t="shared" si="28"/>
        <v/>
      </c>
      <c r="Q125" s="34" t="str">
        <f t="shared" si="29"/>
        <v/>
      </c>
      <c r="R125" s="35" t="str">
        <f t="shared" si="30"/>
        <v/>
      </c>
      <c r="S125" s="36" t="str">
        <f t="shared" si="31"/>
        <v/>
      </c>
    </row>
    <row r="126" spans="1:19" x14ac:dyDescent="0.3">
      <c r="A126" s="42"/>
      <c r="B126" s="42"/>
      <c r="C126" s="42"/>
      <c r="D126" s="36" t="str">
        <f>IF($A126="","",IFERROR(INDEX(TEAM!$B:$B,MATCH($C126,TEAM!$A:$A,0)),""))</f>
        <v/>
      </c>
      <c r="E126" s="42"/>
      <c r="F126" s="48"/>
      <c r="G126" s="47" t="str">
        <f>IF($A126="","",IFERROR(INDEX(TEAM!$C:$C,MATCH($C126,TEAM!$A:$A,0)),0))</f>
        <v/>
      </c>
      <c r="H126" s="47" t="str">
        <f>IF($A126="","",IFERROR(INDEX(TEAM!$D:$D,MATCH($C126,TEAM!$A:$A,0)),0))</f>
        <v/>
      </c>
      <c r="I126" s="34" t="str">
        <f t="shared" si="24"/>
        <v/>
      </c>
      <c r="J126" s="34" t="str">
        <f t="shared" si="25"/>
        <v/>
      </c>
      <c r="K126" s="34" t="str">
        <f t="shared" si="26"/>
        <v/>
      </c>
      <c r="L126" s="33" t="str">
        <f>IF($A126="","",SUMIFS(ORE!$F:$F,ORE!$B:$B,$B126,ORE!$E:$E,$C126))</f>
        <v/>
      </c>
      <c r="M126" s="33" t="str">
        <f>IF($A126="","",SUMIFS(PREVISIONE_ORE!$G:$G,PREVISIONE_ORE!$D:$D,$B126,PREVISIONE_ORE!$E:$E,$C126,PREVISIONE_ORE!$K:$K,"Sì"))</f>
        <v/>
      </c>
      <c r="N126" s="33" t="str">
        <f>IF($A126="","",IF(COUNTIFS(PREVISIONE_ORE!$D:$D,$B126,PREVISIONE_ORE!$E:$E,$C126,PREVISIONE_ORE!$K:$K,"Sì")&gt;0,$L126+$M126,MAX($L126,$F126)))</f>
        <v/>
      </c>
      <c r="O126" s="33" t="str">
        <f t="shared" si="27"/>
        <v/>
      </c>
      <c r="P126" s="34" t="str">
        <f t="shared" si="28"/>
        <v/>
      </c>
      <c r="Q126" s="34" t="str">
        <f t="shared" si="29"/>
        <v/>
      </c>
      <c r="R126" s="35" t="str">
        <f t="shared" si="30"/>
        <v/>
      </c>
      <c r="S126" s="36" t="str">
        <f t="shared" si="31"/>
        <v/>
      </c>
    </row>
    <row r="127" spans="1:19" x14ac:dyDescent="0.3">
      <c r="A127" s="42"/>
      <c r="B127" s="42"/>
      <c r="C127" s="42"/>
      <c r="D127" s="36" t="str">
        <f>IF($A127="","",IFERROR(INDEX(TEAM!$B:$B,MATCH($C127,TEAM!$A:$A,0)),""))</f>
        <v/>
      </c>
      <c r="E127" s="42"/>
      <c r="F127" s="48"/>
      <c r="G127" s="47" t="str">
        <f>IF($A127="","",IFERROR(INDEX(TEAM!$C:$C,MATCH($C127,TEAM!$A:$A,0)),0))</f>
        <v/>
      </c>
      <c r="H127" s="47" t="str">
        <f>IF($A127="","",IFERROR(INDEX(TEAM!$D:$D,MATCH($C127,TEAM!$A:$A,0)),0))</f>
        <v/>
      </c>
      <c r="I127" s="34" t="str">
        <f t="shared" si="24"/>
        <v/>
      </c>
      <c r="J127" s="34" t="str">
        <f t="shared" si="25"/>
        <v/>
      </c>
      <c r="K127" s="34" t="str">
        <f t="shared" si="26"/>
        <v/>
      </c>
      <c r="L127" s="33" t="str">
        <f>IF($A127="","",SUMIFS(ORE!$F:$F,ORE!$B:$B,$B127,ORE!$E:$E,$C127))</f>
        <v/>
      </c>
      <c r="M127" s="33" t="str">
        <f>IF($A127="","",SUMIFS(PREVISIONE_ORE!$G:$G,PREVISIONE_ORE!$D:$D,$B127,PREVISIONE_ORE!$E:$E,$C127,PREVISIONE_ORE!$K:$K,"Sì"))</f>
        <v/>
      </c>
      <c r="N127" s="33" t="str">
        <f>IF($A127="","",IF(COUNTIFS(PREVISIONE_ORE!$D:$D,$B127,PREVISIONE_ORE!$E:$E,$C127,PREVISIONE_ORE!$K:$K,"Sì")&gt;0,$L127+$M127,MAX($L127,$F127)))</f>
        <v/>
      </c>
      <c r="O127" s="33" t="str">
        <f t="shared" si="27"/>
        <v/>
      </c>
      <c r="P127" s="34" t="str">
        <f t="shared" si="28"/>
        <v/>
      </c>
      <c r="Q127" s="34" t="str">
        <f t="shared" si="29"/>
        <v/>
      </c>
      <c r="R127" s="35" t="str">
        <f t="shared" si="30"/>
        <v/>
      </c>
      <c r="S127" s="36" t="str">
        <f t="shared" si="31"/>
        <v/>
      </c>
    </row>
    <row r="128" spans="1:19" x14ac:dyDescent="0.3">
      <c r="A128" s="42"/>
      <c r="B128" s="42"/>
      <c r="C128" s="42"/>
      <c r="D128" s="36" t="str">
        <f>IF($A128="","",IFERROR(INDEX(TEAM!$B:$B,MATCH($C128,TEAM!$A:$A,0)),""))</f>
        <v/>
      </c>
      <c r="E128" s="42"/>
      <c r="F128" s="48"/>
      <c r="G128" s="47" t="str">
        <f>IF($A128="","",IFERROR(INDEX(TEAM!$C:$C,MATCH($C128,TEAM!$A:$A,0)),0))</f>
        <v/>
      </c>
      <c r="H128" s="47" t="str">
        <f>IF($A128="","",IFERROR(INDEX(TEAM!$D:$D,MATCH($C128,TEAM!$A:$A,0)),0))</f>
        <v/>
      </c>
      <c r="I128" s="34" t="str">
        <f t="shared" si="24"/>
        <v/>
      </c>
      <c r="J128" s="34" t="str">
        <f t="shared" si="25"/>
        <v/>
      </c>
      <c r="K128" s="34" t="str">
        <f t="shared" si="26"/>
        <v/>
      </c>
      <c r="L128" s="33" t="str">
        <f>IF($A128="","",SUMIFS(ORE!$F:$F,ORE!$B:$B,$B128,ORE!$E:$E,$C128))</f>
        <v/>
      </c>
      <c r="M128" s="33" t="str">
        <f>IF($A128="","",SUMIFS(PREVISIONE_ORE!$G:$G,PREVISIONE_ORE!$D:$D,$B128,PREVISIONE_ORE!$E:$E,$C128,PREVISIONE_ORE!$K:$K,"Sì"))</f>
        <v/>
      </c>
      <c r="N128" s="33" t="str">
        <f>IF($A128="","",IF(COUNTIFS(PREVISIONE_ORE!$D:$D,$B128,PREVISIONE_ORE!$E:$E,$C128,PREVISIONE_ORE!$K:$K,"Sì")&gt;0,$L128+$M128,MAX($L128,$F128)))</f>
        <v/>
      </c>
      <c r="O128" s="33" t="str">
        <f t="shared" si="27"/>
        <v/>
      </c>
      <c r="P128" s="34" t="str">
        <f t="shared" si="28"/>
        <v/>
      </c>
      <c r="Q128" s="34" t="str">
        <f t="shared" si="29"/>
        <v/>
      </c>
      <c r="R128" s="35" t="str">
        <f t="shared" si="30"/>
        <v/>
      </c>
      <c r="S128" s="36" t="str">
        <f t="shared" si="31"/>
        <v/>
      </c>
    </row>
    <row r="129" spans="1:19" x14ac:dyDescent="0.3">
      <c r="A129" s="42"/>
      <c r="B129" s="42"/>
      <c r="C129" s="42"/>
      <c r="D129" s="36" t="str">
        <f>IF($A129="","",IFERROR(INDEX(TEAM!$B:$B,MATCH($C129,TEAM!$A:$A,0)),""))</f>
        <v/>
      </c>
      <c r="E129" s="42"/>
      <c r="F129" s="48"/>
      <c r="G129" s="47" t="str">
        <f>IF($A129="","",IFERROR(INDEX(TEAM!$C:$C,MATCH($C129,TEAM!$A:$A,0)),0))</f>
        <v/>
      </c>
      <c r="H129" s="47" t="str">
        <f>IF($A129="","",IFERROR(INDEX(TEAM!$D:$D,MATCH($C129,TEAM!$A:$A,0)),0))</f>
        <v/>
      </c>
      <c r="I129" s="34" t="str">
        <f t="shared" si="24"/>
        <v/>
      </c>
      <c r="J129" s="34" t="str">
        <f t="shared" si="25"/>
        <v/>
      </c>
      <c r="K129" s="34" t="str">
        <f t="shared" si="26"/>
        <v/>
      </c>
      <c r="L129" s="33" t="str">
        <f>IF($A129="","",SUMIFS(ORE!$F:$F,ORE!$B:$B,$B129,ORE!$E:$E,$C129))</f>
        <v/>
      </c>
      <c r="M129" s="33" t="str">
        <f>IF($A129="","",SUMIFS(PREVISIONE_ORE!$G:$G,PREVISIONE_ORE!$D:$D,$B129,PREVISIONE_ORE!$E:$E,$C129,PREVISIONE_ORE!$K:$K,"Sì"))</f>
        <v/>
      </c>
      <c r="N129" s="33" t="str">
        <f>IF($A129="","",IF(COUNTIFS(PREVISIONE_ORE!$D:$D,$B129,PREVISIONE_ORE!$E:$E,$C129,PREVISIONE_ORE!$K:$K,"Sì")&gt;0,$L129+$M129,MAX($L129,$F129)))</f>
        <v/>
      </c>
      <c r="O129" s="33" t="str">
        <f t="shared" si="27"/>
        <v/>
      </c>
      <c r="P129" s="34" t="str">
        <f t="shared" si="28"/>
        <v/>
      </c>
      <c r="Q129" s="34" t="str">
        <f t="shared" si="29"/>
        <v/>
      </c>
      <c r="R129" s="35" t="str">
        <f t="shared" si="30"/>
        <v/>
      </c>
      <c r="S129" s="36" t="str">
        <f t="shared" si="31"/>
        <v/>
      </c>
    </row>
    <row r="130" spans="1:19" x14ac:dyDescent="0.3">
      <c r="A130" s="42"/>
      <c r="B130" s="42"/>
      <c r="C130" s="42"/>
      <c r="D130" s="36" t="str">
        <f>IF($A130="","",IFERROR(INDEX(TEAM!$B:$B,MATCH($C130,TEAM!$A:$A,0)),""))</f>
        <v/>
      </c>
      <c r="E130" s="42"/>
      <c r="F130" s="48"/>
      <c r="G130" s="47" t="str">
        <f>IF($A130="","",IFERROR(INDEX(TEAM!$C:$C,MATCH($C130,TEAM!$A:$A,0)),0))</f>
        <v/>
      </c>
      <c r="H130" s="47" t="str">
        <f>IF($A130="","",IFERROR(INDEX(TEAM!$D:$D,MATCH($C130,TEAM!$A:$A,0)),0))</f>
        <v/>
      </c>
      <c r="I130" s="34" t="str">
        <f t="shared" ref="I130:I161" si="32">IF($A130="","",$F130*$H130)</f>
        <v/>
      </c>
      <c r="J130" s="34" t="str">
        <f t="shared" ref="J130:J161" si="33">IF($A130="","",$F130*$G130)</f>
        <v/>
      </c>
      <c r="K130" s="34" t="str">
        <f t="shared" ref="K130:K161" si="34">IF($A130="","",$I130-$J130)</f>
        <v/>
      </c>
      <c r="L130" s="33" t="str">
        <f>IF($A130="","",SUMIFS(ORE!$F:$F,ORE!$B:$B,$B130,ORE!$E:$E,$C130))</f>
        <v/>
      </c>
      <c r="M130" s="33" t="str">
        <f>IF($A130="","",SUMIFS(PREVISIONE_ORE!$G:$G,PREVISIONE_ORE!$D:$D,$B130,PREVISIONE_ORE!$E:$E,$C130,PREVISIONE_ORE!$K:$K,"Sì"))</f>
        <v/>
      </c>
      <c r="N130" s="33" t="str">
        <f>IF($A130="","",IF(COUNTIFS(PREVISIONE_ORE!$D:$D,$B130,PREVISIONE_ORE!$E:$E,$C130,PREVISIONE_ORE!$K:$K,"Sì")&gt;0,$L130+$M130,MAX($L130,$F130)))</f>
        <v/>
      </c>
      <c r="O130" s="33" t="str">
        <f t="shared" ref="O130:O161" si="35">IF($A130="","",$N130-$F130)</f>
        <v/>
      </c>
      <c r="P130" s="34" t="str">
        <f t="shared" ref="P130:P161" si="36">IF($A130="","",$N130*$G130)</f>
        <v/>
      </c>
      <c r="Q130" s="34" t="str">
        <f t="shared" ref="Q130:Q161" si="37">IF($A130="","",$N130*$H130)</f>
        <v/>
      </c>
      <c r="R130" s="35" t="str">
        <f t="shared" ref="R130:R161" si="38">IF($A130="","",IFERROR($L130/$F130,0))</f>
        <v/>
      </c>
      <c r="S130" s="36" t="str">
        <f t="shared" ref="S130:S161" si="39">IF($A130="","",IF($O130&gt;$F130*0.15,"SFORAMENTO OLTRE 15%",IF($O130&gt;0,"SOPRA LA STIMA",IF($R130&gt;ALLERTA_ORE,"CONSUMO ELEVATO","OK"))))</f>
        <v/>
      </c>
    </row>
    <row r="131" spans="1:19" x14ac:dyDescent="0.3">
      <c r="A131" s="42"/>
      <c r="B131" s="42"/>
      <c r="C131" s="42"/>
      <c r="D131" s="36" t="str">
        <f>IF($A131="","",IFERROR(INDEX(TEAM!$B:$B,MATCH($C131,TEAM!$A:$A,0)),""))</f>
        <v/>
      </c>
      <c r="E131" s="42"/>
      <c r="F131" s="48"/>
      <c r="G131" s="47" t="str">
        <f>IF($A131="","",IFERROR(INDEX(TEAM!$C:$C,MATCH($C131,TEAM!$A:$A,0)),0))</f>
        <v/>
      </c>
      <c r="H131" s="47" t="str">
        <f>IF($A131="","",IFERROR(INDEX(TEAM!$D:$D,MATCH($C131,TEAM!$A:$A,0)),0))</f>
        <v/>
      </c>
      <c r="I131" s="34" t="str">
        <f t="shared" si="32"/>
        <v/>
      </c>
      <c r="J131" s="34" t="str">
        <f t="shared" si="33"/>
        <v/>
      </c>
      <c r="K131" s="34" t="str">
        <f t="shared" si="34"/>
        <v/>
      </c>
      <c r="L131" s="33" t="str">
        <f>IF($A131="","",SUMIFS(ORE!$F:$F,ORE!$B:$B,$B131,ORE!$E:$E,$C131))</f>
        <v/>
      </c>
      <c r="M131" s="33" t="str">
        <f>IF($A131="","",SUMIFS(PREVISIONE_ORE!$G:$G,PREVISIONE_ORE!$D:$D,$B131,PREVISIONE_ORE!$E:$E,$C131,PREVISIONE_ORE!$K:$K,"Sì"))</f>
        <v/>
      </c>
      <c r="N131" s="33" t="str">
        <f>IF($A131="","",IF(COUNTIFS(PREVISIONE_ORE!$D:$D,$B131,PREVISIONE_ORE!$E:$E,$C131,PREVISIONE_ORE!$K:$K,"Sì")&gt;0,$L131+$M131,MAX($L131,$F131)))</f>
        <v/>
      </c>
      <c r="O131" s="33" t="str">
        <f t="shared" si="35"/>
        <v/>
      </c>
      <c r="P131" s="34" t="str">
        <f t="shared" si="36"/>
        <v/>
      </c>
      <c r="Q131" s="34" t="str">
        <f t="shared" si="37"/>
        <v/>
      </c>
      <c r="R131" s="35" t="str">
        <f t="shared" si="38"/>
        <v/>
      </c>
      <c r="S131" s="36" t="str">
        <f t="shared" si="39"/>
        <v/>
      </c>
    </row>
    <row r="132" spans="1:19" x14ac:dyDescent="0.3">
      <c r="A132" s="42"/>
      <c r="B132" s="42"/>
      <c r="C132" s="42"/>
      <c r="D132" s="36" t="str">
        <f>IF($A132="","",IFERROR(INDEX(TEAM!$B:$B,MATCH($C132,TEAM!$A:$A,0)),""))</f>
        <v/>
      </c>
      <c r="E132" s="42"/>
      <c r="F132" s="48"/>
      <c r="G132" s="47" t="str">
        <f>IF($A132="","",IFERROR(INDEX(TEAM!$C:$C,MATCH($C132,TEAM!$A:$A,0)),0))</f>
        <v/>
      </c>
      <c r="H132" s="47" t="str">
        <f>IF($A132="","",IFERROR(INDEX(TEAM!$D:$D,MATCH($C132,TEAM!$A:$A,0)),0))</f>
        <v/>
      </c>
      <c r="I132" s="34" t="str">
        <f t="shared" si="32"/>
        <v/>
      </c>
      <c r="J132" s="34" t="str">
        <f t="shared" si="33"/>
        <v/>
      </c>
      <c r="K132" s="34" t="str">
        <f t="shared" si="34"/>
        <v/>
      </c>
      <c r="L132" s="33" t="str">
        <f>IF($A132="","",SUMIFS(ORE!$F:$F,ORE!$B:$B,$B132,ORE!$E:$E,$C132))</f>
        <v/>
      </c>
      <c r="M132" s="33" t="str">
        <f>IF($A132="","",SUMIFS(PREVISIONE_ORE!$G:$G,PREVISIONE_ORE!$D:$D,$B132,PREVISIONE_ORE!$E:$E,$C132,PREVISIONE_ORE!$K:$K,"Sì"))</f>
        <v/>
      </c>
      <c r="N132" s="33" t="str">
        <f>IF($A132="","",IF(COUNTIFS(PREVISIONE_ORE!$D:$D,$B132,PREVISIONE_ORE!$E:$E,$C132,PREVISIONE_ORE!$K:$K,"Sì")&gt;0,$L132+$M132,MAX($L132,$F132)))</f>
        <v/>
      </c>
      <c r="O132" s="33" t="str">
        <f t="shared" si="35"/>
        <v/>
      </c>
      <c r="P132" s="34" t="str">
        <f t="shared" si="36"/>
        <v/>
      </c>
      <c r="Q132" s="34" t="str">
        <f t="shared" si="37"/>
        <v/>
      </c>
      <c r="R132" s="35" t="str">
        <f t="shared" si="38"/>
        <v/>
      </c>
      <c r="S132" s="36" t="str">
        <f t="shared" si="39"/>
        <v/>
      </c>
    </row>
    <row r="133" spans="1:19" x14ac:dyDescent="0.3">
      <c r="A133" s="42"/>
      <c r="B133" s="42"/>
      <c r="C133" s="42"/>
      <c r="D133" s="36" t="str">
        <f>IF($A133="","",IFERROR(INDEX(TEAM!$B:$B,MATCH($C133,TEAM!$A:$A,0)),""))</f>
        <v/>
      </c>
      <c r="E133" s="42"/>
      <c r="F133" s="48"/>
      <c r="G133" s="47" t="str">
        <f>IF($A133="","",IFERROR(INDEX(TEAM!$C:$C,MATCH($C133,TEAM!$A:$A,0)),0))</f>
        <v/>
      </c>
      <c r="H133" s="47" t="str">
        <f>IF($A133="","",IFERROR(INDEX(TEAM!$D:$D,MATCH($C133,TEAM!$A:$A,0)),0))</f>
        <v/>
      </c>
      <c r="I133" s="34" t="str">
        <f t="shared" si="32"/>
        <v/>
      </c>
      <c r="J133" s="34" t="str">
        <f t="shared" si="33"/>
        <v/>
      </c>
      <c r="K133" s="34" t="str">
        <f t="shared" si="34"/>
        <v/>
      </c>
      <c r="L133" s="33" t="str">
        <f>IF($A133="","",SUMIFS(ORE!$F:$F,ORE!$B:$B,$B133,ORE!$E:$E,$C133))</f>
        <v/>
      </c>
      <c r="M133" s="33" t="str">
        <f>IF($A133="","",SUMIFS(PREVISIONE_ORE!$G:$G,PREVISIONE_ORE!$D:$D,$B133,PREVISIONE_ORE!$E:$E,$C133,PREVISIONE_ORE!$K:$K,"Sì"))</f>
        <v/>
      </c>
      <c r="N133" s="33" t="str">
        <f>IF($A133="","",IF(COUNTIFS(PREVISIONE_ORE!$D:$D,$B133,PREVISIONE_ORE!$E:$E,$C133,PREVISIONE_ORE!$K:$K,"Sì")&gt;0,$L133+$M133,MAX($L133,$F133)))</f>
        <v/>
      </c>
      <c r="O133" s="33" t="str">
        <f t="shared" si="35"/>
        <v/>
      </c>
      <c r="P133" s="34" t="str">
        <f t="shared" si="36"/>
        <v/>
      </c>
      <c r="Q133" s="34" t="str">
        <f t="shared" si="37"/>
        <v/>
      </c>
      <c r="R133" s="35" t="str">
        <f t="shared" si="38"/>
        <v/>
      </c>
      <c r="S133" s="36" t="str">
        <f t="shared" si="39"/>
        <v/>
      </c>
    </row>
    <row r="134" spans="1:19" x14ac:dyDescent="0.3">
      <c r="A134" s="42"/>
      <c r="B134" s="42"/>
      <c r="C134" s="42"/>
      <c r="D134" s="36" t="str">
        <f>IF($A134="","",IFERROR(INDEX(TEAM!$B:$B,MATCH($C134,TEAM!$A:$A,0)),""))</f>
        <v/>
      </c>
      <c r="E134" s="42"/>
      <c r="F134" s="48"/>
      <c r="G134" s="47" t="str">
        <f>IF($A134="","",IFERROR(INDEX(TEAM!$C:$C,MATCH($C134,TEAM!$A:$A,0)),0))</f>
        <v/>
      </c>
      <c r="H134" s="47" t="str">
        <f>IF($A134="","",IFERROR(INDEX(TEAM!$D:$D,MATCH($C134,TEAM!$A:$A,0)),0))</f>
        <v/>
      </c>
      <c r="I134" s="34" t="str">
        <f t="shared" si="32"/>
        <v/>
      </c>
      <c r="J134" s="34" t="str">
        <f t="shared" si="33"/>
        <v/>
      </c>
      <c r="K134" s="34" t="str">
        <f t="shared" si="34"/>
        <v/>
      </c>
      <c r="L134" s="33" t="str">
        <f>IF($A134="","",SUMIFS(ORE!$F:$F,ORE!$B:$B,$B134,ORE!$E:$E,$C134))</f>
        <v/>
      </c>
      <c r="M134" s="33" t="str">
        <f>IF($A134="","",SUMIFS(PREVISIONE_ORE!$G:$G,PREVISIONE_ORE!$D:$D,$B134,PREVISIONE_ORE!$E:$E,$C134,PREVISIONE_ORE!$K:$K,"Sì"))</f>
        <v/>
      </c>
      <c r="N134" s="33" t="str">
        <f>IF($A134="","",IF(COUNTIFS(PREVISIONE_ORE!$D:$D,$B134,PREVISIONE_ORE!$E:$E,$C134,PREVISIONE_ORE!$K:$K,"Sì")&gt;0,$L134+$M134,MAX($L134,$F134)))</f>
        <v/>
      </c>
      <c r="O134" s="33" t="str">
        <f t="shared" si="35"/>
        <v/>
      </c>
      <c r="P134" s="34" t="str">
        <f t="shared" si="36"/>
        <v/>
      </c>
      <c r="Q134" s="34" t="str">
        <f t="shared" si="37"/>
        <v/>
      </c>
      <c r="R134" s="35" t="str">
        <f t="shared" si="38"/>
        <v/>
      </c>
      <c r="S134" s="36" t="str">
        <f t="shared" si="39"/>
        <v/>
      </c>
    </row>
    <row r="135" spans="1:19" x14ac:dyDescent="0.3">
      <c r="A135" s="42"/>
      <c r="B135" s="42"/>
      <c r="C135" s="42"/>
      <c r="D135" s="36" t="str">
        <f>IF($A135="","",IFERROR(INDEX(TEAM!$B:$B,MATCH($C135,TEAM!$A:$A,0)),""))</f>
        <v/>
      </c>
      <c r="E135" s="42"/>
      <c r="F135" s="48"/>
      <c r="G135" s="47" t="str">
        <f>IF($A135="","",IFERROR(INDEX(TEAM!$C:$C,MATCH($C135,TEAM!$A:$A,0)),0))</f>
        <v/>
      </c>
      <c r="H135" s="47" t="str">
        <f>IF($A135="","",IFERROR(INDEX(TEAM!$D:$D,MATCH($C135,TEAM!$A:$A,0)),0))</f>
        <v/>
      </c>
      <c r="I135" s="34" t="str">
        <f t="shared" si="32"/>
        <v/>
      </c>
      <c r="J135" s="34" t="str">
        <f t="shared" si="33"/>
        <v/>
      </c>
      <c r="K135" s="34" t="str">
        <f t="shared" si="34"/>
        <v/>
      </c>
      <c r="L135" s="33" t="str">
        <f>IF($A135="","",SUMIFS(ORE!$F:$F,ORE!$B:$B,$B135,ORE!$E:$E,$C135))</f>
        <v/>
      </c>
      <c r="M135" s="33" t="str">
        <f>IF($A135="","",SUMIFS(PREVISIONE_ORE!$G:$G,PREVISIONE_ORE!$D:$D,$B135,PREVISIONE_ORE!$E:$E,$C135,PREVISIONE_ORE!$K:$K,"Sì"))</f>
        <v/>
      </c>
      <c r="N135" s="33" t="str">
        <f>IF($A135="","",IF(COUNTIFS(PREVISIONE_ORE!$D:$D,$B135,PREVISIONE_ORE!$E:$E,$C135,PREVISIONE_ORE!$K:$K,"Sì")&gt;0,$L135+$M135,MAX($L135,$F135)))</f>
        <v/>
      </c>
      <c r="O135" s="33" t="str">
        <f t="shared" si="35"/>
        <v/>
      </c>
      <c r="P135" s="34" t="str">
        <f t="shared" si="36"/>
        <v/>
      </c>
      <c r="Q135" s="34" t="str">
        <f t="shared" si="37"/>
        <v/>
      </c>
      <c r="R135" s="35" t="str">
        <f t="shared" si="38"/>
        <v/>
      </c>
      <c r="S135" s="36" t="str">
        <f t="shared" si="39"/>
        <v/>
      </c>
    </row>
    <row r="136" spans="1:19" x14ac:dyDescent="0.3">
      <c r="A136" s="42"/>
      <c r="B136" s="42"/>
      <c r="C136" s="42"/>
      <c r="D136" s="36" t="str">
        <f>IF($A136="","",IFERROR(INDEX(TEAM!$B:$B,MATCH($C136,TEAM!$A:$A,0)),""))</f>
        <v/>
      </c>
      <c r="E136" s="42"/>
      <c r="F136" s="48"/>
      <c r="G136" s="47" t="str">
        <f>IF($A136="","",IFERROR(INDEX(TEAM!$C:$C,MATCH($C136,TEAM!$A:$A,0)),0))</f>
        <v/>
      </c>
      <c r="H136" s="47" t="str">
        <f>IF($A136="","",IFERROR(INDEX(TEAM!$D:$D,MATCH($C136,TEAM!$A:$A,0)),0))</f>
        <v/>
      </c>
      <c r="I136" s="34" t="str">
        <f t="shared" si="32"/>
        <v/>
      </c>
      <c r="J136" s="34" t="str">
        <f t="shared" si="33"/>
        <v/>
      </c>
      <c r="K136" s="34" t="str">
        <f t="shared" si="34"/>
        <v/>
      </c>
      <c r="L136" s="33" t="str">
        <f>IF($A136="","",SUMIFS(ORE!$F:$F,ORE!$B:$B,$B136,ORE!$E:$E,$C136))</f>
        <v/>
      </c>
      <c r="M136" s="33" t="str">
        <f>IF($A136="","",SUMIFS(PREVISIONE_ORE!$G:$G,PREVISIONE_ORE!$D:$D,$B136,PREVISIONE_ORE!$E:$E,$C136,PREVISIONE_ORE!$K:$K,"Sì"))</f>
        <v/>
      </c>
      <c r="N136" s="33" t="str">
        <f>IF($A136="","",IF(COUNTIFS(PREVISIONE_ORE!$D:$D,$B136,PREVISIONE_ORE!$E:$E,$C136,PREVISIONE_ORE!$K:$K,"Sì")&gt;0,$L136+$M136,MAX($L136,$F136)))</f>
        <v/>
      </c>
      <c r="O136" s="33" t="str">
        <f t="shared" si="35"/>
        <v/>
      </c>
      <c r="P136" s="34" t="str">
        <f t="shared" si="36"/>
        <v/>
      </c>
      <c r="Q136" s="34" t="str">
        <f t="shared" si="37"/>
        <v/>
      </c>
      <c r="R136" s="35" t="str">
        <f t="shared" si="38"/>
        <v/>
      </c>
      <c r="S136" s="36" t="str">
        <f t="shared" si="39"/>
        <v/>
      </c>
    </row>
    <row r="137" spans="1:19" x14ac:dyDescent="0.3">
      <c r="A137" s="42"/>
      <c r="B137" s="42"/>
      <c r="C137" s="42"/>
      <c r="D137" s="36" t="str">
        <f>IF($A137="","",IFERROR(INDEX(TEAM!$B:$B,MATCH($C137,TEAM!$A:$A,0)),""))</f>
        <v/>
      </c>
      <c r="E137" s="42"/>
      <c r="F137" s="48"/>
      <c r="G137" s="47" t="str">
        <f>IF($A137="","",IFERROR(INDEX(TEAM!$C:$C,MATCH($C137,TEAM!$A:$A,0)),0))</f>
        <v/>
      </c>
      <c r="H137" s="47" t="str">
        <f>IF($A137="","",IFERROR(INDEX(TEAM!$D:$D,MATCH($C137,TEAM!$A:$A,0)),0))</f>
        <v/>
      </c>
      <c r="I137" s="34" t="str">
        <f t="shared" si="32"/>
        <v/>
      </c>
      <c r="J137" s="34" t="str">
        <f t="shared" si="33"/>
        <v/>
      </c>
      <c r="K137" s="34" t="str">
        <f t="shared" si="34"/>
        <v/>
      </c>
      <c r="L137" s="33" t="str">
        <f>IF($A137="","",SUMIFS(ORE!$F:$F,ORE!$B:$B,$B137,ORE!$E:$E,$C137))</f>
        <v/>
      </c>
      <c r="M137" s="33" t="str">
        <f>IF($A137="","",SUMIFS(PREVISIONE_ORE!$G:$G,PREVISIONE_ORE!$D:$D,$B137,PREVISIONE_ORE!$E:$E,$C137,PREVISIONE_ORE!$K:$K,"Sì"))</f>
        <v/>
      </c>
      <c r="N137" s="33" t="str">
        <f>IF($A137="","",IF(COUNTIFS(PREVISIONE_ORE!$D:$D,$B137,PREVISIONE_ORE!$E:$E,$C137,PREVISIONE_ORE!$K:$K,"Sì")&gt;0,$L137+$M137,MAX($L137,$F137)))</f>
        <v/>
      </c>
      <c r="O137" s="33" t="str">
        <f t="shared" si="35"/>
        <v/>
      </c>
      <c r="P137" s="34" t="str">
        <f t="shared" si="36"/>
        <v/>
      </c>
      <c r="Q137" s="34" t="str">
        <f t="shared" si="37"/>
        <v/>
      </c>
      <c r="R137" s="35" t="str">
        <f t="shared" si="38"/>
        <v/>
      </c>
      <c r="S137" s="36" t="str">
        <f t="shared" si="39"/>
        <v/>
      </c>
    </row>
    <row r="138" spans="1:19" x14ac:dyDescent="0.3">
      <c r="A138" s="42"/>
      <c r="B138" s="42"/>
      <c r="C138" s="42"/>
      <c r="D138" s="36" t="str">
        <f>IF($A138="","",IFERROR(INDEX(TEAM!$B:$B,MATCH($C138,TEAM!$A:$A,0)),""))</f>
        <v/>
      </c>
      <c r="E138" s="42"/>
      <c r="F138" s="48"/>
      <c r="G138" s="47" t="str">
        <f>IF($A138="","",IFERROR(INDEX(TEAM!$C:$C,MATCH($C138,TEAM!$A:$A,0)),0))</f>
        <v/>
      </c>
      <c r="H138" s="47" t="str">
        <f>IF($A138="","",IFERROR(INDEX(TEAM!$D:$D,MATCH($C138,TEAM!$A:$A,0)),0))</f>
        <v/>
      </c>
      <c r="I138" s="34" t="str">
        <f t="shared" si="32"/>
        <v/>
      </c>
      <c r="J138" s="34" t="str">
        <f t="shared" si="33"/>
        <v/>
      </c>
      <c r="K138" s="34" t="str">
        <f t="shared" si="34"/>
        <v/>
      </c>
      <c r="L138" s="33" t="str">
        <f>IF($A138="","",SUMIFS(ORE!$F:$F,ORE!$B:$B,$B138,ORE!$E:$E,$C138))</f>
        <v/>
      </c>
      <c r="M138" s="33" t="str">
        <f>IF($A138="","",SUMIFS(PREVISIONE_ORE!$G:$G,PREVISIONE_ORE!$D:$D,$B138,PREVISIONE_ORE!$E:$E,$C138,PREVISIONE_ORE!$K:$K,"Sì"))</f>
        <v/>
      </c>
      <c r="N138" s="33" t="str">
        <f>IF($A138="","",IF(COUNTIFS(PREVISIONE_ORE!$D:$D,$B138,PREVISIONE_ORE!$E:$E,$C138,PREVISIONE_ORE!$K:$K,"Sì")&gt;0,$L138+$M138,MAX($L138,$F138)))</f>
        <v/>
      </c>
      <c r="O138" s="33" t="str">
        <f t="shared" si="35"/>
        <v/>
      </c>
      <c r="P138" s="34" t="str">
        <f t="shared" si="36"/>
        <v/>
      </c>
      <c r="Q138" s="34" t="str">
        <f t="shared" si="37"/>
        <v/>
      </c>
      <c r="R138" s="35" t="str">
        <f t="shared" si="38"/>
        <v/>
      </c>
      <c r="S138" s="36" t="str">
        <f t="shared" si="39"/>
        <v/>
      </c>
    </row>
    <row r="139" spans="1:19" x14ac:dyDescent="0.3">
      <c r="A139" s="42"/>
      <c r="B139" s="42"/>
      <c r="C139" s="42"/>
      <c r="D139" s="36" t="str">
        <f>IF($A139="","",IFERROR(INDEX(TEAM!$B:$B,MATCH($C139,TEAM!$A:$A,0)),""))</f>
        <v/>
      </c>
      <c r="E139" s="42"/>
      <c r="F139" s="48"/>
      <c r="G139" s="47" t="str">
        <f>IF($A139="","",IFERROR(INDEX(TEAM!$C:$C,MATCH($C139,TEAM!$A:$A,0)),0))</f>
        <v/>
      </c>
      <c r="H139" s="47" t="str">
        <f>IF($A139="","",IFERROR(INDEX(TEAM!$D:$D,MATCH($C139,TEAM!$A:$A,0)),0))</f>
        <v/>
      </c>
      <c r="I139" s="34" t="str">
        <f t="shared" si="32"/>
        <v/>
      </c>
      <c r="J139" s="34" t="str">
        <f t="shared" si="33"/>
        <v/>
      </c>
      <c r="K139" s="34" t="str">
        <f t="shared" si="34"/>
        <v/>
      </c>
      <c r="L139" s="33" t="str">
        <f>IF($A139="","",SUMIFS(ORE!$F:$F,ORE!$B:$B,$B139,ORE!$E:$E,$C139))</f>
        <v/>
      </c>
      <c r="M139" s="33" t="str">
        <f>IF($A139="","",SUMIFS(PREVISIONE_ORE!$G:$G,PREVISIONE_ORE!$D:$D,$B139,PREVISIONE_ORE!$E:$E,$C139,PREVISIONE_ORE!$K:$K,"Sì"))</f>
        <v/>
      </c>
      <c r="N139" s="33" t="str">
        <f>IF($A139="","",IF(COUNTIFS(PREVISIONE_ORE!$D:$D,$B139,PREVISIONE_ORE!$E:$E,$C139,PREVISIONE_ORE!$K:$K,"Sì")&gt;0,$L139+$M139,MAX($L139,$F139)))</f>
        <v/>
      </c>
      <c r="O139" s="33" t="str">
        <f t="shared" si="35"/>
        <v/>
      </c>
      <c r="P139" s="34" t="str">
        <f t="shared" si="36"/>
        <v/>
      </c>
      <c r="Q139" s="34" t="str">
        <f t="shared" si="37"/>
        <v/>
      </c>
      <c r="R139" s="35" t="str">
        <f t="shared" si="38"/>
        <v/>
      </c>
      <c r="S139" s="36" t="str">
        <f t="shared" si="39"/>
        <v/>
      </c>
    </row>
    <row r="140" spans="1:19" x14ac:dyDescent="0.3">
      <c r="A140" s="42"/>
      <c r="B140" s="42"/>
      <c r="C140" s="42"/>
      <c r="D140" s="36" t="str">
        <f>IF($A140="","",IFERROR(INDEX(TEAM!$B:$B,MATCH($C140,TEAM!$A:$A,0)),""))</f>
        <v/>
      </c>
      <c r="E140" s="42"/>
      <c r="F140" s="48"/>
      <c r="G140" s="47" t="str">
        <f>IF($A140="","",IFERROR(INDEX(TEAM!$C:$C,MATCH($C140,TEAM!$A:$A,0)),0))</f>
        <v/>
      </c>
      <c r="H140" s="47" t="str">
        <f>IF($A140="","",IFERROR(INDEX(TEAM!$D:$D,MATCH($C140,TEAM!$A:$A,0)),0))</f>
        <v/>
      </c>
      <c r="I140" s="34" t="str">
        <f t="shared" si="32"/>
        <v/>
      </c>
      <c r="J140" s="34" t="str">
        <f t="shared" si="33"/>
        <v/>
      </c>
      <c r="K140" s="34" t="str">
        <f t="shared" si="34"/>
        <v/>
      </c>
      <c r="L140" s="33" t="str">
        <f>IF($A140="","",SUMIFS(ORE!$F:$F,ORE!$B:$B,$B140,ORE!$E:$E,$C140))</f>
        <v/>
      </c>
      <c r="M140" s="33" t="str">
        <f>IF($A140="","",SUMIFS(PREVISIONE_ORE!$G:$G,PREVISIONE_ORE!$D:$D,$B140,PREVISIONE_ORE!$E:$E,$C140,PREVISIONE_ORE!$K:$K,"Sì"))</f>
        <v/>
      </c>
      <c r="N140" s="33" t="str">
        <f>IF($A140="","",IF(COUNTIFS(PREVISIONE_ORE!$D:$D,$B140,PREVISIONE_ORE!$E:$E,$C140,PREVISIONE_ORE!$K:$K,"Sì")&gt;0,$L140+$M140,MAX($L140,$F140)))</f>
        <v/>
      </c>
      <c r="O140" s="33" t="str">
        <f t="shared" si="35"/>
        <v/>
      </c>
      <c r="P140" s="34" t="str">
        <f t="shared" si="36"/>
        <v/>
      </c>
      <c r="Q140" s="34" t="str">
        <f t="shared" si="37"/>
        <v/>
      </c>
      <c r="R140" s="35" t="str">
        <f t="shared" si="38"/>
        <v/>
      </c>
      <c r="S140" s="36" t="str">
        <f t="shared" si="39"/>
        <v/>
      </c>
    </row>
    <row r="141" spans="1:19" x14ac:dyDescent="0.3">
      <c r="A141" s="42"/>
      <c r="B141" s="42"/>
      <c r="C141" s="42"/>
      <c r="D141" s="36" t="str">
        <f>IF($A141="","",IFERROR(INDEX(TEAM!$B:$B,MATCH($C141,TEAM!$A:$A,0)),""))</f>
        <v/>
      </c>
      <c r="E141" s="42"/>
      <c r="F141" s="48"/>
      <c r="G141" s="47" t="str">
        <f>IF($A141="","",IFERROR(INDEX(TEAM!$C:$C,MATCH($C141,TEAM!$A:$A,0)),0))</f>
        <v/>
      </c>
      <c r="H141" s="47" t="str">
        <f>IF($A141="","",IFERROR(INDEX(TEAM!$D:$D,MATCH($C141,TEAM!$A:$A,0)),0))</f>
        <v/>
      </c>
      <c r="I141" s="34" t="str">
        <f t="shared" si="32"/>
        <v/>
      </c>
      <c r="J141" s="34" t="str">
        <f t="shared" si="33"/>
        <v/>
      </c>
      <c r="K141" s="34" t="str">
        <f t="shared" si="34"/>
        <v/>
      </c>
      <c r="L141" s="33" t="str">
        <f>IF($A141="","",SUMIFS(ORE!$F:$F,ORE!$B:$B,$B141,ORE!$E:$E,$C141))</f>
        <v/>
      </c>
      <c r="M141" s="33" t="str">
        <f>IF($A141="","",SUMIFS(PREVISIONE_ORE!$G:$G,PREVISIONE_ORE!$D:$D,$B141,PREVISIONE_ORE!$E:$E,$C141,PREVISIONE_ORE!$K:$K,"Sì"))</f>
        <v/>
      </c>
      <c r="N141" s="33" t="str">
        <f>IF($A141="","",IF(COUNTIFS(PREVISIONE_ORE!$D:$D,$B141,PREVISIONE_ORE!$E:$E,$C141,PREVISIONE_ORE!$K:$K,"Sì")&gt;0,$L141+$M141,MAX($L141,$F141)))</f>
        <v/>
      </c>
      <c r="O141" s="33" t="str">
        <f t="shared" si="35"/>
        <v/>
      </c>
      <c r="P141" s="34" t="str">
        <f t="shared" si="36"/>
        <v/>
      </c>
      <c r="Q141" s="34" t="str">
        <f t="shared" si="37"/>
        <v/>
      </c>
      <c r="R141" s="35" t="str">
        <f t="shared" si="38"/>
        <v/>
      </c>
      <c r="S141" s="36" t="str">
        <f t="shared" si="39"/>
        <v/>
      </c>
    </row>
    <row r="142" spans="1:19" x14ac:dyDescent="0.3">
      <c r="A142" s="42"/>
      <c r="B142" s="42"/>
      <c r="C142" s="42"/>
      <c r="D142" s="36" t="str">
        <f>IF($A142="","",IFERROR(INDEX(TEAM!$B:$B,MATCH($C142,TEAM!$A:$A,0)),""))</f>
        <v/>
      </c>
      <c r="E142" s="42"/>
      <c r="F142" s="48"/>
      <c r="G142" s="47" t="str">
        <f>IF($A142="","",IFERROR(INDEX(TEAM!$C:$C,MATCH($C142,TEAM!$A:$A,0)),0))</f>
        <v/>
      </c>
      <c r="H142" s="47" t="str">
        <f>IF($A142="","",IFERROR(INDEX(TEAM!$D:$D,MATCH($C142,TEAM!$A:$A,0)),0))</f>
        <v/>
      </c>
      <c r="I142" s="34" t="str">
        <f t="shared" si="32"/>
        <v/>
      </c>
      <c r="J142" s="34" t="str">
        <f t="shared" si="33"/>
        <v/>
      </c>
      <c r="K142" s="34" t="str">
        <f t="shared" si="34"/>
        <v/>
      </c>
      <c r="L142" s="33" t="str">
        <f>IF($A142="","",SUMIFS(ORE!$F:$F,ORE!$B:$B,$B142,ORE!$E:$E,$C142))</f>
        <v/>
      </c>
      <c r="M142" s="33" t="str">
        <f>IF($A142="","",SUMIFS(PREVISIONE_ORE!$G:$G,PREVISIONE_ORE!$D:$D,$B142,PREVISIONE_ORE!$E:$E,$C142,PREVISIONE_ORE!$K:$K,"Sì"))</f>
        <v/>
      </c>
      <c r="N142" s="33" t="str">
        <f>IF($A142="","",IF(COUNTIFS(PREVISIONE_ORE!$D:$D,$B142,PREVISIONE_ORE!$E:$E,$C142,PREVISIONE_ORE!$K:$K,"Sì")&gt;0,$L142+$M142,MAX($L142,$F142)))</f>
        <v/>
      </c>
      <c r="O142" s="33" t="str">
        <f t="shared" si="35"/>
        <v/>
      </c>
      <c r="P142" s="34" t="str">
        <f t="shared" si="36"/>
        <v/>
      </c>
      <c r="Q142" s="34" t="str">
        <f t="shared" si="37"/>
        <v/>
      </c>
      <c r="R142" s="35" t="str">
        <f t="shared" si="38"/>
        <v/>
      </c>
      <c r="S142" s="36" t="str">
        <f t="shared" si="39"/>
        <v/>
      </c>
    </row>
    <row r="143" spans="1:19" x14ac:dyDescent="0.3">
      <c r="A143" s="42"/>
      <c r="B143" s="42"/>
      <c r="C143" s="42"/>
      <c r="D143" s="36" t="str">
        <f>IF($A143="","",IFERROR(INDEX(TEAM!$B:$B,MATCH($C143,TEAM!$A:$A,0)),""))</f>
        <v/>
      </c>
      <c r="E143" s="42"/>
      <c r="F143" s="48"/>
      <c r="G143" s="47" t="str">
        <f>IF($A143="","",IFERROR(INDEX(TEAM!$C:$C,MATCH($C143,TEAM!$A:$A,0)),0))</f>
        <v/>
      </c>
      <c r="H143" s="47" t="str">
        <f>IF($A143="","",IFERROR(INDEX(TEAM!$D:$D,MATCH($C143,TEAM!$A:$A,0)),0))</f>
        <v/>
      </c>
      <c r="I143" s="34" t="str">
        <f t="shared" si="32"/>
        <v/>
      </c>
      <c r="J143" s="34" t="str">
        <f t="shared" si="33"/>
        <v/>
      </c>
      <c r="K143" s="34" t="str">
        <f t="shared" si="34"/>
        <v/>
      </c>
      <c r="L143" s="33" t="str">
        <f>IF($A143="","",SUMIFS(ORE!$F:$F,ORE!$B:$B,$B143,ORE!$E:$E,$C143))</f>
        <v/>
      </c>
      <c r="M143" s="33" t="str">
        <f>IF($A143="","",SUMIFS(PREVISIONE_ORE!$G:$G,PREVISIONE_ORE!$D:$D,$B143,PREVISIONE_ORE!$E:$E,$C143,PREVISIONE_ORE!$K:$K,"Sì"))</f>
        <v/>
      </c>
      <c r="N143" s="33" t="str">
        <f>IF($A143="","",IF(COUNTIFS(PREVISIONE_ORE!$D:$D,$B143,PREVISIONE_ORE!$E:$E,$C143,PREVISIONE_ORE!$K:$K,"Sì")&gt;0,$L143+$M143,MAX($L143,$F143)))</f>
        <v/>
      </c>
      <c r="O143" s="33" t="str">
        <f t="shared" si="35"/>
        <v/>
      </c>
      <c r="P143" s="34" t="str">
        <f t="shared" si="36"/>
        <v/>
      </c>
      <c r="Q143" s="34" t="str">
        <f t="shared" si="37"/>
        <v/>
      </c>
      <c r="R143" s="35" t="str">
        <f t="shared" si="38"/>
        <v/>
      </c>
      <c r="S143" s="36" t="str">
        <f t="shared" si="39"/>
        <v/>
      </c>
    </row>
    <row r="144" spans="1:19" x14ac:dyDescent="0.3">
      <c r="A144" s="42"/>
      <c r="B144" s="42"/>
      <c r="C144" s="42"/>
      <c r="D144" s="36" t="str">
        <f>IF($A144="","",IFERROR(INDEX(TEAM!$B:$B,MATCH($C144,TEAM!$A:$A,0)),""))</f>
        <v/>
      </c>
      <c r="E144" s="42"/>
      <c r="F144" s="48"/>
      <c r="G144" s="47" t="str">
        <f>IF($A144="","",IFERROR(INDEX(TEAM!$C:$C,MATCH($C144,TEAM!$A:$A,0)),0))</f>
        <v/>
      </c>
      <c r="H144" s="47" t="str">
        <f>IF($A144="","",IFERROR(INDEX(TEAM!$D:$D,MATCH($C144,TEAM!$A:$A,0)),0))</f>
        <v/>
      </c>
      <c r="I144" s="34" t="str">
        <f t="shared" si="32"/>
        <v/>
      </c>
      <c r="J144" s="34" t="str">
        <f t="shared" si="33"/>
        <v/>
      </c>
      <c r="K144" s="34" t="str">
        <f t="shared" si="34"/>
        <v/>
      </c>
      <c r="L144" s="33" t="str">
        <f>IF($A144="","",SUMIFS(ORE!$F:$F,ORE!$B:$B,$B144,ORE!$E:$E,$C144))</f>
        <v/>
      </c>
      <c r="M144" s="33" t="str">
        <f>IF($A144="","",SUMIFS(PREVISIONE_ORE!$G:$G,PREVISIONE_ORE!$D:$D,$B144,PREVISIONE_ORE!$E:$E,$C144,PREVISIONE_ORE!$K:$K,"Sì"))</f>
        <v/>
      </c>
      <c r="N144" s="33" t="str">
        <f>IF($A144="","",IF(COUNTIFS(PREVISIONE_ORE!$D:$D,$B144,PREVISIONE_ORE!$E:$E,$C144,PREVISIONE_ORE!$K:$K,"Sì")&gt;0,$L144+$M144,MAX($L144,$F144)))</f>
        <v/>
      </c>
      <c r="O144" s="33" t="str">
        <f t="shared" si="35"/>
        <v/>
      </c>
      <c r="P144" s="34" t="str">
        <f t="shared" si="36"/>
        <v/>
      </c>
      <c r="Q144" s="34" t="str">
        <f t="shared" si="37"/>
        <v/>
      </c>
      <c r="R144" s="35" t="str">
        <f t="shared" si="38"/>
        <v/>
      </c>
      <c r="S144" s="36" t="str">
        <f t="shared" si="39"/>
        <v/>
      </c>
    </row>
    <row r="145" spans="1:19" x14ac:dyDescent="0.3">
      <c r="A145" s="42"/>
      <c r="B145" s="42"/>
      <c r="C145" s="42"/>
      <c r="D145" s="36" t="str">
        <f>IF($A145="","",IFERROR(INDEX(TEAM!$B:$B,MATCH($C145,TEAM!$A:$A,0)),""))</f>
        <v/>
      </c>
      <c r="E145" s="42"/>
      <c r="F145" s="48"/>
      <c r="G145" s="47" t="str">
        <f>IF($A145="","",IFERROR(INDEX(TEAM!$C:$C,MATCH($C145,TEAM!$A:$A,0)),0))</f>
        <v/>
      </c>
      <c r="H145" s="47" t="str">
        <f>IF($A145="","",IFERROR(INDEX(TEAM!$D:$D,MATCH($C145,TEAM!$A:$A,0)),0))</f>
        <v/>
      </c>
      <c r="I145" s="34" t="str">
        <f t="shared" si="32"/>
        <v/>
      </c>
      <c r="J145" s="34" t="str">
        <f t="shared" si="33"/>
        <v/>
      </c>
      <c r="K145" s="34" t="str">
        <f t="shared" si="34"/>
        <v/>
      </c>
      <c r="L145" s="33" t="str">
        <f>IF($A145="","",SUMIFS(ORE!$F:$F,ORE!$B:$B,$B145,ORE!$E:$E,$C145))</f>
        <v/>
      </c>
      <c r="M145" s="33" t="str">
        <f>IF($A145="","",SUMIFS(PREVISIONE_ORE!$G:$G,PREVISIONE_ORE!$D:$D,$B145,PREVISIONE_ORE!$E:$E,$C145,PREVISIONE_ORE!$K:$K,"Sì"))</f>
        <v/>
      </c>
      <c r="N145" s="33" t="str">
        <f>IF($A145="","",IF(COUNTIFS(PREVISIONE_ORE!$D:$D,$B145,PREVISIONE_ORE!$E:$E,$C145,PREVISIONE_ORE!$K:$K,"Sì")&gt;0,$L145+$M145,MAX($L145,$F145)))</f>
        <v/>
      </c>
      <c r="O145" s="33" t="str">
        <f t="shared" si="35"/>
        <v/>
      </c>
      <c r="P145" s="34" t="str">
        <f t="shared" si="36"/>
        <v/>
      </c>
      <c r="Q145" s="34" t="str">
        <f t="shared" si="37"/>
        <v/>
      </c>
      <c r="R145" s="35" t="str">
        <f t="shared" si="38"/>
        <v/>
      </c>
      <c r="S145" s="36" t="str">
        <f t="shared" si="39"/>
        <v/>
      </c>
    </row>
    <row r="146" spans="1:19" x14ac:dyDescent="0.3">
      <c r="A146" s="42"/>
      <c r="B146" s="42"/>
      <c r="C146" s="42"/>
      <c r="D146" s="36" t="str">
        <f>IF($A146="","",IFERROR(INDEX(TEAM!$B:$B,MATCH($C146,TEAM!$A:$A,0)),""))</f>
        <v/>
      </c>
      <c r="E146" s="42"/>
      <c r="F146" s="48"/>
      <c r="G146" s="47" t="str">
        <f>IF($A146="","",IFERROR(INDEX(TEAM!$C:$C,MATCH($C146,TEAM!$A:$A,0)),0))</f>
        <v/>
      </c>
      <c r="H146" s="47" t="str">
        <f>IF($A146="","",IFERROR(INDEX(TEAM!$D:$D,MATCH($C146,TEAM!$A:$A,0)),0))</f>
        <v/>
      </c>
      <c r="I146" s="34" t="str">
        <f t="shared" si="32"/>
        <v/>
      </c>
      <c r="J146" s="34" t="str">
        <f t="shared" si="33"/>
        <v/>
      </c>
      <c r="K146" s="34" t="str">
        <f t="shared" si="34"/>
        <v/>
      </c>
      <c r="L146" s="33" t="str">
        <f>IF($A146="","",SUMIFS(ORE!$F:$F,ORE!$B:$B,$B146,ORE!$E:$E,$C146))</f>
        <v/>
      </c>
      <c r="M146" s="33" t="str">
        <f>IF($A146="","",SUMIFS(PREVISIONE_ORE!$G:$G,PREVISIONE_ORE!$D:$D,$B146,PREVISIONE_ORE!$E:$E,$C146,PREVISIONE_ORE!$K:$K,"Sì"))</f>
        <v/>
      </c>
      <c r="N146" s="33" t="str">
        <f>IF($A146="","",IF(COUNTIFS(PREVISIONE_ORE!$D:$D,$B146,PREVISIONE_ORE!$E:$E,$C146,PREVISIONE_ORE!$K:$K,"Sì")&gt;0,$L146+$M146,MAX($L146,$F146)))</f>
        <v/>
      </c>
      <c r="O146" s="33" t="str">
        <f t="shared" si="35"/>
        <v/>
      </c>
      <c r="P146" s="34" t="str">
        <f t="shared" si="36"/>
        <v/>
      </c>
      <c r="Q146" s="34" t="str">
        <f t="shared" si="37"/>
        <v/>
      </c>
      <c r="R146" s="35" t="str">
        <f t="shared" si="38"/>
        <v/>
      </c>
      <c r="S146" s="36" t="str">
        <f t="shared" si="39"/>
        <v/>
      </c>
    </row>
    <row r="147" spans="1:19" x14ac:dyDescent="0.3">
      <c r="A147" s="42"/>
      <c r="B147" s="42"/>
      <c r="C147" s="42"/>
      <c r="D147" s="36" t="str">
        <f>IF($A147="","",IFERROR(INDEX(TEAM!$B:$B,MATCH($C147,TEAM!$A:$A,0)),""))</f>
        <v/>
      </c>
      <c r="E147" s="42"/>
      <c r="F147" s="48"/>
      <c r="G147" s="47" t="str">
        <f>IF($A147="","",IFERROR(INDEX(TEAM!$C:$C,MATCH($C147,TEAM!$A:$A,0)),0))</f>
        <v/>
      </c>
      <c r="H147" s="47" t="str">
        <f>IF($A147="","",IFERROR(INDEX(TEAM!$D:$D,MATCH($C147,TEAM!$A:$A,0)),0))</f>
        <v/>
      </c>
      <c r="I147" s="34" t="str">
        <f t="shared" si="32"/>
        <v/>
      </c>
      <c r="J147" s="34" t="str">
        <f t="shared" si="33"/>
        <v/>
      </c>
      <c r="K147" s="34" t="str">
        <f t="shared" si="34"/>
        <v/>
      </c>
      <c r="L147" s="33" t="str">
        <f>IF($A147="","",SUMIFS(ORE!$F:$F,ORE!$B:$B,$B147,ORE!$E:$E,$C147))</f>
        <v/>
      </c>
      <c r="M147" s="33" t="str">
        <f>IF($A147="","",SUMIFS(PREVISIONE_ORE!$G:$G,PREVISIONE_ORE!$D:$D,$B147,PREVISIONE_ORE!$E:$E,$C147,PREVISIONE_ORE!$K:$K,"Sì"))</f>
        <v/>
      </c>
      <c r="N147" s="33" t="str">
        <f>IF($A147="","",IF(COUNTIFS(PREVISIONE_ORE!$D:$D,$B147,PREVISIONE_ORE!$E:$E,$C147,PREVISIONE_ORE!$K:$K,"Sì")&gt;0,$L147+$M147,MAX($L147,$F147)))</f>
        <v/>
      </c>
      <c r="O147" s="33" t="str">
        <f t="shared" si="35"/>
        <v/>
      </c>
      <c r="P147" s="34" t="str">
        <f t="shared" si="36"/>
        <v/>
      </c>
      <c r="Q147" s="34" t="str">
        <f t="shared" si="37"/>
        <v/>
      </c>
      <c r="R147" s="35" t="str">
        <f t="shared" si="38"/>
        <v/>
      </c>
      <c r="S147" s="36" t="str">
        <f t="shared" si="39"/>
        <v/>
      </c>
    </row>
    <row r="148" spans="1:19" x14ac:dyDescent="0.3">
      <c r="A148" s="42"/>
      <c r="B148" s="42"/>
      <c r="C148" s="42"/>
      <c r="D148" s="36" t="str">
        <f>IF($A148="","",IFERROR(INDEX(TEAM!$B:$B,MATCH($C148,TEAM!$A:$A,0)),""))</f>
        <v/>
      </c>
      <c r="E148" s="42"/>
      <c r="F148" s="48"/>
      <c r="G148" s="47" t="str">
        <f>IF($A148="","",IFERROR(INDEX(TEAM!$C:$C,MATCH($C148,TEAM!$A:$A,0)),0))</f>
        <v/>
      </c>
      <c r="H148" s="47" t="str">
        <f>IF($A148="","",IFERROR(INDEX(TEAM!$D:$D,MATCH($C148,TEAM!$A:$A,0)),0))</f>
        <v/>
      </c>
      <c r="I148" s="34" t="str">
        <f t="shared" si="32"/>
        <v/>
      </c>
      <c r="J148" s="34" t="str">
        <f t="shared" si="33"/>
        <v/>
      </c>
      <c r="K148" s="34" t="str">
        <f t="shared" si="34"/>
        <v/>
      </c>
      <c r="L148" s="33" t="str">
        <f>IF($A148="","",SUMIFS(ORE!$F:$F,ORE!$B:$B,$B148,ORE!$E:$E,$C148))</f>
        <v/>
      </c>
      <c r="M148" s="33" t="str">
        <f>IF($A148="","",SUMIFS(PREVISIONE_ORE!$G:$G,PREVISIONE_ORE!$D:$D,$B148,PREVISIONE_ORE!$E:$E,$C148,PREVISIONE_ORE!$K:$K,"Sì"))</f>
        <v/>
      </c>
      <c r="N148" s="33" t="str">
        <f>IF($A148="","",IF(COUNTIFS(PREVISIONE_ORE!$D:$D,$B148,PREVISIONE_ORE!$E:$E,$C148,PREVISIONE_ORE!$K:$K,"Sì")&gt;0,$L148+$M148,MAX($L148,$F148)))</f>
        <v/>
      </c>
      <c r="O148" s="33" t="str">
        <f t="shared" si="35"/>
        <v/>
      </c>
      <c r="P148" s="34" t="str">
        <f t="shared" si="36"/>
        <v/>
      </c>
      <c r="Q148" s="34" t="str">
        <f t="shared" si="37"/>
        <v/>
      </c>
      <c r="R148" s="35" t="str">
        <f t="shared" si="38"/>
        <v/>
      </c>
      <c r="S148" s="36" t="str">
        <f t="shared" si="39"/>
        <v/>
      </c>
    </row>
    <row r="149" spans="1:19" x14ac:dyDescent="0.3">
      <c r="A149" s="42"/>
      <c r="B149" s="42"/>
      <c r="C149" s="42"/>
      <c r="D149" s="36" t="str">
        <f>IF($A149="","",IFERROR(INDEX(TEAM!$B:$B,MATCH($C149,TEAM!$A:$A,0)),""))</f>
        <v/>
      </c>
      <c r="E149" s="42"/>
      <c r="F149" s="48"/>
      <c r="G149" s="47" t="str">
        <f>IF($A149="","",IFERROR(INDEX(TEAM!$C:$C,MATCH($C149,TEAM!$A:$A,0)),0))</f>
        <v/>
      </c>
      <c r="H149" s="47" t="str">
        <f>IF($A149="","",IFERROR(INDEX(TEAM!$D:$D,MATCH($C149,TEAM!$A:$A,0)),0))</f>
        <v/>
      </c>
      <c r="I149" s="34" t="str">
        <f t="shared" si="32"/>
        <v/>
      </c>
      <c r="J149" s="34" t="str">
        <f t="shared" si="33"/>
        <v/>
      </c>
      <c r="K149" s="34" t="str">
        <f t="shared" si="34"/>
        <v/>
      </c>
      <c r="L149" s="33" t="str">
        <f>IF($A149="","",SUMIFS(ORE!$F:$F,ORE!$B:$B,$B149,ORE!$E:$E,$C149))</f>
        <v/>
      </c>
      <c r="M149" s="33" t="str">
        <f>IF($A149="","",SUMIFS(PREVISIONE_ORE!$G:$G,PREVISIONE_ORE!$D:$D,$B149,PREVISIONE_ORE!$E:$E,$C149,PREVISIONE_ORE!$K:$K,"Sì"))</f>
        <v/>
      </c>
      <c r="N149" s="33" t="str">
        <f>IF($A149="","",IF(COUNTIFS(PREVISIONE_ORE!$D:$D,$B149,PREVISIONE_ORE!$E:$E,$C149,PREVISIONE_ORE!$K:$K,"Sì")&gt;0,$L149+$M149,MAX($L149,$F149)))</f>
        <v/>
      </c>
      <c r="O149" s="33" t="str">
        <f t="shared" si="35"/>
        <v/>
      </c>
      <c r="P149" s="34" t="str">
        <f t="shared" si="36"/>
        <v/>
      </c>
      <c r="Q149" s="34" t="str">
        <f t="shared" si="37"/>
        <v/>
      </c>
      <c r="R149" s="35" t="str">
        <f t="shared" si="38"/>
        <v/>
      </c>
      <c r="S149" s="36" t="str">
        <f t="shared" si="39"/>
        <v/>
      </c>
    </row>
    <row r="150" spans="1:19" x14ac:dyDescent="0.3">
      <c r="A150" s="42"/>
      <c r="B150" s="42"/>
      <c r="C150" s="42"/>
      <c r="D150" s="36" t="str">
        <f>IF($A150="","",IFERROR(INDEX(TEAM!$B:$B,MATCH($C150,TEAM!$A:$A,0)),""))</f>
        <v/>
      </c>
      <c r="E150" s="42"/>
      <c r="F150" s="48"/>
      <c r="G150" s="47" t="str">
        <f>IF($A150="","",IFERROR(INDEX(TEAM!$C:$C,MATCH($C150,TEAM!$A:$A,0)),0))</f>
        <v/>
      </c>
      <c r="H150" s="47" t="str">
        <f>IF($A150="","",IFERROR(INDEX(TEAM!$D:$D,MATCH($C150,TEAM!$A:$A,0)),0))</f>
        <v/>
      </c>
      <c r="I150" s="34" t="str">
        <f t="shared" si="32"/>
        <v/>
      </c>
      <c r="J150" s="34" t="str">
        <f t="shared" si="33"/>
        <v/>
      </c>
      <c r="K150" s="34" t="str">
        <f t="shared" si="34"/>
        <v/>
      </c>
      <c r="L150" s="33" t="str">
        <f>IF($A150="","",SUMIFS(ORE!$F:$F,ORE!$B:$B,$B150,ORE!$E:$E,$C150))</f>
        <v/>
      </c>
      <c r="M150" s="33" t="str">
        <f>IF($A150="","",SUMIFS(PREVISIONE_ORE!$G:$G,PREVISIONE_ORE!$D:$D,$B150,PREVISIONE_ORE!$E:$E,$C150,PREVISIONE_ORE!$K:$K,"Sì"))</f>
        <v/>
      </c>
      <c r="N150" s="33" t="str">
        <f>IF($A150="","",IF(COUNTIFS(PREVISIONE_ORE!$D:$D,$B150,PREVISIONE_ORE!$E:$E,$C150,PREVISIONE_ORE!$K:$K,"Sì")&gt;0,$L150+$M150,MAX($L150,$F150)))</f>
        <v/>
      </c>
      <c r="O150" s="33" t="str">
        <f t="shared" si="35"/>
        <v/>
      </c>
      <c r="P150" s="34" t="str">
        <f t="shared" si="36"/>
        <v/>
      </c>
      <c r="Q150" s="34" t="str">
        <f t="shared" si="37"/>
        <v/>
      </c>
      <c r="R150" s="35" t="str">
        <f t="shared" si="38"/>
        <v/>
      </c>
      <c r="S150" s="36" t="str">
        <f t="shared" si="39"/>
        <v/>
      </c>
    </row>
    <row r="151" spans="1:19" x14ac:dyDescent="0.3">
      <c r="A151" s="42"/>
      <c r="B151" s="42"/>
      <c r="C151" s="42"/>
      <c r="D151" s="36" t="str">
        <f>IF($A151="","",IFERROR(INDEX(TEAM!$B:$B,MATCH($C151,TEAM!$A:$A,0)),""))</f>
        <v/>
      </c>
      <c r="E151" s="42"/>
      <c r="F151" s="48"/>
      <c r="G151" s="47" t="str">
        <f>IF($A151="","",IFERROR(INDEX(TEAM!$C:$C,MATCH($C151,TEAM!$A:$A,0)),0))</f>
        <v/>
      </c>
      <c r="H151" s="47" t="str">
        <f>IF($A151="","",IFERROR(INDEX(TEAM!$D:$D,MATCH($C151,TEAM!$A:$A,0)),0))</f>
        <v/>
      </c>
      <c r="I151" s="34" t="str">
        <f t="shared" si="32"/>
        <v/>
      </c>
      <c r="J151" s="34" t="str">
        <f t="shared" si="33"/>
        <v/>
      </c>
      <c r="K151" s="34" t="str">
        <f t="shared" si="34"/>
        <v/>
      </c>
      <c r="L151" s="33" t="str">
        <f>IF($A151="","",SUMIFS(ORE!$F:$F,ORE!$B:$B,$B151,ORE!$E:$E,$C151))</f>
        <v/>
      </c>
      <c r="M151" s="33" t="str">
        <f>IF($A151="","",SUMIFS(PREVISIONE_ORE!$G:$G,PREVISIONE_ORE!$D:$D,$B151,PREVISIONE_ORE!$E:$E,$C151,PREVISIONE_ORE!$K:$K,"Sì"))</f>
        <v/>
      </c>
      <c r="N151" s="33" t="str">
        <f>IF($A151="","",IF(COUNTIFS(PREVISIONE_ORE!$D:$D,$B151,PREVISIONE_ORE!$E:$E,$C151,PREVISIONE_ORE!$K:$K,"Sì")&gt;0,$L151+$M151,MAX($L151,$F151)))</f>
        <v/>
      </c>
      <c r="O151" s="33" t="str">
        <f t="shared" si="35"/>
        <v/>
      </c>
      <c r="P151" s="34" t="str">
        <f t="shared" si="36"/>
        <v/>
      </c>
      <c r="Q151" s="34" t="str">
        <f t="shared" si="37"/>
        <v/>
      </c>
      <c r="R151" s="35" t="str">
        <f t="shared" si="38"/>
        <v/>
      </c>
      <c r="S151" s="36" t="str">
        <f t="shared" si="39"/>
        <v/>
      </c>
    </row>
    <row r="152" spans="1:19" x14ac:dyDescent="0.3">
      <c r="A152" s="42"/>
      <c r="B152" s="42"/>
      <c r="C152" s="42"/>
      <c r="D152" s="36" t="str">
        <f>IF($A152="","",IFERROR(INDEX(TEAM!$B:$B,MATCH($C152,TEAM!$A:$A,0)),""))</f>
        <v/>
      </c>
      <c r="E152" s="42"/>
      <c r="F152" s="48"/>
      <c r="G152" s="47" t="str">
        <f>IF($A152="","",IFERROR(INDEX(TEAM!$C:$C,MATCH($C152,TEAM!$A:$A,0)),0))</f>
        <v/>
      </c>
      <c r="H152" s="47" t="str">
        <f>IF($A152="","",IFERROR(INDEX(TEAM!$D:$D,MATCH($C152,TEAM!$A:$A,0)),0))</f>
        <v/>
      </c>
      <c r="I152" s="34" t="str">
        <f t="shared" si="32"/>
        <v/>
      </c>
      <c r="J152" s="34" t="str">
        <f t="shared" si="33"/>
        <v/>
      </c>
      <c r="K152" s="34" t="str">
        <f t="shared" si="34"/>
        <v/>
      </c>
      <c r="L152" s="33" t="str">
        <f>IF($A152="","",SUMIFS(ORE!$F:$F,ORE!$B:$B,$B152,ORE!$E:$E,$C152))</f>
        <v/>
      </c>
      <c r="M152" s="33" t="str">
        <f>IF($A152="","",SUMIFS(PREVISIONE_ORE!$G:$G,PREVISIONE_ORE!$D:$D,$B152,PREVISIONE_ORE!$E:$E,$C152,PREVISIONE_ORE!$K:$K,"Sì"))</f>
        <v/>
      </c>
      <c r="N152" s="33" t="str">
        <f>IF($A152="","",IF(COUNTIFS(PREVISIONE_ORE!$D:$D,$B152,PREVISIONE_ORE!$E:$E,$C152,PREVISIONE_ORE!$K:$K,"Sì")&gt;0,$L152+$M152,MAX($L152,$F152)))</f>
        <v/>
      </c>
      <c r="O152" s="33" t="str">
        <f t="shared" si="35"/>
        <v/>
      </c>
      <c r="P152" s="34" t="str">
        <f t="shared" si="36"/>
        <v/>
      </c>
      <c r="Q152" s="34" t="str">
        <f t="shared" si="37"/>
        <v/>
      </c>
      <c r="R152" s="35" t="str">
        <f t="shared" si="38"/>
        <v/>
      </c>
      <c r="S152" s="36" t="str">
        <f t="shared" si="39"/>
        <v/>
      </c>
    </row>
    <row r="153" spans="1:19" x14ac:dyDescent="0.3">
      <c r="A153" s="42"/>
      <c r="B153" s="42"/>
      <c r="C153" s="42"/>
      <c r="D153" s="36" t="str">
        <f>IF($A153="","",IFERROR(INDEX(TEAM!$B:$B,MATCH($C153,TEAM!$A:$A,0)),""))</f>
        <v/>
      </c>
      <c r="E153" s="42"/>
      <c r="F153" s="48"/>
      <c r="G153" s="47" t="str">
        <f>IF($A153="","",IFERROR(INDEX(TEAM!$C:$C,MATCH($C153,TEAM!$A:$A,0)),0))</f>
        <v/>
      </c>
      <c r="H153" s="47" t="str">
        <f>IF($A153="","",IFERROR(INDEX(TEAM!$D:$D,MATCH($C153,TEAM!$A:$A,0)),0))</f>
        <v/>
      </c>
      <c r="I153" s="34" t="str">
        <f t="shared" si="32"/>
        <v/>
      </c>
      <c r="J153" s="34" t="str">
        <f t="shared" si="33"/>
        <v/>
      </c>
      <c r="K153" s="34" t="str">
        <f t="shared" si="34"/>
        <v/>
      </c>
      <c r="L153" s="33" t="str">
        <f>IF($A153="","",SUMIFS(ORE!$F:$F,ORE!$B:$B,$B153,ORE!$E:$E,$C153))</f>
        <v/>
      </c>
      <c r="M153" s="33" t="str">
        <f>IF($A153="","",SUMIFS(PREVISIONE_ORE!$G:$G,PREVISIONE_ORE!$D:$D,$B153,PREVISIONE_ORE!$E:$E,$C153,PREVISIONE_ORE!$K:$K,"Sì"))</f>
        <v/>
      </c>
      <c r="N153" s="33" t="str">
        <f>IF($A153="","",IF(COUNTIFS(PREVISIONE_ORE!$D:$D,$B153,PREVISIONE_ORE!$E:$E,$C153,PREVISIONE_ORE!$K:$K,"Sì")&gt;0,$L153+$M153,MAX($L153,$F153)))</f>
        <v/>
      </c>
      <c r="O153" s="33" t="str">
        <f t="shared" si="35"/>
        <v/>
      </c>
      <c r="P153" s="34" t="str">
        <f t="shared" si="36"/>
        <v/>
      </c>
      <c r="Q153" s="34" t="str">
        <f t="shared" si="37"/>
        <v/>
      </c>
      <c r="R153" s="35" t="str">
        <f t="shared" si="38"/>
        <v/>
      </c>
      <c r="S153" s="36" t="str">
        <f t="shared" si="39"/>
        <v/>
      </c>
    </row>
    <row r="154" spans="1:19" x14ac:dyDescent="0.3">
      <c r="A154" s="42"/>
      <c r="B154" s="42"/>
      <c r="C154" s="42"/>
      <c r="D154" s="36" t="str">
        <f>IF($A154="","",IFERROR(INDEX(TEAM!$B:$B,MATCH($C154,TEAM!$A:$A,0)),""))</f>
        <v/>
      </c>
      <c r="E154" s="42"/>
      <c r="F154" s="48"/>
      <c r="G154" s="47" t="str">
        <f>IF($A154="","",IFERROR(INDEX(TEAM!$C:$C,MATCH($C154,TEAM!$A:$A,0)),0))</f>
        <v/>
      </c>
      <c r="H154" s="47" t="str">
        <f>IF($A154="","",IFERROR(INDEX(TEAM!$D:$D,MATCH($C154,TEAM!$A:$A,0)),0))</f>
        <v/>
      </c>
      <c r="I154" s="34" t="str">
        <f t="shared" si="32"/>
        <v/>
      </c>
      <c r="J154" s="34" t="str">
        <f t="shared" si="33"/>
        <v/>
      </c>
      <c r="K154" s="34" t="str">
        <f t="shared" si="34"/>
        <v/>
      </c>
      <c r="L154" s="33" t="str">
        <f>IF($A154="","",SUMIFS(ORE!$F:$F,ORE!$B:$B,$B154,ORE!$E:$E,$C154))</f>
        <v/>
      </c>
      <c r="M154" s="33" t="str">
        <f>IF($A154="","",SUMIFS(PREVISIONE_ORE!$G:$G,PREVISIONE_ORE!$D:$D,$B154,PREVISIONE_ORE!$E:$E,$C154,PREVISIONE_ORE!$K:$K,"Sì"))</f>
        <v/>
      </c>
      <c r="N154" s="33" t="str">
        <f>IF($A154="","",IF(COUNTIFS(PREVISIONE_ORE!$D:$D,$B154,PREVISIONE_ORE!$E:$E,$C154,PREVISIONE_ORE!$K:$K,"Sì")&gt;0,$L154+$M154,MAX($L154,$F154)))</f>
        <v/>
      </c>
      <c r="O154" s="33" t="str">
        <f t="shared" si="35"/>
        <v/>
      </c>
      <c r="P154" s="34" t="str">
        <f t="shared" si="36"/>
        <v/>
      </c>
      <c r="Q154" s="34" t="str">
        <f t="shared" si="37"/>
        <v/>
      </c>
      <c r="R154" s="35" t="str">
        <f t="shared" si="38"/>
        <v/>
      </c>
      <c r="S154" s="36" t="str">
        <f t="shared" si="39"/>
        <v/>
      </c>
    </row>
    <row r="155" spans="1:19" x14ac:dyDescent="0.3">
      <c r="A155" s="42"/>
      <c r="B155" s="42"/>
      <c r="C155" s="42"/>
      <c r="D155" s="36" t="str">
        <f>IF($A155="","",IFERROR(INDEX(TEAM!$B:$B,MATCH($C155,TEAM!$A:$A,0)),""))</f>
        <v/>
      </c>
      <c r="E155" s="42"/>
      <c r="F155" s="48"/>
      <c r="G155" s="47" t="str">
        <f>IF($A155="","",IFERROR(INDEX(TEAM!$C:$C,MATCH($C155,TEAM!$A:$A,0)),0))</f>
        <v/>
      </c>
      <c r="H155" s="47" t="str">
        <f>IF($A155="","",IFERROR(INDEX(TEAM!$D:$D,MATCH($C155,TEAM!$A:$A,0)),0))</f>
        <v/>
      </c>
      <c r="I155" s="34" t="str">
        <f t="shared" si="32"/>
        <v/>
      </c>
      <c r="J155" s="34" t="str">
        <f t="shared" si="33"/>
        <v/>
      </c>
      <c r="K155" s="34" t="str">
        <f t="shared" si="34"/>
        <v/>
      </c>
      <c r="L155" s="33" t="str">
        <f>IF($A155="","",SUMIFS(ORE!$F:$F,ORE!$B:$B,$B155,ORE!$E:$E,$C155))</f>
        <v/>
      </c>
      <c r="M155" s="33" t="str">
        <f>IF($A155="","",SUMIFS(PREVISIONE_ORE!$G:$G,PREVISIONE_ORE!$D:$D,$B155,PREVISIONE_ORE!$E:$E,$C155,PREVISIONE_ORE!$K:$K,"Sì"))</f>
        <v/>
      </c>
      <c r="N155" s="33" t="str">
        <f>IF($A155="","",IF(COUNTIFS(PREVISIONE_ORE!$D:$D,$B155,PREVISIONE_ORE!$E:$E,$C155,PREVISIONE_ORE!$K:$K,"Sì")&gt;0,$L155+$M155,MAX($L155,$F155)))</f>
        <v/>
      </c>
      <c r="O155" s="33" t="str">
        <f t="shared" si="35"/>
        <v/>
      </c>
      <c r="P155" s="34" t="str">
        <f t="shared" si="36"/>
        <v/>
      </c>
      <c r="Q155" s="34" t="str">
        <f t="shared" si="37"/>
        <v/>
      </c>
      <c r="R155" s="35" t="str">
        <f t="shared" si="38"/>
        <v/>
      </c>
      <c r="S155" s="36" t="str">
        <f t="shared" si="39"/>
        <v/>
      </c>
    </row>
    <row r="156" spans="1:19" x14ac:dyDescent="0.3">
      <c r="A156" s="42"/>
      <c r="B156" s="42"/>
      <c r="C156" s="42"/>
      <c r="D156" s="36" t="str">
        <f>IF($A156="","",IFERROR(INDEX(TEAM!$B:$B,MATCH($C156,TEAM!$A:$A,0)),""))</f>
        <v/>
      </c>
      <c r="E156" s="42"/>
      <c r="F156" s="48"/>
      <c r="G156" s="47" t="str">
        <f>IF($A156="","",IFERROR(INDEX(TEAM!$C:$C,MATCH($C156,TEAM!$A:$A,0)),0))</f>
        <v/>
      </c>
      <c r="H156" s="47" t="str">
        <f>IF($A156="","",IFERROR(INDEX(TEAM!$D:$D,MATCH($C156,TEAM!$A:$A,0)),0))</f>
        <v/>
      </c>
      <c r="I156" s="34" t="str">
        <f t="shared" si="32"/>
        <v/>
      </c>
      <c r="J156" s="34" t="str">
        <f t="shared" si="33"/>
        <v/>
      </c>
      <c r="K156" s="34" t="str">
        <f t="shared" si="34"/>
        <v/>
      </c>
      <c r="L156" s="33" t="str">
        <f>IF($A156="","",SUMIFS(ORE!$F:$F,ORE!$B:$B,$B156,ORE!$E:$E,$C156))</f>
        <v/>
      </c>
      <c r="M156" s="33" t="str">
        <f>IF($A156="","",SUMIFS(PREVISIONE_ORE!$G:$G,PREVISIONE_ORE!$D:$D,$B156,PREVISIONE_ORE!$E:$E,$C156,PREVISIONE_ORE!$K:$K,"Sì"))</f>
        <v/>
      </c>
      <c r="N156" s="33" t="str">
        <f>IF($A156="","",IF(COUNTIFS(PREVISIONE_ORE!$D:$D,$B156,PREVISIONE_ORE!$E:$E,$C156,PREVISIONE_ORE!$K:$K,"Sì")&gt;0,$L156+$M156,MAX($L156,$F156)))</f>
        <v/>
      </c>
      <c r="O156" s="33" t="str">
        <f t="shared" si="35"/>
        <v/>
      </c>
      <c r="P156" s="34" t="str">
        <f t="shared" si="36"/>
        <v/>
      </c>
      <c r="Q156" s="34" t="str">
        <f t="shared" si="37"/>
        <v/>
      </c>
      <c r="R156" s="35" t="str">
        <f t="shared" si="38"/>
        <v/>
      </c>
      <c r="S156" s="36" t="str">
        <f t="shared" si="39"/>
        <v/>
      </c>
    </row>
    <row r="157" spans="1:19" x14ac:dyDescent="0.3">
      <c r="A157" s="42"/>
      <c r="B157" s="42"/>
      <c r="C157" s="42"/>
      <c r="D157" s="36" t="str">
        <f>IF($A157="","",IFERROR(INDEX(TEAM!$B:$B,MATCH($C157,TEAM!$A:$A,0)),""))</f>
        <v/>
      </c>
      <c r="E157" s="42"/>
      <c r="F157" s="48"/>
      <c r="G157" s="47" t="str">
        <f>IF($A157="","",IFERROR(INDEX(TEAM!$C:$C,MATCH($C157,TEAM!$A:$A,0)),0))</f>
        <v/>
      </c>
      <c r="H157" s="47" t="str">
        <f>IF($A157="","",IFERROR(INDEX(TEAM!$D:$D,MATCH($C157,TEAM!$A:$A,0)),0))</f>
        <v/>
      </c>
      <c r="I157" s="34" t="str">
        <f t="shared" si="32"/>
        <v/>
      </c>
      <c r="J157" s="34" t="str">
        <f t="shared" si="33"/>
        <v/>
      </c>
      <c r="K157" s="34" t="str">
        <f t="shared" si="34"/>
        <v/>
      </c>
      <c r="L157" s="33" t="str">
        <f>IF($A157="","",SUMIFS(ORE!$F:$F,ORE!$B:$B,$B157,ORE!$E:$E,$C157))</f>
        <v/>
      </c>
      <c r="M157" s="33" t="str">
        <f>IF($A157="","",SUMIFS(PREVISIONE_ORE!$G:$G,PREVISIONE_ORE!$D:$D,$B157,PREVISIONE_ORE!$E:$E,$C157,PREVISIONE_ORE!$K:$K,"Sì"))</f>
        <v/>
      </c>
      <c r="N157" s="33" t="str">
        <f>IF($A157="","",IF(COUNTIFS(PREVISIONE_ORE!$D:$D,$B157,PREVISIONE_ORE!$E:$E,$C157,PREVISIONE_ORE!$K:$K,"Sì")&gt;0,$L157+$M157,MAX($L157,$F157)))</f>
        <v/>
      </c>
      <c r="O157" s="33" t="str">
        <f t="shared" si="35"/>
        <v/>
      </c>
      <c r="P157" s="34" t="str">
        <f t="shared" si="36"/>
        <v/>
      </c>
      <c r="Q157" s="34" t="str">
        <f t="shared" si="37"/>
        <v/>
      </c>
      <c r="R157" s="35" t="str">
        <f t="shared" si="38"/>
        <v/>
      </c>
      <c r="S157" s="36" t="str">
        <f t="shared" si="39"/>
        <v/>
      </c>
    </row>
    <row r="158" spans="1:19" x14ac:dyDescent="0.3">
      <c r="A158" s="42"/>
      <c r="B158" s="42"/>
      <c r="C158" s="42"/>
      <c r="D158" s="36" t="str">
        <f>IF($A158="","",IFERROR(INDEX(TEAM!$B:$B,MATCH($C158,TEAM!$A:$A,0)),""))</f>
        <v/>
      </c>
      <c r="E158" s="42"/>
      <c r="F158" s="48"/>
      <c r="G158" s="47" t="str">
        <f>IF($A158="","",IFERROR(INDEX(TEAM!$C:$C,MATCH($C158,TEAM!$A:$A,0)),0))</f>
        <v/>
      </c>
      <c r="H158" s="47" t="str">
        <f>IF($A158="","",IFERROR(INDEX(TEAM!$D:$D,MATCH($C158,TEAM!$A:$A,0)),0))</f>
        <v/>
      </c>
      <c r="I158" s="34" t="str">
        <f t="shared" si="32"/>
        <v/>
      </c>
      <c r="J158" s="34" t="str">
        <f t="shared" si="33"/>
        <v/>
      </c>
      <c r="K158" s="34" t="str">
        <f t="shared" si="34"/>
        <v/>
      </c>
      <c r="L158" s="33" t="str">
        <f>IF($A158="","",SUMIFS(ORE!$F:$F,ORE!$B:$B,$B158,ORE!$E:$E,$C158))</f>
        <v/>
      </c>
      <c r="M158" s="33" t="str">
        <f>IF($A158="","",SUMIFS(PREVISIONE_ORE!$G:$G,PREVISIONE_ORE!$D:$D,$B158,PREVISIONE_ORE!$E:$E,$C158,PREVISIONE_ORE!$K:$K,"Sì"))</f>
        <v/>
      </c>
      <c r="N158" s="33" t="str">
        <f>IF($A158="","",IF(COUNTIFS(PREVISIONE_ORE!$D:$D,$B158,PREVISIONE_ORE!$E:$E,$C158,PREVISIONE_ORE!$K:$K,"Sì")&gt;0,$L158+$M158,MAX($L158,$F158)))</f>
        <v/>
      </c>
      <c r="O158" s="33" t="str">
        <f t="shared" si="35"/>
        <v/>
      </c>
      <c r="P158" s="34" t="str">
        <f t="shared" si="36"/>
        <v/>
      </c>
      <c r="Q158" s="34" t="str">
        <f t="shared" si="37"/>
        <v/>
      </c>
      <c r="R158" s="35" t="str">
        <f t="shared" si="38"/>
        <v/>
      </c>
      <c r="S158" s="36" t="str">
        <f t="shared" si="39"/>
        <v/>
      </c>
    </row>
    <row r="159" spans="1:19" x14ac:dyDescent="0.3">
      <c r="A159" s="42"/>
      <c r="B159" s="42"/>
      <c r="C159" s="42"/>
      <c r="D159" s="36" t="str">
        <f>IF($A159="","",IFERROR(INDEX(TEAM!$B:$B,MATCH($C159,TEAM!$A:$A,0)),""))</f>
        <v/>
      </c>
      <c r="E159" s="42"/>
      <c r="F159" s="48"/>
      <c r="G159" s="47" t="str">
        <f>IF($A159="","",IFERROR(INDEX(TEAM!$C:$C,MATCH($C159,TEAM!$A:$A,0)),0))</f>
        <v/>
      </c>
      <c r="H159" s="47" t="str">
        <f>IF($A159="","",IFERROR(INDEX(TEAM!$D:$D,MATCH($C159,TEAM!$A:$A,0)),0))</f>
        <v/>
      </c>
      <c r="I159" s="34" t="str">
        <f t="shared" si="32"/>
        <v/>
      </c>
      <c r="J159" s="34" t="str">
        <f t="shared" si="33"/>
        <v/>
      </c>
      <c r="K159" s="34" t="str">
        <f t="shared" si="34"/>
        <v/>
      </c>
      <c r="L159" s="33" t="str">
        <f>IF($A159="","",SUMIFS(ORE!$F:$F,ORE!$B:$B,$B159,ORE!$E:$E,$C159))</f>
        <v/>
      </c>
      <c r="M159" s="33" t="str">
        <f>IF($A159="","",SUMIFS(PREVISIONE_ORE!$G:$G,PREVISIONE_ORE!$D:$D,$B159,PREVISIONE_ORE!$E:$E,$C159,PREVISIONE_ORE!$K:$K,"Sì"))</f>
        <v/>
      </c>
      <c r="N159" s="33" t="str">
        <f>IF($A159="","",IF(COUNTIFS(PREVISIONE_ORE!$D:$D,$B159,PREVISIONE_ORE!$E:$E,$C159,PREVISIONE_ORE!$K:$K,"Sì")&gt;0,$L159+$M159,MAX($L159,$F159)))</f>
        <v/>
      </c>
      <c r="O159" s="33" t="str">
        <f t="shared" si="35"/>
        <v/>
      </c>
      <c r="P159" s="34" t="str">
        <f t="shared" si="36"/>
        <v/>
      </c>
      <c r="Q159" s="34" t="str">
        <f t="shared" si="37"/>
        <v/>
      </c>
      <c r="R159" s="35" t="str">
        <f t="shared" si="38"/>
        <v/>
      </c>
      <c r="S159" s="36" t="str">
        <f t="shared" si="39"/>
        <v/>
      </c>
    </row>
    <row r="160" spans="1:19" x14ac:dyDescent="0.3">
      <c r="A160" s="42"/>
      <c r="B160" s="42"/>
      <c r="C160" s="42"/>
      <c r="D160" s="36" t="str">
        <f>IF($A160="","",IFERROR(INDEX(TEAM!$B:$B,MATCH($C160,TEAM!$A:$A,0)),""))</f>
        <v/>
      </c>
      <c r="E160" s="42"/>
      <c r="F160" s="48"/>
      <c r="G160" s="47" t="str">
        <f>IF($A160="","",IFERROR(INDEX(TEAM!$C:$C,MATCH($C160,TEAM!$A:$A,0)),0))</f>
        <v/>
      </c>
      <c r="H160" s="47" t="str">
        <f>IF($A160="","",IFERROR(INDEX(TEAM!$D:$D,MATCH($C160,TEAM!$A:$A,0)),0))</f>
        <v/>
      </c>
      <c r="I160" s="34" t="str">
        <f t="shared" si="32"/>
        <v/>
      </c>
      <c r="J160" s="34" t="str">
        <f t="shared" si="33"/>
        <v/>
      </c>
      <c r="K160" s="34" t="str">
        <f t="shared" si="34"/>
        <v/>
      </c>
      <c r="L160" s="33" t="str">
        <f>IF($A160="","",SUMIFS(ORE!$F:$F,ORE!$B:$B,$B160,ORE!$E:$E,$C160))</f>
        <v/>
      </c>
      <c r="M160" s="33" t="str">
        <f>IF($A160="","",SUMIFS(PREVISIONE_ORE!$G:$G,PREVISIONE_ORE!$D:$D,$B160,PREVISIONE_ORE!$E:$E,$C160,PREVISIONE_ORE!$K:$K,"Sì"))</f>
        <v/>
      </c>
      <c r="N160" s="33" t="str">
        <f>IF($A160="","",IF(COUNTIFS(PREVISIONE_ORE!$D:$D,$B160,PREVISIONE_ORE!$E:$E,$C160,PREVISIONE_ORE!$K:$K,"Sì")&gt;0,$L160+$M160,MAX($L160,$F160)))</f>
        <v/>
      </c>
      <c r="O160" s="33" t="str">
        <f t="shared" si="35"/>
        <v/>
      </c>
      <c r="P160" s="34" t="str">
        <f t="shared" si="36"/>
        <v/>
      </c>
      <c r="Q160" s="34" t="str">
        <f t="shared" si="37"/>
        <v/>
      </c>
      <c r="R160" s="35" t="str">
        <f t="shared" si="38"/>
        <v/>
      </c>
      <c r="S160" s="36" t="str">
        <f t="shared" si="39"/>
        <v/>
      </c>
    </row>
    <row r="161" spans="1:19" x14ac:dyDescent="0.3">
      <c r="A161" s="42"/>
      <c r="B161" s="42"/>
      <c r="C161" s="42"/>
      <c r="D161" s="36" t="str">
        <f>IF($A161="","",IFERROR(INDEX(TEAM!$B:$B,MATCH($C161,TEAM!$A:$A,0)),""))</f>
        <v/>
      </c>
      <c r="E161" s="42"/>
      <c r="F161" s="48"/>
      <c r="G161" s="47" t="str">
        <f>IF($A161="","",IFERROR(INDEX(TEAM!$C:$C,MATCH($C161,TEAM!$A:$A,0)),0))</f>
        <v/>
      </c>
      <c r="H161" s="47" t="str">
        <f>IF($A161="","",IFERROR(INDEX(TEAM!$D:$D,MATCH($C161,TEAM!$A:$A,0)),0))</f>
        <v/>
      </c>
      <c r="I161" s="34" t="str">
        <f t="shared" si="32"/>
        <v/>
      </c>
      <c r="J161" s="34" t="str">
        <f t="shared" si="33"/>
        <v/>
      </c>
      <c r="K161" s="34" t="str">
        <f t="shared" si="34"/>
        <v/>
      </c>
      <c r="L161" s="33" t="str">
        <f>IF($A161="","",SUMIFS(ORE!$F:$F,ORE!$B:$B,$B161,ORE!$E:$E,$C161))</f>
        <v/>
      </c>
      <c r="M161" s="33" t="str">
        <f>IF($A161="","",SUMIFS(PREVISIONE_ORE!$G:$G,PREVISIONE_ORE!$D:$D,$B161,PREVISIONE_ORE!$E:$E,$C161,PREVISIONE_ORE!$K:$K,"Sì"))</f>
        <v/>
      </c>
      <c r="N161" s="33" t="str">
        <f>IF($A161="","",IF(COUNTIFS(PREVISIONE_ORE!$D:$D,$B161,PREVISIONE_ORE!$E:$E,$C161,PREVISIONE_ORE!$K:$K,"Sì")&gt;0,$L161+$M161,MAX($L161,$F161)))</f>
        <v/>
      </c>
      <c r="O161" s="33" t="str">
        <f t="shared" si="35"/>
        <v/>
      </c>
      <c r="P161" s="34" t="str">
        <f t="shared" si="36"/>
        <v/>
      </c>
      <c r="Q161" s="34" t="str">
        <f t="shared" si="37"/>
        <v/>
      </c>
      <c r="R161" s="35" t="str">
        <f t="shared" si="38"/>
        <v/>
      </c>
      <c r="S161" s="36" t="str">
        <f t="shared" si="39"/>
        <v/>
      </c>
    </row>
    <row r="162" spans="1:19" x14ac:dyDescent="0.3">
      <c r="A162" s="42"/>
      <c r="B162" s="42"/>
      <c r="C162" s="42"/>
      <c r="D162" s="36" t="str">
        <f>IF($A162="","",IFERROR(INDEX(TEAM!$B:$B,MATCH($C162,TEAM!$A:$A,0)),""))</f>
        <v/>
      </c>
      <c r="E162" s="42"/>
      <c r="F162" s="48"/>
      <c r="G162" s="47" t="str">
        <f>IF($A162="","",IFERROR(INDEX(TEAM!$C:$C,MATCH($C162,TEAM!$A:$A,0)),0))</f>
        <v/>
      </c>
      <c r="H162" s="47" t="str">
        <f>IF($A162="","",IFERROR(INDEX(TEAM!$D:$D,MATCH($C162,TEAM!$A:$A,0)),0))</f>
        <v/>
      </c>
      <c r="I162" s="34" t="str">
        <f t="shared" ref="I162:I193" si="40">IF($A162="","",$F162*$H162)</f>
        <v/>
      </c>
      <c r="J162" s="34" t="str">
        <f t="shared" ref="J162:J193" si="41">IF($A162="","",$F162*$G162)</f>
        <v/>
      </c>
      <c r="K162" s="34" t="str">
        <f t="shared" ref="K162:K193" si="42">IF($A162="","",$I162-$J162)</f>
        <v/>
      </c>
      <c r="L162" s="33" t="str">
        <f>IF($A162="","",SUMIFS(ORE!$F:$F,ORE!$B:$B,$B162,ORE!$E:$E,$C162))</f>
        <v/>
      </c>
      <c r="M162" s="33" t="str">
        <f>IF($A162="","",SUMIFS(PREVISIONE_ORE!$G:$G,PREVISIONE_ORE!$D:$D,$B162,PREVISIONE_ORE!$E:$E,$C162,PREVISIONE_ORE!$K:$K,"Sì"))</f>
        <v/>
      </c>
      <c r="N162" s="33" t="str">
        <f>IF($A162="","",IF(COUNTIFS(PREVISIONE_ORE!$D:$D,$B162,PREVISIONE_ORE!$E:$E,$C162,PREVISIONE_ORE!$K:$K,"Sì")&gt;0,$L162+$M162,MAX($L162,$F162)))</f>
        <v/>
      </c>
      <c r="O162" s="33" t="str">
        <f t="shared" ref="O162:O193" si="43">IF($A162="","",$N162-$F162)</f>
        <v/>
      </c>
      <c r="P162" s="34" t="str">
        <f t="shared" ref="P162:P193" si="44">IF($A162="","",$N162*$G162)</f>
        <v/>
      </c>
      <c r="Q162" s="34" t="str">
        <f t="shared" ref="Q162:Q193" si="45">IF($A162="","",$N162*$H162)</f>
        <v/>
      </c>
      <c r="R162" s="35" t="str">
        <f t="shared" ref="R162:R193" si="46">IF($A162="","",IFERROR($L162/$F162,0))</f>
        <v/>
      </c>
      <c r="S162" s="36" t="str">
        <f t="shared" ref="S162:S193" si="47">IF($A162="","",IF($O162&gt;$F162*0.15,"SFORAMENTO OLTRE 15%",IF($O162&gt;0,"SOPRA LA STIMA",IF($R162&gt;ALLERTA_ORE,"CONSUMO ELEVATO","OK"))))</f>
        <v/>
      </c>
    </row>
    <row r="163" spans="1:19" x14ac:dyDescent="0.3">
      <c r="A163" s="42"/>
      <c r="B163" s="42"/>
      <c r="C163" s="42"/>
      <c r="D163" s="36" t="str">
        <f>IF($A163="","",IFERROR(INDEX(TEAM!$B:$B,MATCH($C163,TEAM!$A:$A,0)),""))</f>
        <v/>
      </c>
      <c r="E163" s="42"/>
      <c r="F163" s="48"/>
      <c r="G163" s="47" t="str">
        <f>IF($A163="","",IFERROR(INDEX(TEAM!$C:$C,MATCH($C163,TEAM!$A:$A,0)),0))</f>
        <v/>
      </c>
      <c r="H163" s="47" t="str">
        <f>IF($A163="","",IFERROR(INDEX(TEAM!$D:$D,MATCH($C163,TEAM!$A:$A,0)),0))</f>
        <v/>
      </c>
      <c r="I163" s="34" t="str">
        <f t="shared" si="40"/>
        <v/>
      </c>
      <c r="J163" s="34" t="str">
        <f t="shared" si="41"/>
        <v/>
      </c>
      <c r="K163" s="34" t="str">
        <f t="shared" si="42"/>
        <v/>
      </c>
      <c r="L163" s="33" t="str">
        <f>IF($A163="","",SUMIFS(ORE!$F:$F,ORE!$B:$B,$B163,ORE!$E:$E,$C163))</f>
        <v/>
      </c>
      <c r="M163" s="33" t="str">
        <f>IF($A163="","",SUMIFS(PREVISIONE_ORE!$G:$G,PREVISIONE_ORE!$D:$D,$B163,PREVISIONE_ORE!$E:$E,$C163,PREVISIONE_ORE!$K:$K,"Sì"))</f>
        <v/>
      </c>
      <c r="N163" s="33" t="str">
        <f>IF($A163="","",IF(COUNTIFS(PREVISIONE_ORE!$D:$D,$B163,PREVISIONE_ORE!$E:$E,$C163,PREVISIONE_ORE!$K:$K,"Sì")&gt;0,$L163+$M163,MAX($L163,$F163)))</f>
        <v/>
      </c>
      <c r="O163" s="33" t="str">
        <f t="shared" si="43"/>
        <v/>
      </c>
      <c r="P163" s="34" t="str">
        <f t="shared" si="44"/>
        <v/>
      </c>
      <c r="Q163" s="34" t="str">
        <f t="shared" si="45"/>
        <v/>
      </c>
      <c r="R163" s="35" t="str">
        <f t="shared" si="46"/>
        <v/>
      </c>
      <c r="S163" s="36" t="str">
        <f t="shared" si="47"/>
        <v/>
      </c>
    </row>
    <row r="164" spans="1:19" x14ac:dyDescent="0.3">
      <c r="A164" s="42"/>
      <c r="B164" s="42"/>
      <c r="C164" s="42"/>
      <c r="D164" s="36" t="str">
        <f>IF($A164="","",IFERROR(INDEX(TEAM!$B:$B,MATCH($C164,TEAM!$A:$A,0)),""))</f>
        <v/>
      </c>
      <c r="E164" s="42"/>
      <c r="F164" s="48"/>
      <c r="G164" s="47" t="str">
        <f>IF($A164="","",IFERROR(INDEX(TEAM!$C:$C,MATCH($C164,TEAM!$A:$A,0)),0))</f>
        <v/>
      </c>
      <c r="H164" s="47" t="str">
        <f>IF($A164="","",IFERROR(INDEX(TEAM!$D:$D,MATCH($C164,TEAM!$A:$A,0)),0))</f>
        <v/>
      </c>
      <c r="I164" s="34" t="str">
        <f t="shared" si="40"/>
        <v/>
      </c>
      <c r="J164" s="34" t="str">
        <f t="shared" si="41"/>
        <v/>
      </c>
      <c r="K164" s="34" t="str">
        <f t="shared" si="42"/>
        <v/>
      </c>
      <c r="L164" s="33" t="str">
        <f>IF($A164="","",SUMIFS(ORE!$F:$F,ORE!$B:$B,$B164,ORE!$E:$E,$C164))</f>
        <v/>
      </c>
      <c r="M164" s="33" t="str">
        <f>IF($A164="","",SUMIFS(PREVISIONE_ORE!$G:$G,PREVISIONE_ORE!$D:$D,$B164,PREVISIONE_ORE!$E:$E,$C164,PREVISIONE_ORE!$K:$K,"Sì"))</f>
        <v/>
      </c>
      <c r="N164" s="33" t="str">
        <f>IF($A164="","",IF(COUNTIFS(PREVISIONE_ORE!$D:$D,$B164,PREVISIONE_ORE!$E:$E,$C164,PREVISIONE_ORE!$K:$K,"Sì")&gt;0,$L164+$M164,MAX($L164,$F164)))</f>
        <v/>
      </c>
      <c r="O164" s="33" t="str">
        <f t="shared" si="43"/>
        <v/>
      </c>
      <c r="P164" s="34" t="str">
        <f t="shared" si="44"/>
        <v/>
      </c>
      <c r="Q164" s="34" t="str">
        <f t="shared" si="45"/>
        <v/>
      </c>
      <c r="R164" s="35" t="str">
        <f t="shared" si="46"/>
        <v/>
      </c>
      <c r="S164" s="36" t="str">
        <f t="shared" si="47"/>
        <v/>
      </c>
    </row>
    <row r="165" spans="1:19" x14ac:dyDescent="0.3">
      <c r="A165" s="42"/>
      <c r="B165" s="42"/>
      <c r="C165" s="42"/>
      <c r="D165" s="36" t="str">
        <f>IF($A165="","",IFERROR(INDEX(TEAM!$B:$B,MATCH($C165,TEAM!$A:$A,0)),""))</f>
        <v/>
      </c>
      <c r="E165" s="42"/>
      <c r="F165" s="48"/>
      <c r="G165" s="47" t="str">
        <f>IF($A165="","",IFERROR(INDEX(TEAM!$C:$C,MATCH($C165,TEAM!$A:$A,0)),0))</f>
        <v/>
      </c>
      <c r="H165" s="47" t="str">
        <f>IF($A165="","",IFERROR(INDEX(TEAM!$D:$D,MATCH($C165,TEAM!$A:$A,0)),0))</f>
        <v/>
      </c>
      <c r="I165" s="34" t="str">
        <f t="shared" si="40"/>
        <v/>
      </c>
      <c r="J165" s="34" t="str">
        <f t="shared" si="41"/>
        <v/>
      </c>
      <c r="K165" s="34" t="str">
        <f t="shared" si="42"/>
        <v/>
      </c>
      <c r="L165" s="33" t="str">
        <f>IF($A165="","",SUMIFS(ORE!$F:$F,ORE!$B:$B,$B165,ORE!$E:$E,$C165))</f>
        <v/>
      </c>
      <c r="M165" s="33" t="str">
        <f>IF($A165="","",SUMIFS(PREVISIONE_ORE!$G:$G,PREVISIONE_ORE!$D:$D,$B165,PREVISIONE_ORE!$E:$E,$C165,PREVISIONE_ORE!$K:$K,"Sì"))</f>
        <v/>
      </c>
      <c r="N165" s="33" t="str">
        <f>IF($A165="","",IF(COUNTIFS(PREVISIONE_ORE!$D:$D,$B165,PREVISIONE_ORE!$E:$E,$C165,PREVISIONE_ORE!$K:$K,"Sì")&gt;0,$L165+$M165,MAX($L165,$F165)))</f>
        <v/>
      </c>
      <c r="O165" s="33" t="str">
        <f t="shared" si="43"/>
        <v/>
      </c>
      <c r="P165" s="34" t="str">
        <f t="shared" si="44"/>
        <v/>
      </c>
      <c r="Q165" s="34" t="str">
        <f t="shared" si="45"/>
        <v/>
      </c>
      <c r="R165" s="35" t="str">
        <f t="shared" si="46"/>
        <v/>
      </c>
      <c r="S165" s="36" t="str">
        <f t="shared" si="47"/>
        <v/>
      </c>
    </row>
    <row r="166" spans="1:19" x14ac:dyDescent="0.3">
      <c r="A166" s="42"/>
      <c r="B166" s="42"/>
      <c r="C166" s="42"/>
      <c r="D166" s="36" t="str">
        <f>IF($A166="","",IFERROR(INDEX(TEAM!$B:$B,MATCH($C166,TEAM!$A:$A,0)),""))</f>
        <v/>
      </c>
      <c r="E166" s="42"/>
      <c r="F166" s="48"/>
      <c r="G166" s="47" t="str">
        <f>IF($A166="","",IFERROR(INDEX(TEAM!$C:$C,MATCH($C166,TEAM!$A:$A,0)),0))</f>
        <v/>
      </c>
      <c r="H166" s="47" t="str">
        <f>IF($A166="","",IFERROR(INDEX(TEAM!$D:$D,MATCH($C166,TEAM!$A:$A,0)),0))</f>
        <v/>
      </c>
      <c r="I166" s="34" t="str">
        <f t="shared" si="40"/>
        <v/>
      </c>
      <c r="J166" s="34" t="str">
        <f t="shared" si="41"/>
        <v/>
      </c>
      <c r="K166" s="34" t="str">
        <f t="shared" si="42"/>
        <v/>
      </c>
      <c r="L166" s="33" t="str">
        <f>IF($A166="","",SUMIFS(ORE!$F:$F,ORE!$B:$B,$B166,ORE!$E:$E,$C166))</f>
        <v/>
      </c>
      <c r="M166" s="33" t="str">
        <f>IF($A166="","",SUMIFS(PREVISIONE_ORE!$G:$G,PREVISIONE_ORE!$D:$D,$B166,PREVISIONE_ORE!$E:$E,$C166,PREVISIONE_ORE!$K:$K,"Sì"))</f>
        <v/>
      </c>
      <c r="N166" s="33" t="str">
        <f>IF($A166="","",IF(COUNTIFS(PREVISIONE_ORE!$D:$D,$B166,PREVISIONE_ORE!$E:$E,$C166,PREVISIONE_ORE!$K:$K,"Sì")&gt;0,$L166+$M166,MAX($L166,$F166)))</f>
        <v/>
      </c>
      <c r="O166" s="33" t="str">
        <f t="shared" si="43"/>
        <v/>
      </c>
      <c r="P166" s="34" t="str">
        <f t="shared" si="44"/>
        <v/>
      </c>
      <c r="Q166" s="34" t="str">
        <f t="shared" si="45"/>
        <v/>
      </c>
      <c r="R166" s="35" t="str">
        <f t="shared" si="46"/>
        <v/>
      </c>
      <c r="S166" s="36" t="str">
        <f t="shared" si="47"/>
        <v/>
      </c>
    </row>
    <row r="167" spans="1:19" x14ac:dyDescent="0.3">
      <c r="A167" s="42"/>
      <c r="B167" s="42"/>
      <c r="C167" s="42"/>
      <c r="D167" s="36" t="str">
        <f>IF($A167="","",IFERROR(INDEX(TEAM!$B:$B,MATCH($C167,TEAM!$A:$A,0)),""))</f>
        <v/>
      </c>
      <c r="E167" s="42"/>
      <c r="F167" s="48"/>
      <c r="G167" s="47" t="str">
        <f>IF($A167="","",IFERROR(INDEX(TEAM!$C:$C,MATCH($C167,TEAM!$A:$A,0)),0))</f>
        <v/>
      </c>
      <c r="H167" s="47" t="str">
        <f>IF($A167="","",IFERROR(INDEX(TEAM!$D:$D,MATCH($C167,TEAM!$A:$A,0)),0))</f>
        <v/>
      </c>
      <c r="I167" s="34" t="str">
        <f t="shared" si="40"/>
        <v/>
      </c>
      <c r="J167" s="34" t="str">
        <f t="shared" si="41"/>
        <v/>
      </c>
      <c r="K167" s="34" t="str">
        <f t="shared" si="42"/>
        <v/>
      </c>
      <c r="L167" s="33" t="str">
        <f>IF($A167="","",SUMIFS(ORE!$F:$F,ORE!$B:$B,$B167,ORE!$E:$E,$C167))</f>
        <v/>
      </c>
      <c r="M167" s="33" t="str">
        <f>IF($A167="","",SUMIFS(PREVISIONE_ORE!$G:$G,PREVISIONE_ORE!$D:$D,$B167,PREVISIONE_ORE!$E:$E,$C167,PREVISIONE_ORE!$K:$K,"Sì"))</f>
        <v/>
      </c>
      <c r="N167" s="33" t="str">
        <f>IF($A167="","",IF(COUNTIFS(PREVISIONE_ORE!$D:$D,$B167,PREVISIONE_ORE!$E:$E,$C167,PREVISIONE_ORE!$K:$K,"Sì")&gt;0,$L167+$M167,MAX($L167,$F167)))</f>
        <v/>
      </c>
      <c r="O167" s="33" t="str">
        <f t="shared" si="43"/>
        <v/>
      </c>
      <c r="P167" s="34" t="str">
        <f t="shared" si="44"/>
        <v/>
      </c>
      <c r="Q167" s="34" t="str">
        <f t="shared" si="45"/>
        <v/>
      </c>
      <c r="R167" s="35" t="str">
        <f t="shared" si="46"/>
        <v/>
      </c>
      <c r="S167" s="36" t="str">
        <f t="shared" si="47"/>
        <v/>
      </c>
    </row>
    <row r="168" spans="1:19" x14ac:dyDescent="0.3">
      <c r="A168" s="42"/>
      <c r="B168" s="42"/>
      <c r="C168" s="42"/>
      <c r="D168" s="36" t="str">
        <f>IF($A168="","",IFERROR(INDEX(TEAM!$B:$B,MATCH($C168,TEAM!$A:$A,0)),""))</f>
        <v/>
      </c>
      <c r="E168" s="42"/>
      <c r="F168" s="48"/>
      <c r="G168" s="47" t="str">
        <f>IF($A168="","",IFERROR(INDEX(TEAM!$C:$C,MATCH($C168,TEAM!$A:$A,0)),0))</f>
        <v/>
      </c>
      <c r="H168" s="47" t="str">
        <f>IF($A168="","",IFERROR(INDEX(TEAM!$D:$D,MATCH($C168,TEAM!$A:$A,0)),0))</f>
        <v/>
      </c>
      <c r="I168" s="34" t="str">
        <f t="shared" si="40"/>
        <v/>
      </c>
      <c r="J168" s="34" t="str">
        <f t="shared" si="41"/>
        <v/>
      </c>
      <c r="K168" s="34" t="str">
        <f t="shared" si="42"/>
        <v/>
      </c>
      <c r="L168" s="33" t="str">
        <f>IF($A168="","",SUMIFS(ORE!$F:$F,ORE!$B:$B,$B168,ORE!$E:$E,$C168))</f>
        <v/>
      </c>
      <c r="M168" s="33" t="str">
        <f>IF($A168="","",SUMIFS(PREVISIONE_ORE!$G:$G,PREVISIONE_ORE!$D:$D,$B168,PREVISIONE_ORE!$E:$E,$C168,PREVISIONE_ORE!$K:$K,"Sì"))</f>
        <v/>
      </c>
      <c r="N168" s="33" t="str">
        <f>IF($A168="","",IF(COUNTIFS(PREVISIONE_ORE!$D:$D,$B168,PREVISIONE_ORE!$E:$E,$C168,PREVISIONE_ORE!$K:$K,"Sì")&gt;0,$L168+$M168,MAX($L168,$F168)))</f>
        <v/>
      </c>
      <c r="O168" s="33" t="str">
        <f t="shared" si="43"/>
        <v/>
      </c>
      <c r="P168" s="34" t="str">
        <f t="shared" si="44"/>
        <v/>
      </c>
      <c r="Q168" s="34" t="str">
        <f t="shared" si="45"/>
        <v/>
      </c>
      <c r="R168" s="35" t="str">
        <f t="shared" si="46"/>
        <v/>
      </c>
      <c r="S168" s="36" t="str">
        <f t="shared" si="47"/>
        <v/>
      </c>
    </row>
    <row r="169" spans="1:19" x14ac:dyDescent="0.3">
      <c r="A169" s="42"/>
      <c r="B169" s="42"/>
      <c r="C169" s="42"/>
      <c r="D169" s="36" t="str">
        <f>IF($A169="","",IFERROR(INDEX(TEAM!$B:$B,MATCH($C169,TEAM!$A:$A,0)),""))</f>
        <v/>
      </c>
      <c r="E169" s="42"/>
      <c r="F169" s="48"/>
      <c r="G169" s="47" t="str">
        <f>IF($A169="","",IFERROR(INDEX(TEAM!$C:$C,MATCH($C169,TEAM!$A:$A,0)),0))</f>
        <v/>
      </c>
      <c r="H169" s="47" t="str">
        <f>IF($A169="","",IFERROR(INDEX(TEAM!$D:$D,MATCH($C169,TEAM!$A:$A,0)),0))</f>
        <v/>
      </c>
      <c r="I169" s="34" t="str">
        <f t="shared" si="40"/>
        <v/>
      </c>
      <c r="J169" s="34" t="str">
        <f t="shared" si="41"/>
        <v/>
      </c>
      <c r="K169" s="34" t="str">
        <f t="shared" si="42"/>
        <v/>
      </c>
      <c r="L169" s="33" t="str">
        <f>IF($A169="","",SUMIFS(ORE!$F:$F,ORE!$B:$B,$B169,ORE!$E:$E,$C169))</f>
        <v/>
      </c>
      <c r="M169" s="33" t="str">
        <f>IF($A169="","",SUMIFS(PREVISIONE_ORE!$G:$G,PREVISIONE_ORE!$D:$D,$B169,PREVISIONE_ORE!$E:$E,$C169,PREVISIONE_ORE!$K:$K,"Sì"))</f>
        <v/>
      </c>
      <c r="N169" s="33" t="str">
        <f>IF($A169="","",IF(COUNTIFS(PREVISIONE_ORE!$D:$D,$B169,PREVISIONE_ORE!$E:$E,$C169,PREVISIONE_ORE!$K:$K,"Sì")&gt;0,$L169+$M169,MAX($L169,$F169)))</f>
        <v/>
      </c>
      <c r="O169" s="33" t="str">
        <f t="shared" si="43"/>
        <v/>
      </c>
      <c r="P169" s="34" t="str">
        <f t="shared" si="44"/>
        <v/>
      </c>
      <c r="Q169" s="34" t="str">
        <f t="shared" si="45"/>
        <v/>
      </c>
      <c r="R169" s="35" t="str">
        <f t="shared" si="46"/>
        <v/>
      </c>
      <c r="S169" s="36" t="str">
        <f t="shared" si="47"/>
        <v/>
      </c>
    </row>
    <row r="170" spans="1:19" x14ac:dyDescent="0.3">
      <c r="A170" s="42"/>
      <c r="B170" s="42"/>
      <c r="C170" s="42"/>
      <c r="D170" s="36" t="str">
        <f>IF($A170="","",IFERROR(INDEX(TEAM!$B:$B,MATCH($C170,TEAM!$A:$A,0)),""))</f>
        <v/>
      </c>
      <c r="E170" s="42"/>
      <c r="F170" s="48"/>
      <c r="G170" s="47" t="str">
        <f>IF($A170="","",IFERROR(INDEX(TEAM!$C:$C,MATCH($C170,TEAM!$A:$A,0)),0))</f>
        <v/>
      </c>
      <c r="H170" s="47" t="str">
        <f>IF($A170="","",IFERROR(INDEX(TEAM!$D:$D,MATCH($C170,TEAM!$A:$A,0)),0))</f>
        <v/>
      </c>
      <c r="I170" s="34" t="str">
        <f t="shared" si="40"/>
        <v/>
      </c>
      <c r="J170" s="34" t="str">
        <f t="shared" si="41"/>
        <v/>
      </c>
      <c r="K170" s="34" t="str">
        <f t="shared" si="42"/>
        <v/>
      </c>
      <c r="L170" s="33" t="str">
        <f>IF($A170="","",SUMIFS(ORE!$F:$F,ORE!$B:$B,$B170,ORE!$E:$E,$C170))</f>
        <v/>
      </c>
      <c r="M170" s="33" t="str">
        <f>IF($A170="","",SUMIFS(PREVISIONE_ORE!$G:$G,PREVISIONE_ORE!$D:$D,$B170,PREVISIONE_ORE!$E:$E,$C170,PREVISIONE_ORE!$K:$K,"Sì"))</f>
        <v/>
      </c>
      <c r="N170" s="33" t="str">
        <f>IF($A170="","",IF(COUNTIFS(PREVISIONE_ORE!$D:$D,$B170,PREVISIONE_ORE!$E:$E,$C170,PREVISIONE_ORE!$K:$K,"Sì")&gt;0,$L170+$M170,MAX($L170,$F170)))</f>
        <v/>
      </c>
      <c r="O170" s="33" t="str">
        <f t="shared" si="43"/>
        <v/>
      </c>
      <c r="P170" s="34" t="str">
        <f t="shared" si="44"/>
        <v/>
      </c>
      <c r="Q170" s="34" t="str">
        <f t="shared" si="45"/>
        <v/>
      </c>
      <c r="R170" s="35" t="str">
        <f t="shared" si="46"/>
        <v/>
      </c>
      <c r="S170" s="36" t="str">
        <f t="shared" si="47"/>
        <v/>
      </c>
    </row>
    <row r="171" spans="1:19" x14ac:dyDescent="0.3">
      <c r="A171" s="42"/>
      <c r="B171" s="42"/>
      <c r="C171" s="42"/>
      <c r="D171" s="36" t="str">
        <f>IF($A171="","",IFERROR(INDEX(TEAM!$B:$B,MATCH($C171,TEAM!$A:$A,0)),""))</f>
        <v/>
      </c>
      <c r="E171" s="42"/>
      <c r="F171" s="48"/>
      <c r="G171" s="47" t="str">
        <f>IF($A171="","",IFERROR(INDEX(TEAM!$C:$C,MATCH($C171,TEAM!$A:$A,0)),0))</f>
        <v/>
      </c>
      <c r="H171" s="47" t="str">
        <f>IF($A171="","",IFERROR(INDEX(TEAM!$D:$D,MATCH($C171,TEAM!$A:$A,0)),0))</f>
        <v/>
      </c>
      <c r="I171" s="34" t="str">
        <f t="shared" si="40"/>
        <v/>
      </c>
      <c r="J171" s="34" t="str">
        <f t="shared" si="41"/>
        <v/>
      </c>
      <c r="K171" s="34" t="str">
        <f t="shared" si="42"/>
        <v/>
      </c>
      <c r="L171" s="33" t="str">
        <f>IF($A171="","",SUMIFS(ORE!$F:$F,ORE!$B:$B,$B171,ORE!$E:$E,$C171))</f>
        <v/>
      </c>
      <c r="M171" s="33" t="str">
        <f>IF($A171="","",SUMIFS(PREVISIONE_ORE!$G:$G,PREVISIONE_ORE!$D:$D,$B171,PREVISIONE_ORE!$E:$E,$C171,PREVISIONE_ORE!$K:$K,"Sì"))</f>
        <v/>
      </c>
      <c r="N171" s="33" t="str">
        <f>IF($A171="","",IF(COUNTIFS(PREVISIONE_ORE!$D:$D,$B171,PREVISIONE_ORE!$E:$E,$C171,PREVISIONE_ORE!$K:$K,"Sì")&gt;0,$L171+$M171,MAX($L171,$F171)))</f>
        <v/>
      </c>
      <c r="O171" s="33" t="str">
        <f t="shared" si="43"/>
        <v/>
      </c>
      <c r="P171" s="34" t="str">
        <f t="shared" si="44"/>
        <v/>
      </c>
      <c r="Q171" s="34" t="str">
        <f t="shared" si="45"/>
        <v/>
      </c>
      <c r="R171" s="35" t="str">
        <f t="shared" si="46"/>
        <v/>
      </c>
      <c r="S171" s="36" t="str">
        <f t="shared" si="47"/>
        <v/>
      </c>
    </row>
    <row r="172" spans="1:19" x14ac:dyDescent="0.3">
      <c r="A172" s="42"/>
      <c r="B172" s="42"/>
      <c r="C172" s="42"/>
      <c r="D172" s="36" t="str">
        <f>IF($A172="","",IFERROR(INDEX(TEAM!$B:$B,MATCH($C172,TEAM!$A:$A,0)),""))</f>
        <v/>
      </c>
      <c r="E172" s="42"/>
      <c r="F172" s="48"/>
      <c r="G172" s="47" t="str">
        <f>IF($A172="","",IFERROR(INDEX(TEAM!$C:$C,MATCH($C172,TEAM!$A:$A,0)),0))</f>
        <v/>
      </c>
      <c r="H172" s="47" t="str">
        <f>IF($A172="","",IFERROR(INDEX(TEAM!$D:$D,MATCH($C172,TEAM!$A:$A,0)),0))</f>
        <v/>
      </c>
      <c r="I172" s="34" t="str">
        <f t="shared" si="40"/>
        <v/>
      </c>
      <c r="J172" s="34" t="str">
        <f t="shared" si="41"/>
        <v/>
      </c>
      <c r="K172" s="34" t="str">
        <f t="shared" si="42"/>
        <v/>
      </c>
      <c r="L172" s="33" t="str">
        <f>IF($A172="","",SUMIFS(ORE!$F:$F,ORE!$B:$B,$B172,ORE!$E:$E,$C172))</f>
        <v/>
      </c>
      <c r="M172" s="33" t="str">
        <f>IF($A172="","",SUMIFS(PREVISIONE_ORE!$G:$G,PREVISIONE_ORE!$D:$D,$B172,PREVISIONE_ORE!$E:$E,$C172,PREVISIONE_ORE!$K:$K,"Sì"))</f>
        <v/>
      </c>
      <c r="N172" s="33" t="str">
        <f>IF($A172="","",IF(COUNTIFS(PREVISIONE_ORE!$D:$D,$B172,PREVISIONE_ORE!$E:$E,$C172,PREVISIONE_ORE!$K:$K,"Sì")&gt;0,$L172+$M172,MAX($L172,$F172)))</f>
        <v/>
      </c>
      <c r="O172" s="33" t="str">
        <f t="shared" si="43"/>
        <v/>
      </c>
      <c r="P172" s="34" t="str">
        <f t="shared" si="44"/>
        <v/>
      </c>
      <c r="Q172" s="34" t="str">
        <f t="shared" si="45"/>
        <v/>
      </c>
      <c r="R172" s="35" t="str">
        <f t="shared" si="46"/>
        <v/>
      </c>
      <c r="S172" s="36" t="str">
        <f t="shared" si="47"/>
        <v/>
      </c>
    </row>
    <row r="173" spans="1:19" x14ac:dyDescent="0.3">
      <c r="A173" s="42"/>
      <c r="B173" s="42"/>
      <c r="C173" s="42"/>
      <c r="D173" s="36" t="str">
        <f>IF($A173="","",IFERROR(INDEX(TEAM!$B:$B,MATCH($C173,TEAM!$A:$A,0)),""))</f>
        <v/>
      </c>
      <c r="E173" s="42"/>
      <c r="F173" s="48"/>
      <c r="G173" s="47" t="str">
        <f>IF($A173="","",IFERROR(INDEX(TEAM!$C:$C,MATCH($C173,TEAM!$A:$A,0)),0))</f>
        <v/>
      </c>
      <c r="H173" s="47" t="str">
        <f>IF($A173="","",IFERROR(INDEX(TEAM!$D:$D,MATCH($C173,TEAM!$A:$A,0)),0))</f>
        <v/>
      </c>
      <c r="I173" s="34" t="str">
        <f t="shared" si="40"/>
        <v/>
      </c>
      <c r="J173" s="34" t="str">
        <f t="shared" si="41"/>
        <v/>
      </c>
      <c r="K173" s="34" t="str">
        <f t="shared" si="42"/>
        <v/>
      </c>
      <c r="L173" s="33" t="str">
        <f>IF($A173="","",SUMIFS(ORE!$F:$F,ORE!$B:$B,$B173,ORE!$E:$E,$C173))</f>
        <v/>
      </c>
      <c r="M173" s="33" t="str">
        <f>IF($A173="","",SUMIFS(PREVISIONE_ORE!$G:$G,PREVISIONE_ORE!$D:$D,$B173,PREVISIONE_ORE!$E:$E,$C173,PREVISIONE_ORE!$K:$K,"Sì"))</f>
        <v/>
      </c>
      <c r="N173" s="33" t="str">
        <f>IF($A173="","",IF(COUNTIFS(PREVISIONE_ORE!$D:$D,$B173,PREVISIONE_ORE!$E:$E,$C173,PREVISIONE_ORE!$K:$K,"Sì")&gt;0,$L173+$M173,MAX($L173,$F173)))</f>
        <v/>
      </c>
      <c r="O173" s="33" t="str">
        <f t="shared" si="43"/>
        <v/>
      </c>
      <c r="P173" s="34" t="str">
        <f t="shared" si="44"/>
        <v/>
      </c>
      <c r="Q173" s="34" t="str">
        <f t="shared" si="45"/>
        <v/>
      </c>
      <c r="R173" s="35" t="str">
        <f t="shared" si="46"/>
        <v/>
      </c>
      <c r="S173" s="36" t="str">
        <f t="shared" si="47"/>
        <v/>
      </c>
    </row>
    <row r="174" spans="1:19" x14ac:dyDescent="0.3">
      <c r="A174" s="42"/>
      <c r="B174" s="42"/>
      <c r="C174" s="42"/>
      <c r="D174" s="36" t="str">
        <f>IF($A174="","",IFERROR(INDEX(TEAM!$B:$B,MATCH($C174,TEAM!$A:$A,0)),""))</f>
        <v/>
      </c>
      <c r="E174" s="42"/>
      <c r="F174" s="48"/>
      <c r="G174" s="47" t="str">
        <f>IF($A174="","",IFERROR(INDEX(TEAM!$C:$C,MATCH($C174,TEAM!$A:$A,0)),0))</f>
        <v/>
      </c>
      <c r="H174" s="47" t="str">
        <f>IF($A174="","",IFERROR(INDEX(TEAM!$D:$D,MATCH($C174,TEAM!$A:$A,0)),0))</f>
        <v/>
      </c>
      <c r="I174" s="34" t="str">
        <f t="shared" si="40"/>
        <v/>
      </c>
      <c r="J174" s="34" t="str">
        <f t="shared" si="41"/>
        <v/>
      </c>
      <c r="K174" s="34" t="str">
        <f t="shared" si="42"/>
        <v/>
      </c>
      <c r="L174" s="33" t="str">
        <f>IF($A174="","",SUMIFS(ORE!$F:$F,ORE!$B:$B,$B174,ORE!$E:$E,$C174))</f>
        <v/>
      </c>
      <c r="M174" s="33" t="str">
        <f>IF($A174="","",SUMIFS(PREVISIONE_ORE!$G:$G,PREVISIONE_ORE!$D:$D,$B174,PREVISIONE_ORE!$E:$E,$C174,PREVISIONE_ORE!$K:$K,"Sì"))</f>
        <v/>
      </c>
      <c r="N174" s="33" t="str">
        <f>IF($A174="","",IF(COUNTIFS(PREVISIONE_ORE!$D:$D,$B174,PREVISIONE_ORE!$E:$E,$C174,PREVISIONE_ORE!$K:$K,"Sì")&gt;0,$L174+$M174,MAX($L174,$F174)))</f>
        <v/>
      </c>
      <c r="O174" s="33" t="str">
        <f t="shared" si="43"/>
        <v/>
      </c>
      <c r="P174" s="34" t="str">
        <f t="shared" si="44"/>
        <v/>
      </c>
      <c r="Q174" s="34" t="str">
        <f t="shared" si="45"/>
        <v/>
      </c>
      <c r="R174" s="35" t="str">
        <f t="shared" si="46"/>
        <v/>
      </c>
      <c r="S174" s="36" t="str">
        <f t="shared" si="47"/>
        <v/>
      </c>
    </row>
    <row r="175" spans="1:19" x14ac:dyDescent="0.3">
      <c r="A175" s="42"/>
      <c r="B175" s="42"/>
      <c r="C175" s="42"/>
      <c r="D175" s="36" t="str">
        <f>IF($A175="","",IFERROR(INDEX(TEAM!$B:$B,MATCH($C175,TEAM!$A:$A,0)),""))</f>
        <v/>
      </c>
      <c r="E175" s="42"/>
      <c r="F175" s="48"/>
      <c r="G175" s="47" t="str">
        <f>IF($A175="","",IFERROR(INDEX(TEAM!$C:$C,MATCH($C175,TEAM!$A:$A,0)),0))</f>
        <v/>
      </c>
      <c r="H175" s="47" t="str">
        <f>IF($A175="","",IFERROR(INDEX(TEAM!$D:$D,MATCH($C175,TEAM!$A:$A,0)),0))</f>
        <v/>
      </c>
      <c r="I175" s="34" t="str">
        <f t="shared" si="40"/>
        <v/>
      </c>
      <c r="J175" s="34" t="str">
        <f t="shared" si="41"/>
        <v/>
      </c>
      <c r="K175" s="34" t="str">
        <f t="shared" si="42"/>
        <v/>
      </c>
      <c r="L175" s="33" t="str">
        <f>IF($A175="","",SUMIFS(ORE!$F:$F,ORE!$B:$B,$B175,ORE!$E:$E,$C175))</f>
        <v/>
      </c>
      <c r="M175" s="33" t="str">
        <f>IF($A175="","",SUMIFS(PREVISIONE_ORE!$G:$G,PREVISIONE_ORE!$D:$D,$B175,PREVISIONE_ORE!$E:$E,$C175,PREVISIONE_ORE!$K:$K,"Sì"))</f>
        <v/>
      </c>
      <c r="N175" s="33" t="str">
        <f>IF($A175="","",IF(COUNTIFS(PREVISIONE_ORE!$D:$D,$B175,PREVISIONE_ORE!$E:$E,$C175,PREVISIONE_ORE!$K:$K,"Sì")&gt;0,$L175+$M175,MAX($L175,$F175)))</f>
        <v/>
      </c>
      <c r="O175" s="33" t="str">
        <f t="shared" si="43"/>
        <v/>
      </c>
      <c r="P175" s="34" t="str">
        <f t="shared" si="44"/>
        <v/>
      </c>
      <c r="Q175" s="34" t="str">
        <f t="shared" si="45"/>
        <v/>
      </c>
      <c r="R175" s="35" t="str">
        <f t="shared" si="46"/>
        <v/>
      </c>
      <c r="S175" s="36" t="str">
        <f t="shared" si="47"/>
        <v/>
      </c>
    </row>
    <row r="176" spans="1:19" x14ac:dyDescent="0.3">
      <c r="A176" s="42"/>
      <c r="B176" s="42"/>
      <c r="C176" s="42"/>
      <c r="D176" s="36" t="str">
        <f>IF($A176="","",IFERROR(INDEX(TEAM!$B:$B,MATCH($C176,TEAM!$A:$A,0)),""))</f>
        <v/>
      </c>
      <c r="E176" s="42"/>
      <c r="F176" s="48"/>
      <c r="G176" s="47" t="str">
        <f>IF($A176="","",IFERROR(INDEX(TEAM!$C:$C,MATCH($C176,TEAM!$A:$A,0)),0))</f>
        <v/>
      </c>
      <c r="H176" s="47" t="str">
        <f>IF($A176="","",IFERROR(INDEX(TEAM!$D:$D,MATCH($C176,TEAM!$A:$A,0)),0))</f>
        <v/>
      </c>
      <c r="I176" s="34" t="str">
        <f t="shared" si="40"/>
        <v/>
      </c>
      <c r="J176" s="34" t="str">
        <f t="shared" si="41"/>
        <v/>
      </c>
      <c r="K176" s="34" t="str">
        <f t="shared" si="42"/>
        <v/>
      </c>
      <c r="L176" s="33" t="str">
        <f>IF($A176="","",SUMIFS(ORE!$F:$F,ORE!$B:$B,$B176,ORE!$E:$E,$C176))</f>
        <v/>
      </c>
      <c r="M176" s="33" t="str">
        <f>IF($A176="","",SUMIFS(PREVISIONE_ORE!$G:$G,PREVISIONE_ORE!$D:$D,$B176,PREVISIONE_ORE!$E:$E,$C176,PREVISIONE_ORE!$K:$K,"Sì"))</f>
        <v/>
      </c>
      <c r="N176" s="33" t="str">
        <f>IF($A176="","",IF(COUNTIFS(PREVISIONE_ORE!$D:$D,$B176,PREVISIONE_ORE!$E:$E,$C176,PREVISIONE_ORE!$K:$K,"Sì")&gt;0,$L176+$M176,MAX($L176,$F176)))</f>
        <v/>
      </c>
      <c r="O176" s="33" t="str">
        <f t="shared" si="43"/>
        <v/>
      </c>
      <c r="P176" s="34" t="str">
        <f t="shared" si="44"/>
        <v/>
      </c>
      <c r="Q176" s="34" t="str">
        <f t="shared" si="45"/>
        <v/>
      </c>
      <c r="R176" s="35" t="str">
        <f t="shared" si="46"/>
        <v/>
      </c>
      <c r="S176" s="36" t="str">
        <f t="shared" si="47"/>
        <v/>
      </c>
    </row>
    <row r="177" spans="1:19" x14ac:dyDescent="0.3">
      <c r="A177" s="42"/>
      <c r="B177" s="42"/>
      <c r="C177" s="42"/>
      <c r="D177" s="36" t="str">
        <f>IF($A177="","",IFERROR(INDEX(TEAM!$B:$B,MATCH($C177,TEAM!$A:$A,0)),""))</f>
        <v/>
      </c>
      <c r="E177" s="42"/>
      <c r="F177" s="48"/>
      <c r="G177" s="47" t="str">
        <f>IF($A177="","",IFERROR(INDEX(TEAM!$C:$C,MATCH($C177,TEAM!$A:$A,0)),0))</f>
        <v/>
      </c>
      <c r="H177" s="47" t="str">
        <f>IF($A177="","",IFERROR(INDEX(TEAM!$D:$D,MATCH($C177,TEAM!$A:$A,0)),0))</f>
        <v/>
      </c>
      <c r="I177" s="34" t="str">
        <f t="shared" si="40"/>
        <v/>
      </c>
      <c r="J177" s="34" t="str">
        <f t="shared" si="41"/>
        <v/>
      </c>
      <c r="K177" s="34" t="str">
        <f t="shared" si="42"/>
        <v/>
      </c>
      <c r="L177" s="33" t="str">
        <f>IF($A177="","",SUMIFS(ORE!$F:$F,ORE!$B:$B,$B177,ORE!$E:$E,$C177))</f>
        <v/>
      </c>
      <c r="M177" s="33" t="str">
        <f>IF($A177="","",SUMIFS(PREVISIONE_ORE!$G:$G,PREVISIONE_ORE!$D:$D,$B177,PREVISIONE_ORE!$E:$E,$C177,PREVISIONE_ORE!$K:$K,"Sì"))</f>
        <v/>
      </c>
      <c r="N177" s="33" t="str">
        <f>IF($A177="","",IF(COUNTIFS(PREVISIONE_ORE!$D:$D,$B177,PREVISIONE_ORE!$E:$E,$C177,PREVISIONE_ORE!$K:$K,"Sì")&gt;0,$L177+$M177,MAX($L177,$F177)))</f>
        <v/>
      </c>
      <c r="O177" s="33" t="str">
        <f t="shared" si="43"/>
        <v/>
      </c>
      <c r="P177" s="34" t="str">
        <f t="shared" si="44"/>
        <v/>
      </c>
      <c r="Q177" s="34" t="str">
        <f t="shared" si="45"/>
        <v/>
      </c>
      <c r="R177" s="35" t="str">
        <f t="shared" si="46"/>
        <v/>
      </c>
      <c r="S177" s="36" t="str">
        <f t="shared" si="47"/>
        <v/>
      </c>
    </row>
    <row r="178" spans="1:19" x14ac:dyDescent="0.3">
      <c r="A178" s="42"/>
      <c r="B178" s="42"/>
      <c r="C178" s="42"/>
      <c r="D178" s="36" t="str">
        <f>IF($A178="","",IFERROR(INDEX(TEAM!$B:$B,MATCH($C178,TEAM!$A:$A,0)),""))</f>
        <v/>
      </c>
      <c r="E178" s="42"/>
      <c r="F178" s="48"/>
      <c r="G178" s="47" t="str">
        <f>IF($A178="","",IFERROR(INDEX(TEAM!$C:$C,MATCH($C178,TEAM!$A:$A,0)),0))</f>
        <v/>
      </c>
      <c r="H178" s="47" t="str">
        <f>IF($A178="","",IFERROR(INDEX(TEAM!$D:$D,MATCH($C178,TEAM!$A:$A,0)),0))</f>
        <v/>
      </c>
      <c r="I178" s="34" t="str">
        <f t="shared" si="40"/>
        <v/>
      </c>
      <c r="J178" s="34" t="str">
        <f t="shared" si="41"/>
        <v/>
      </c>
      <c r="K178" s="34" t="str">
        <f t="shared" si="42"/>
        <v/>
      </c>
      <c r="L178" s="33" t="str">
        <f>IF($A178="","",SUMIFS(ORE!$F:$F,ORE!$B:$B,$B178,ORE!$E:$E,$C178))</f>
        <v/>
      </c>
      <c r="M178" s="33" t="str">
        <f>IF($A178="","",SUMIFS(PREVISIONE_ORE!$G:$G,PREVISIONE_ORE!$D:$D,$B178,PREVISIONE_ORE!$E:$E,$C178,PREVISIONE_ORE!$K:$K,"Sì"))</f>
        <v/>
      </c>
      <c r="N178" s="33" t="str">
        <f>IF($A178="","",IF(COUNTIFS(PREVISIONE_ORE!$D:$D,$B178,PREVISIONE_ORE!$E:$E,$C178,PREVISIONE_ORE!$K:$K,"Sì")&gt;0,$L178+$M178,MAX($L178,$F178)))</f>
        <v/>
      </c>
      <c r="O178" s="33" t="str">
        <f t="shared" si="43"/>
        <v/>
      </c>
      <c r="P178" s="34" t="str">
        <f t="shared" si="44"/>
        <v/>
      </c>
      <c r="Q178" s="34" t="str">
        <f t="shared" si="45"/>
        <v/>
      </c>
      <c r="R178" s="35" t="str">
        <f t="shared" si="46"/>
        <v/>
      </c>
      <c r="S178" s="36" t="str">
        <f t="shared" si="47"/>
        <v/>
      </c>
    </row>
    <row r="179" spans="1:19" x14ac:dyDescent="0.3">
      <c r="A179" s="42"/>
      <c r="B179" s="42"/>
      <c r="C179" s="42"/>
      <c r="D179" s="36" t="str">
        <f>IF($A179="","",IFERROR(INDEX(TEAM!$B:$B,MATCH($C179,TEAM!$A:$A,0)),""))</f>
        <v/>
      </c>
      <c r="E179" s="42"/>
      <c r="F179" s="48"/>
      <c r="G179" s="47" t="str">
        <f>IF($A179="","",IFERROR(INDEX(TEAM!$C:$C,MATCH($C179,TEAM!$A:$A,0)),0))</f>
        <v/>
      </c>
      <c r="H179" s="47" t="str">
        <f>IF($A179="","",IFERROR(INDEX(TEAM!$D:$D,MATCH($C179,TEAM!$A:$A,0)),0))</f>
        <v/>
      </c>
      <c r="I179" s="34" t="str">
        <f t="shared" si="40"/>
        <v/>
      </c>
      <c r="J179" s="34" t="str">
        <f t="shared" si="41"/>
        <v/>
      </c>
      <c r="K179" s="34" t="str">
        <f t="shared" si="42"/>
        <v/>
      </c>
      <c r="L179" s="33" t="str">
        <f>IF($A179="","",SUMIFS(ORE!$F:$F,ORE!$B:$B,$B179,ORE!$E:$E,$C179))</f>
        <v/>
      </c>
      <c r="M179" s="33" t="str">
        <f>IF($A179="","",SUMIFS(PREVISIONE_ORE!$G:$G,PREVISIONE_ORE!$D:$D,$B179,PREVISIONE_ORE!$E:$E,$C179,PREVISIONE_ORE!$K:$K,"Sì"))</f>
        <v/>
      </c>
      <c r="N179" s="33" t="str">
        <f>IF($A179="","",IF(COUNTIFS(PREVISIONE_ORE!$D:$D,$B179,PREVISIONE_ORE!$E:$E,$C179,PREVISIONE_ORE!$K:$K,"Sì")&gt;0,$L179+$M179,MAX($L179,$F179)))</f>
        <v/>
      </c>
      <c r="O179" s="33" t="str">
        <f t="shared" si="43"/>
        <v/>
      </c>
      <c r="P179" s="34" t="str">
        <f t="shared" si="44"/>
        <v/>
      </c>
      <c r="Q179" s="34" t="str">
        <f t="shared" si="45"/>
        <v/>
      </c>
      <c r="R179" s="35" t="str">
        <f t="shared" si="46"/>
        <v/>
      </c>
      <c r="S179" s="36" t="str">
        <f t="shared" si="47"/>
        <v/>
      </c>
    </row>
    <row r="180" spans="1:19" x14ac:dyDescent="0.3">
      <c r="A180" s="42"/>
      <c r="B180" s="42"/>
      <c r="C180" s="42"/>
      <c r="D180" s="36" t="str">
        <f>IF($A180="","",IFERROR(INDEX(TEAM!$B:$B,MATCH($C180,TEAM!$A:$A,0)),""))</f>
        <v/>
      </c>
      <c r="E180" s="42"/>
      <c r="F180" s="48"/>
      <c r="G180" s="47" t="str">
        <f>IF($A180="","",IFERROR(INDEX(TEAM!$C:$C,MATCH($C180,TEAM!$A:$A,0)),0))</f>
        <v/>
      </c>
      <c r="H180" s="47" t="str">
        <f>IF($A180="","",IFERROR(INDEX(TEAM!$D:$D,MATCH($C180,TEAM!$A:$A,0)),0))</f>
        <v/>
      </c>
      <c r="I180" s="34" t="str">
        <f t="shared" si="40"/>
        <v/>
      </c>
      <c r="J180" s="34" t="str">
        <f t="shared" si="41"/>
        <v/>
      </c>
      <c r="K180" s="34" t="str">
        <f t="shared" si="42"/>
        <v/>
      </c>
      <c r="L180" s="33" t="str">
        <f>IF($A180="","",SUMIFS(ORE!$F:$F,ORE!$B:$B,$B180,ORE!$E:$E,$C180))</f>
        <v/>
      </c>
      <c r="M180" s="33" t="str">
        <f>IF($A180="","",SUMIFS(PREVISIONE_ORE!$G:$G,PREVISIONE_ORE!$D:$D,$B180,PREVISIONE_ORE!$E:$E,$C180,PREVISIONE_ORE!$K:$K,"Sì"))</f>
        <v/>
      </c>
      <c r="N180" s="33" t="str">
        <f>IF($A180="","",IF(COUNTIFS(PREVISIONE_ORE!$D:$D,$B180,PREVISIONE_ORE!$E:$E,$C180,PREVISIONE_ORE!$K:$K,"Sì")&gt;0,$L180+$M180,MAX($L180,$F180)))</f>
        <v/>
      </c>
      <c r="O180" s="33" t="str">
        <f t="shared" si="43"/>
        <v/>
      </c>
      <c r="P180" s="34" t="str">
        <f t="shared" si="44"/>
        <v/>
      </c>
      <c r="Q180" s="34" t="str">
        <f t="shared" si="45"/>
        <v/>
      </c>
      <c r="R180" s="35" t="str">
        <f t="shared" si="46"/>
        <v/>
      </c>
      <c r="S180" s="36" t="str">
        <f t="shared" si="47"/>
        <v/>
      </c>
    </row>
    <row r="181" spans="1:19" x14ac:dyDescent="0.3">
      <c r="A181" s="42"/>
      <c r="B181" s="42"/>
      <c r="C181" s="42"/>
      <c r="D181" s="36" t="str">
        <f>IF($A181="","",IFERROR(INDEX(TEAM!$B:$B,MATCH($C181,TEAM!$A:$A,0)),""))</f>
        <v/>
      </c>
      <c r="E181" s="42"/>
      <c r="F181" s="48"/>
      <c r="G181" s="47" t="str">
        <f>IF($A181="","",IFERROR(INDEX(TEAM!$C:$C,MATCH($C181,TEAM!$A:$A,0)),0))</f>
        <v/>
      </c>
      <c r="H181" s="47" t="str">
        <f>IF($A181="","",IFERROR(INDEX(TEAM!$D:$D,MATCH($C181,TEAM!$A:$A,0)),0))</f>
        <v/>
      </c>
      <c r="I181" s="34" t="str">
        <f t="shared" si="40"/>
        <v/>
      </c>
      <c r="J181" s="34" t="str">
        <f t="shared" si="41"/>
        <v/>
      </c>
      <c r="K181" s="34" t="str">
        <f t="shared" si="42"/>
        <v/>
      </c>
      <c r="L181" s="33" t="str">
        <f>IF($A181="","",SUMIFS(ORE!$F:$F,ORE!$B:$B,$B181,ORE!$E:$E,$C181))</f>
        <v/>
      </c>
      <c r="M181" s="33" t="str">
        <f>IF($A181="","",SUMIFS(PREVISIONE_ORE!$G:$G,PREVISIONE_ORE!$D:$D,$B181,PREVISIONE_ORE!$E:$E,$C181,PREVISIONE_ORE!$K:$K,"Sì"))</f>
        <v/>
      </c>
      <c r="N181" s="33" t="str">
        <f>IF($A181="","",IF(COUNTIFS(PREVISIONE_ORE!$D:$D,$B181,PREVISIONE_ORE!$E:$E,$C181,PREVISIONE_ORE!$K:$K,"Sì")&gt;0,$L181+$M181,MAX($L181,$F181)))</f>
        <v/>
      </c>
      <c r="O181" s="33" t="str">
        <f t="shared" si="43"/>
        <v/>
      </c>
      <c r="P181" s="34" t="str">
        <f t="shared" si="44"/>
        <v/>
      </c>
      <c r="Q181" s="34" t="str">
        <f t="shared" si="45"/>
        <v/>
      </c>
      <c r="R181" s="35" t="str">
        <f t="shared" si="46"/>
        <v/>
      </c>
      <c r="S181" s="36" t="str">
        <f t="shared" si="47"/>
        <v/>
      </c>
    </row>
    <row r="182" spans="1:19" x14ac:dyDescent="0.3">
      <c r="A182" s="42"/>
      <c r="B182" s="42"/>
      <c r="C182" s="42"/>
      <c r="D182" s="36" t="str">
        <f>IF($A182="","",IFERROR(INDEX(TEAM!$B:$B,MATCH($C182,TEAM!$A:$A,0)),""))</f>
        <v/>
      </c>
      <c r="E182" s="42"/>
      <c r="F182" s="48"/>
      <c r="G182" s="47" t="str">
        <f>IF($A182="","",IFERROR(INDEX(TEAM!$C:$C,MATCH($C182,TEAM!$A:$A,0)),0))</f>
        <v/>
      </c>
      <c r="H182" s="47" t="str">
        <f>IF($A182="","",IFERROR(INDEX(TEAM!$D:$D,MATCH($C182,TEAM!$A:$A,0)),0))</f>
        <v/>
      </c>
      <c r="I182" s="34" t="str">
        <f t="shared" si="40"/>
        <v/>
      </c>
      <c r="J182" s="34" t="str">
        <f t="shared" si="41"/>
        <v/>
      </c>
      <c r="K182" s="34" t="str">
        <f t="shared" si="42"/>
        <v/>
      </c>
      <c r="L182" s="33" t="str">
        <f>IF($A182="","",SUMIFS(ORE!$F:$F,ORE!$B:$B,$B182,ORE!$E:$E,$C182))</f>
        <v/>
      </c>
      <c r="M182" s="33" t="str">
        <f>IF($A182="","",SUMIFS(PREVISIONE_ORE!$G:$G,PREVISIONE_ORE!$D:$D,$B182,PREVISIONE_ORE!$E:$E,$C182,PREVISIONE_ORE!$K:$K,"Sì"))</f>
        <v/>
      </c>
      <c r="N182" s="33" t="str">
        <f>IF($A182="","",IF(COUNTIFS(PREVISIONE_ORE!$D:$D,$B182,PREVISIONE_ORE!$E:$E,$C182,PREVISIONE_ORE!$K:$K,"Sì")&gt;0,$L182+$M182,MAX($L182,$F182)))</f>
        <v/>
      </c>
      <c r="O182" s="33" t="str">
        <f t="shared" si="43"/>
        <v/>
      </c>
      <c r="P182" s="34" t="str">
        <f t="shared" si="44"/>
        <v/>
      </c>
      <c r="Q182" s="34" t="str">
        <f t="shared" si="45"/>
        <v/>
      </c>
      <c r="R182" s="35" t="str">
        <f t="shared" si="46"/>
        <v/>
      </c>
      <c r="S182" s="36" t="str">
        <f t="shared" si="47"/>
        <v/>
      </c>
    </row>
    <row r="183" spans="1:19" x14ac:dyDescent="0.3">
      <c r="A183" s="42"/>
      <c r="B183" s="42"/>
      <c r="C183" s="42"/>
      <c r="D183" s="36" t="str">
        <f>IF($A183="","",IFERROR(INDEX(TEAM!$B:$B,MATCH($C183,TEAM!$A:$A,0)),""))</f>
        <v/>
      </c>
      <c r="E183" s="42"/>
      <c r="F183" s="48"/>
      <c r="G183" s="47" t="str">
        <f>IF($A183="","",IFERROR(INDEX(TEAM!$C:$C,MATCH($C183,TEAM!$A:$A,0)),0))</f>
        <v/>
      </c>
      <c r="H183" s="47" t="str">
        <f>IF($A183="","",IFERROR(INDEX(TEAM!$D:$D,MATCH($C183,TEAM!$A:$A,0)),0))</f>
        <v/>
      </c>
      <c r="I183" s="34" t="str">
        <f t="shared" si="40"/>
        <v/>
      </c>
      <c r="J183" s="34" t="str">
        <f t="shared" si="41"/>
        <v/>
      </c>
      <c r="K183" s="34" t="str">
        <f t="shared" si="42"/>
        <v/>
      </c>
      <c r="L183" s="33" t="str">
        <f>IF($A183="","",SUMIFS(ORE!$F:$F,ORE!$B:$B,$B183,ORE!$E:$E,$C183))</f>
        <v/>
      </c>
      <c r="M183" s="33" t="str">
        <f>IF($A183="","",SUMIFS(PREVISIONE_ORE!$G:$G,PREVISIONE_ORE!$D:$D,$B183,PREVISIONE_ORE!$E:$E,$C183,PREVISIONE_ORE!$K:$K,"Sì"))</f>
        <v/>
      </c>
      <c r="N183" s="33" t="str">
        <f>IF($A183="","",IF(COUNTIFS(PREVISIONE_ORE!$D:$D,$B183,PREVISIONE_ORE!$E:$E,$C183,PREVISIONE_ORE!$K:$K,"Sì")&gt;0,$L183+$M183,MAX($L183,$F183)))</f>
        <v/>
      </c>
      <c r="O183" s="33" t="str">
        <f t="shared" si="43"/>
        <v/>
      </c>
      <c r="P183" s="34" t="str">
        <f t="shared" si="44"/>
        <v/>
      </c>
      <c r="Q183" s="34" t="str">
        <f t="shared" si="45"/>
        <v/>
      </c>
      <c r="R183" s="35" t="str">
        <f t="shared" si="46"/>
        <v/>
      </c>
      <c r="S183" s="36" t="str">
        <f t="shared" si="47"/>
        <v/>
      </c>
    </row>
    <row r="184" spans="1:19" x14ac:dyDescent="0.3">
      <c r="A184" s="42"/>
      <c r="B184" s="42"/>
      <c r="C184" s="42"/>
      <c r="D184" s="36" t="str">
        <f>IF($A184="","",IFERROR(INDEX(TEAM!$B:$B,MATCH($C184,TEAM!$A:$A,0)),""))</f>
        <v/>
      </c>
      <c r="E184" s="42"/>
      <c r="F184" s="48"/>
      <c r="G184" s="47" t="str">
        <f>IF($A184="","",IFERROR(INDEX(TEAM!$C:$C,MATCH($C184,TEAM!$A:$A,0)),0))</f>
        <v/>
      </c>
      <c r="H184" s="47" t="str">
        <f>IF($A184="","",IFERROR(INDEX(TEAM!$D:$D,MATCH($C184,TEAM!$A:$A,0)),0))</f>
        <v/>
      </c>
      <c r="I184" s="34" t="str">
        <f t="shared" si="40"/>
        <v/>
      </c>
      <c r="J184" s="34" t="str">
        <f t="shared" si="41"/>
        <v/>
      </c>
      <c r="K184" s="34" t="str">
        <f t="shared" si="42"/>
        <v/>
      </c>
      <c r="L184" s="33" t="str">
        <f>IF($A184="","",SUMIFS(ORE!$F:$F,ORE!$B:$B,$B184,ORE!$E:$E,$C184))</f>
        <v/>
      </c>
      <c r="M184" s="33" t="str">
        <f>IF($A184="","",SUMIFS(PREVISIONE_ORE!$G:$G,PREVISIONE_ORE!$D:$D,$B184,PREVISIONE_ORE!$E:$E,$C184,PREVISIONE_ORE!$K:$K,"Sì"))</f>
        <v/>
      </c>
      <c r="N184" s="33" t="str">
        <f>IF($A184="","",IF(COUNTIFS(PREVISIONE_ORE!$D:$D,$B184,PREVISIONE_ORE!$E:$E,$C184,PREVISIONE_ORE!$K:$K,"Sì")&gt;0,$L184+$M184,MAX($L184,$F184)))</f>
        <v/>
      </c>
      <c r="O184" s="33" t="str">
        <f t="shared" si="43"/>
        <v/>
      </c>
      <c r="P184" s="34" t="str">
        <f t="shared" si="44"/>
        <v/>
      </c>
      <c r="Q184" s="34" t="str">
        <f t="shared" si="45"/>
        <v/>
      </c>
      <c r="R184" s="35" t="str">
        <f t="shared" si="46"/>
        <v/>
      </c>
      <c r="S184" s="36" t="str">
        <f t="shared" si="47"/>
        <v/>
      </c>
    </row>
    <row r="185" spans="1:19" x14ac:dyDescent="0.3">
      <c r="A185" s="42"/>
      <c r="B185" s="42"/>
      <c r="C185" s="42"/>
      <c r="D185" s="36" t="str">
        <f>IF($A185="","",IFERROR(INDEX(TEAM!$B:$B,MATCH($C185,TEAM!$A:$A,0)),""))</f>
        <v/>
      </c>
      <c r="E185" s="42"/>
      <c r="F185" s="48"/>
      <c r="G185" s="47" t="str">
        <f>IF($A185="","",IFERROR(INDEX(TEAM!$C:$C,MATCH($C185,TEAM!$A:$A,0)),0))</f>
        <v/>
      </c>
      <c r="H185" s="47" t="str">
        <f>IF($A185="","",IFERROR(INDEX(TEAM!$D:$D,MATCH($C185,TEAM!$A:$A,0)),0))</f>
        <v/>
      </c>
      <c r="I185" s="34" t="str">
        <f t="shared" si="40"/>
        <v/>
      </c>
      <c r="J185" s="34" t="str">
        <f t="shared" si="41"/>
        <v/>
      </c>
      <c r="K185" s="34" t="str">
        <f t="shared" si="42"/>
        <v/>
      </c>
      <c r="L185" s="33" t="str">
        <f>IF($A185="","",SUMIFS(ORE!$F:$F,ORE!$B:$B,$B185,ORE!$E:$E,$C185))</f>
        <v/>
      </c>
      <c r="M185" s="33" t="str">
        <f>IF($A185="","",SUMIFS(PREVISIONE_ORE!$G:$G,PREVISIONE_ORE!$D:$D,$B185,PREVISIONE_ORE!$E:$E,$C185,PREVISIONE_ORE!$K:$K,"Sì"))</f>
        <v/>
      </c>
      <c r="N185" s="33" t="str">
        <f>IF($A185="","",IF(COUNTIFS(PREVISIONE_ORE!$D:$D,$B185,PREVISIONE_ORE!$E:$E,$C185,PREVISIONE_ORE!$K:$K,"Sì")&gt;0,$L185+$M185,MAX($L185,$F185)))</f>
        <v/>
      </c>
      <c r="O185" s="33" t="str">
        <f t="shared" si="43"/>
        <v/>
      </c>
      <c r="P185" s="34" t="str">
        <f t="shared" si="44"/>
        <v/>
      </c>
      <c r="Q185" s="34" t="str">
        <f t="shared" si="45"/>
        <v/>
      </c>
      <c r="R185" s="35" t="str">
        <f t="shared" si="46"/>
        <v/>
      </c>
      <c r="S185" s="36" t="str">
        <f t="shared" si="47"/>
        <v/>
      </c>
    </row>
    <row r="186" spans="1:19" x14ac:dyDescent="0.3">
      <c r="A186" s="42"/>
      <c r="B186" s="42"/>
      <c r="C186" s="42"/>
      <c r="D186" s="36" t="str">
        <f>IF($A186="","",IFERROR(INDEX(TEAM!$B:$B,MATCH($C186,TEAM!$A:$A,0)),""))</f>
        <v/>
      </c>
      <c r="E186" s="42"/>
      <c r="F186" s="48"/>
      <c r="G186" s="47" t="str">
        <f>IF($A186="","",IFERROR(INDEX(TEAM!$C:$C,MATCH($C186,TEAM!$A:$A,0)),0))</f>
        <v/>
      </c>
      <c r="H186" s="47" t="str">
        <f>IF($A186="","",IFERROR(INDEX(TEAM!$D:$D,MATCH($C186,TEAM!$A:$A,0)),0))</f>
        <v/>
      </c>
      <c r="I186" s="34" t="str">
        <f t="shared" si="40"/>
        <v/>
      </c>
      <c r="J186" s="34" t="str">
        <f t="shared" si="41"/>
        <v/>
      </c>
      <c r="K186" s="34" t="str">
        <f t="shared" si="42"/>
        <v/>
      </c>
      <c r="L186" s="33" t="str">
        <f>IF($A186="","",SUMIFS(ORE!$F:$F,ORE!$B:$B,$B186,ORE!$E:$E,$C186))</f>
        <v/>
      </c>
      <c r="M186" s="33" t="str">
        <f>IF($A186="","",SUMIFS(PREVISIONE_ORE!$G:$G,PREVISIONE_ORE!$D:$D,$B186,PREVISIONE_ORE!$E:$E,$C186,PREVISIONE_ORE!$K:$K,"Sì"))</f>
        <v/>
      </c>
      <c r="N186" s="33" t="str">
        <f>IF($A186="","",IF(COUNTIFS(PREVISIONE_ORE!$D:$D,$B186,PREVISIONE_ORE!$E:$E,$C186,PREVISIONE_ORE!$K:$K,"Sì")&gt;0,$L186+$M186,MAX($L186,$F186)))</f>
        <v/>
      </c>
      <c r="O186" s="33" t="str">
        <f t="shared" si="43"/>
        <v/>
      </c>
      <c r="P186" s="34" t="str">
        <f t="shared" si="44"/>
        <v/>
      </c>
      <c r="Q186" s="34" t="str">
        <f t="shared" si="45"/>
        <v/>
      </c>
      <c r="R186" s="35" t="str">
        <f t="shared" si="46"/>
        <v/>
      </c>
      <c r="S186" s="36" t="str">
        <f t="shared" si="47"/>
        <v/>
      </c>
    </row>
    <row r="187" spans="1:19" x14ac:dyDescent="0.3">
      <c r="A187" s="42"/>
      <c r="B187" s="42"/>
      <c r="C187" s="42"/>
      <c r="D187" s="36" t="str">
        <f>IF($A187="","",IFERROR(INDEX(TEAM!$B:$B,MATCH($C187,TEAM!$A:$A,0)),""))</f>
        <v/>
      </c>
      <c r="E187" s="42"/>
      <c r="F187" s="48"/>
      <c r="G187" s="47" t="str">
        <f>IF($A187="","",IFERROR(INDEX(TEAM!$C:$C,MATCH($C187,TEAM!$A:$A,0)),0))</f>
        <v/>
      </c>
      <c r="H187" s="47" t="str">
        <f>IF($A187="","",IFERROR(INDEX(TEAM!$D:$D,MATCH($C187,TEAM!$A:$A,0)),0))</f>
        <v/>
      </c>
      <c r="I187" s="34" t="str">
        <f t="shared" si="40"/>
        <v/>
      </c>
      <c r="J187" s="34" t="str">
        <f t="shared" si="41"/>
        <v/>
      </c>
      <c r="K187" s="34" t="str">
        <f t="shared" si="42"/>
        <v/>
      </c>
      <c r="L187" s="33" t="str">
        <f>IF($A187="","",SUMIFS(ORE!$F:$F,ORE!$B:$B,$B187,ORE!$E:$E,$C187))</f>
        <v/>
      </c>
      <c r="M187" s="33" t="str">
        <f>IF($A187="","",SUMIFS(PREVISIONE_ORE!$G:$G,PREVISIONE_ORE!$D:$D,$B187,PREVISIONE_ORE!$E:$E,$C187,PREVISIONE_ORE!$K:$K,"Sì"))</f>
        <v/>
      </c>
      <c r="N187" s="33" t="str">
        <f>IF($A187="","",IF(COUNTIFS(PREVISIONE_ORE!$D:$D,$B187,PREVISIONE_ORE!$E:$E,$C187,PREVISIONE_ORE!$K:$K,"Sì")&gt;0,$L187+$M187,MAX($L187,$F187)))</f>
        <v/>
      </c>
      <c r="O187" s="33" t="str">
        <f t="shared" si="43"/>
        <v/>
      </c>
      <c r="P187" s="34" t="str">
        <f t="shared" si="44"/>
        <v/>
      </c>
      <c r="Q187" s="34" t="str">
        <f t="shared" si="45"/>
        <v/>
      </c>
      <c r="R187" s="35" t="str">
        <f t="shared" si="46"/>
        <v/>
      </c>
      <c r="S187" s="36" t="str">
        <f t="shared" si="47"/>
        <v/>
      </c>
    </row>
    <row r="188" spans="1:19" x14ac:dyDescent="0.3">
      <c r="A188" s="42"/>
      <c r="B188" s="42"/>
      <c r="C188" s="42"/>
      <c r="D188" s="36" t="str">
        <f>IF($A188="","",IFERROR(INDEX(TEAM!$B:$B,MATCH($C188,TEAM!$A:$A,0)),""))</f>
        <v/>
      </c>
      <c r="E188" s="42"/>
      <c r="F188" s="48"/>
      <c r="G188" s="47" t="str">
        <f>IF($A188="","",IFERROR(INDEX(TEAM!$C:$C,MATCH($C188,TEAM!$A:$A,0)),0))</f>
        <v/>
      </c>
      <c r="H188" s="47" t="str">
        <f>IF($A188="","",IFERROR(INDEX(TEAM!$D:$D,MATCH($C188,TEAM!$A:$A,0)),0))</f>
        <v/>
      </c>
      <c r="I188" s="34" t="str">
        <f t="shared" si="40"/>
        <v/>
      </c>
      <c r="J188" s="34" t="str">
        <f t="shared" si="41"/>
        <v/>
      </c>
      <c r="K188" s="34" t="str">
        <f t="shared" si="42"/>
        <v/>
      </c>
      <c r="L188" s="33" t="str">
        <f>IF($A188="","",SUMIFS(ORE!$F:$F,ORE!$B:$B,$B188,ORE!$E:$E,$C188))</f>
        <v/>
      </c>
      <c r="M188" s="33" t="str">
        <f>IF($A188="","",SUMIFS(PREVISIONE_ORE!$G:$G,PREVISIONE_ORE!$D:$D,$B188,PREVISIONE_ORE!$E:$E,$C188,PREVISIONE_ORE!$K:$K,"Sì"))</f>
        <v/>
      </c>
      <c r="N188" s="33" t="str">
        <f>IF($A188="","",IF(COUNTIFS(PREVISIONE_ORE!$D:$D,$B188,PREVISIONE_ORE!$E:$E,$C188,PREVISIONE_ORE!$K:$K,"Sì")&gt;0,$L188+$M188,MAX($L188,$F188)))</f>
        <v/>
      </c>
      <c r="O188" s="33" t="str">
        <f t="shared" si="43"/>
        <v/>
      </c>
      <c r="P188" s="34" t="str">
        <f t="shared" si="44"/>
        <v/>
      </c>
      <c r="Q188" s="34" t="str">
        <f t="shared" si="45"/>
        <v/>
      </c>
      <c r="R188" s="35" t="str">
        <f t="shared" si="46"/>
        <v/>
      </c>
      <c r="S188" s="36" t="str">
        <f t="shared" si="47"/>
        <v/>
      </c>
    </row>
    <row r="189" spans="1:19" x14ac:dyDescent="0.3">
      <c r="A189" s="42"/>
      <c r="B189" s="42"/>
      <c r="C189" s="42"/>
      <c r="D189" s="36" t="str">
        <f>IF($A189="","",IFERROR(INDEX(TEAM!$B:$B,MATCH($C189,TEAM!$A:$A,0)),""))</f>
        <v/>
      </c>
      <c r="E189" s="42"/>
      <c r="F189" s="48"/>
      <c r="G189" s="47" t="str">
        <f>IF($A189="","",IFERROR(INDEX(TEAM!$C:$C,MATCH($C189,TEAM!$A:$A,0)),0))</f>
        <v/>
      </c>
      <c r="H189" s="47" t="str">
        <f>IF($A189="","",IFERROR(INDEX(TEAM!$D:$D,MATCH($C189,TEAM!$A:$A,0)),0))</f>
        <v/>
      </c>
      <c r="I189" s="34" t="str">
        <f t="shared" si="40"/>
        <v/>
      </c>
      <c r="J189" s="34" t="str">
        <f t="shared" si="41"/>
        <v/>
      </c>
      <c r="K189" s="34" t="str">
        <f t="shared" si="42"/>
        <v/>
      </c>
      <c r="L189" s="33" t="str">
        <f>IF($A189="","",SUMIFS(ORE!$F:$F,ORE!$B:$B,$B189,ORE!$E:$E,$C189))</f>
        <v/>
      </c>
      <c r="M189" s="33" t="str">
        <f>IF($A189="","",SUMIFS(PREVISIONE_ORE!$G:$G,PREVISIONE_ORE!$D:$D,$B189,PREVISIONE_ORE!$E:$E,$C189,PREVISIONE_ORE!$K:$K,"Sì"))</f>
        <v/>
      </c>
      <c r="N189" s="33" t="str">
        <f>IF($A189="","",IF(COUNTIFS(PREVISIONE_ORE!$D:$D,$B189,PREVISIONE_ORE!$E:$E,$C189,PREVISIONE_ORE!$K:$K,"Sì")&gt;0,$L189+$M189,MAX($L189,$F189)))</f>
        <v/>
      </c>
      <c r="O189" s="33" t="str">
        <f t="shared" si="43"/>
        <v/>
      </c>
      <c r="P189" s="34" t="str">
        <f t="shared" si="44"/>
        <v/>
      </c>
      <c r="Q189" s="34" t="str">
        <f t="shared" si="45"/>
        <v/>
      </c>
      <c r="R189" s="35" t="str">
        <f t="shared" si="46"/>
        <v/>
      </c>
      <c r="S189" s="36" t="str">
        <f t="shared" si="47"/>
        <v/>
      </c>
    </row>
    <row r="190" spans="1:19" x14ac:dyDescent="0.3">
      <c r="A190" s="42"/>
      <c r="B190" s="42"/>
      <c r="C190" s="42"/>
      <c r="D190" s="36" t="str">
        <f>IF($A190="","",IFERROR(INDEX(TEAM!$B:$B,MATCH($C190,TEAM!$A:$A,0)),""))</f>
        <v/>
      </c>
      <c r="E190" s="42"/>
      <c r="F190" s="48"/>
      <c r="G190" s="47" t="str">
        <f>IF($A190="","",IFERROR(INDEX(TEAM!$C:$C,MATCH($C190,TEAM!$A:$A,0)),0))</f>
        <v/>
      </c>
      <c r="H190" s="47" t="str">
        <f>IF($A190="","",IFERROR(INDEX(TEAM!$D:$D,MATCH($C190,TEAM!$A:$A,0)),0))</f>
        <v/>
      </c>
      <c r="I190" s="34" t="str">
        <f t="shared" si="40"/>
        <v/>
      </c>
      <c r="J190" s="34" t="str">
        <f t="shared" si="41"/>
        <v/>
      </c>
      <c r="K190" s="34" t="str">
        <f t="shared" si="42"/>
        <v/>
      </c>
      <c r="L190" s="33" t="str">
        <f>IF($A190="","",SUMIFS(ORE!$F:$F,ORE!$B:$B,$B190,ORE!$E:$E,$C190))</f>
        <v/>
      </c>
      <c r="M190" s="33" t="str">
        <f>IF($A190="","",SUMIFS(PREVISIONE_ORE!$G:$G,PREVISIONE_ORE!$D:$D,$B190,PREVISIONE_ORE!$E:$E,$C190,PREVISIONE_ORE!$K:$K,"Sì"))</f>
        <v/>
      </c>
      <c r="N190" s="33" t="str">
        <f>IF($A190="","",IF(COUNTIFS(PREVISIONE_ORE!$D:$D,$B190,PREVISIONE_ORE!$E:$E,$C190,PREVISIONE_ORE!$K:$K,"Sì")&gt;0,$L190+$M190,MAX($L190,$F190)))</f>
        <v/>
      </c>
      <c r="O190" s="33" t="str">
        <f t="shared" si="43"/>
        <v/>
      </c>
      <c r="P190" s="34" t="str">
        <f t="shared" si="44"/>
        <v/>
      </c>
      <c r="Q190" s="34" t="str">
        <f t="shared" si="45"/>
        <v/>
      </c>
      <c r="R190" s="35" t="str">
        <f t="shared" si="46"/>
        <v/>
      </c>
      <c r="S190" s="36" t="str">
        <f t="shared" si="47"/>
        <v/>
      </c>
    </row>
    <row r="191" spans="1:19" x14ac:dyDescent="0.3">
      <c r="A191" s="42"/>
      <c r="B191" s="42"/>
      <c r="C191" s="42"/>
      <c r="D191" s="36" t="str">
        <f>IF($A191="","",IFERROR(INDEX(TEAM!$B:$B,MATCH($C191,TEAM!$A:$A,0)),""))</f>
        <v/>
      </c>
      <c r="E191" s="42"/>
      <c r="F191" s="48"/>
      <c r="G191" s="47" t="str">
        <f>IF($A191="","",IFERROR(INDEX(TEAM!$C:$C,MATCH($C191,TEAM!$A:$A,0)),0))</f>
        <v/>
      </c>
      <c r="H191" s="47" t="str">
        <f>IF($A191="","",IFERROR(INDEX(TEAM!$D:$D,MATCH($C191,TEAM!$A:$A,0)),0))</f>
        <v/>
      </c>
      <c r="I191" s="34" t="str">
        <f t="shared" si="40"/>
        <v/>
      </c>
      <c r="J191" s="34" t="str">
        <f t="shared" si="41"/>
        <v/>
      </c>
      <c r="K191" s="34" t="str">
        <f t="shared" si="42"/>
        <v/>
      </c>
      <c r="L191" s="33" t="str">
        <f>IF($A191="","",SUMIFS(ORE!$F:$F,ORE!$B:$B,$B191,ORE!$E:$E,$C191))</f>
        <v/>
      </c>
      <c r="M191" s="33" t="str">
        <f>IF($A191="","",SUMIFS(PREVISIONE_ORE!$G:$G,PREVISIONE_ORE!$D:$D,$B191,PREVISIONE_ORE!$E:$E,$C191,PREVISIONE_ORE!$K:$K,"Sì"))</f>
        <v/>
      </c>
      <c r="N191" s="33" t="str">
        <f>IF($A191="","",IF(COUNTIFS(PREVISIONE_ORE!$D:$D,$B191,PREVISIONE_ORE!$E:$E,$C191,PREVISIONE_ORE!$K:$K,"Sì")&gt;0,$L191+$M191,MAX($L191,$F191)))</f>
        <v/>
      </c>
      <c r="O191" s="33" t="str">
        <f t="shared" si="43"/>
        <v/>
      </c>
      <c r="P191" s="34" t="str">
        <f t="shared" si="44"/>
        <v/>
      </c>
      <c r="Q191" s="34" t="str">
        <f t="shared" si="45"/>
        <v/>
      </c>
      <c r="R191" s="35" t="str">
        <f t="shared" si="46"/>
        <v/>
      </c>
      <c r="S191" s="36" t="str">
        <f t="shared" si="47"/>
        <v/>
      </c>
    </row>
    <row r="192" spans="1:19" x14ac:dyDescent="0.3">
      <c r="A192" s="42"/>
      <c r="B192" s="42"/>
      <c r="C192" s="42"/>
      <c r="D192" s="36" t="str">
        <f>IF($A192="","",IFERROR(INDEX(TEAM!$B:$B,MATCH($C192,TEAM!$A:$A,0)),""))</f>
        <v/>
      </c>
      <c r="E192" s="42"/>
      <c r="F192" s="48"/>
      <c r="G192" s="47" t="str">
        <f>IF($A192="","",IFERROR(INDEX(TEAM!$C:$C,MATCH($C192,TEAM!$A:$A,0)),0))</f>
        <v/>
      </c>
      <c r="H192" s="47" t="str">
        <f>IF($A192="","",IFERROR(INDEX(TEAM!$D:$D,MATCH($C192,TEAM!$A:$A,0)),0))</f>
        <v/>
      </c>
      <c r="I192" s="34" t="str">
        <f t="shared" si="40"/>
        <v/>
      </c>
      <c r="J192" s="34" t="str">
        <f t="shared" si="41"/>
        <v/>
      </c>
      <c r="K192" s="34" t="str">
        <f t="shared" si="42"/>
        <v/>
      </c>
      <c r="L192" s="33" t="str">
        <f>IF($A192="","",SUMIFS(ORE!$F:$F,ORE!$B:$B,$B192,ORE!$E:$E,$C192))</f>
        <v/>
      </c>
      <c r="M192" s="33" t="str">
        <f>IF($A192="","",SUMIFS(PREVISIONE_ORE!$G:$G,PREVISIONE_ORE!$D:$D,$B192,PREVISIONE_ORE!$E:$E,$C192,PREVISIONE_ORE!$K:$K,"Sì"))</f>
        <v/>
      </c>
      <c r="N192" s="33" t="str">
        <f>IF($A192="","",IF(COUNTIFS(PREVISIONE_ORE!$D:$D,$B192,PREVISIONE_ORE!$E:$E,$C192,PREVISIONE_ORE!$K:$K,"Sì")&gt;0,$L192+$M192,MAX($L192,$F192)))</f>
        <v/>
      </c>
      <c r="O192" s="33" t="str">
        <f t="shared" si="43"/>
        <v/>
      </c>
      <c r="P192" s="34" t="str">
        <f t="shared" si="44"/>
        <v/>
      </c>
      <c r="Q192" s="34" t="str">
        <f t="shared" si="45"/>
        <v/>
      </c>
      <c r="R192" s="35" t="str">
        <f t="shared" si="46"/>
        <v/>
      </c>
      <c r="S192" s="36" t="str">
        <f t="shared" si="47"/>
        <v/>
      </c>
    </row>
    <row r="193" spans="1:19" x14ac:dyDescent="0.3">
      <c r="A193" s="42"/>
      <c r="B193" s="42"/>
      <c r="C193" s="42"/>
      <c r="D193" s="36" t="str">
        <f>IF($A193="","",IFERROR(INDEX(TEAM!$B:$B,MATCH($C193,TEAM!$A:$A,0)),""))</f>
        <v/>
      </c>
      <c r="E193" s="42"/>
      <c r="F193" s="48"/>
      <c r="G193" s="47" t="str">
        <f>IF($A193="","",IFERROR(INDEX(TEAM!$C:$C,MATCH($C193,TEAM!$A:$A,0)),0))</f>
        <v/>
      </c>
      <c r="H193" s="47" t="str">
        <f>IF($A193="","",IFERROR(INDEX(TEAM!$D:$D,MATCH($C193,TEAM!$A:$A,0)),0))</f>
        <v/>
      </c>
      <c r="I193" s="34" t="str">
        <f t="shared" si="40"/>
        <v/>
      </c>
      <c r="J193" s="34" t="str">
        <f t="shared" si="41"/>
        <v/>
      </c>
      <c r="K193" s="34" t="str">
        <f t="shared" si="42"/>
        <v/>
      </c>
      <c r="L193" s="33" t="str">
        <f>IF($A193="","",SUMIFS(ORE!$F:$F,ORE!$B:$B,$B193,ORE!$E:$E,$C193))</f>
        <v/>
      </c>
      <c r="M193" s="33" t="str">
        <f>IF($A193="","",SUMIFS(PREVISIONE_ORE!$G:$G,PREVISIONE_ORE!$D:$D,$B193,PREVISIONE_ORE!$E:$E,$C193,PREVISIONE_ORE!$K:$K,"Sì"))</f>
        <v/>
      </c>
      <c r="N193" s="33" t="str">
        <f>IF($A193="","",IF(COUNTIFS(PREVISIONE_ORE!$D:$D,$B193,PREVISIONE_ORE!$E:$E,$C193,PREVISIONE_ORE!$K:$K,"Sì")&gt;0,$L193+$M193,MAX($L193,$F193)))</f>
        <v/>
      </c>
      <c r="O193" s="33" t="str">
        <f t="shared" si="43"/>
        <v/>
      </c>
      <c r="P193" s="34" t="str">
        <f t="shared" si="44"/>
        <v/>
      </c>
      <c r="Q193" s="34" t="str">
        <f t="shared" si="45"/>
        <v/>
      </c>
      <c r="R193" s="35" t="str">
        <f t="shared" si="46"/>
        <v/>
      </c>
      <c r="S193" s="36" t="str">
        <f t="shared" si="47"/>
        <v/>
      </c>
    </row>
    <row r="194" spans="1:19" x14ac:dyDescent="0.3">
      <c r="A194" s="42"/>
      <c r="B194" s="42"/>
      <c r="C194" s="42"/>
      <c r="D194" s="36" t="str">
        <f>IF($A194="","",IFERROR(INDEX(TEAM!$B:$B,MATCH($C194,TEAM!$A:$A,0)),""))</f>
        <v/>
      </c>
      <c r="E194" s="42"/>
      <c r="F194" s="48"/>
      <c r="G194" s="47" t="str">
        <f>IF($A194="","",IFERROR(INDEX(TEAM!$C:$C,MATCH($C194,TEAM!$A:$A,0)),0))</f>
        <v/>
      </c>
      <c r="H194" s="47" t="str">
        <f>IF($A194="","",IFERROR(INDEX(TEAM!$D:$D,MATCH($C194,TEAM!$A:$A,0)),0))</f>
        <v/>
      </c>
      <c r="I194" s="34" t="str">
        <f t="shared" ref="I194:I201" si="48">IF($A194="","",$F194*$H194)</f>
        <v/>
      </c>
      <c r="J194" s="34" t="str">
        <f t="shared" ref="J194:J201" si="49">IF($A194="","",$F194*$G194)</f>
        <v/>
      </c>
      <c r="K194" s="34" t="str">
        <f t="shared" ref="K194:K201" si="50">IF($A194="","",$I194-$J194)</f>
        <v/>
      </c>
      <c r="L194" s="33" t="str">
        <f>IF($A194="","",SUMIFS(ORE!$F:$F,ORE!$B:$B,$B194,ORE!$E:$E,$C194))</f>
        <v/>
      </c>
      <c r="M194" s="33" t="str">
        <f>IF($A194="","",SUMIFS(PREVISIONE_ORE!$G:$G,PREVISIONE_ORE!$D:$D,$B194,PREVISIONE_ORE!$E:$E,$C194,PREVISIONE_ORE!$K:$K,"Sì"))</f>
        <v/>
      </c>
      <c r="N194" s="33" t="str">
        <f>IF($A194="","",IF(COUNTIFS(PREVISIONE_ORE!$D:$D,$B194,PREVISIONE_ORE!$E:$E,$C194,PREVISIONE_ORE!$K:$K,"Sì")&gt;0,$L194+$M194,MAX($L194,$F194)))</f>
        <v/>
      </c>
      <c r="O194" s="33" t="str">
        <f t="shared" ref="O194:O201" si="51">IF($A194="","",$N194-$F194)</f>
        <v/>
      </c>
      <c r="P194" s="34" t="str">
        <f t="shared" ref="P194:P201" si="52">IF($A194="","",$N194*$G194)</f>
        <v/>
      </c>
      <c r="Q194" s="34" t="str">
        <f t="shared" ref="Q194:Q201" si="53">IF($A194="","",$N194*$H194)</f>
        <v/>
      </c>
      <c r="R194" s="35" t="str">
        <f t="shared" ref="R194:R201" si="54">IF($A194="","",IFERROR($L194/$F194,0))</f>
        <v/>
      </c>
      <c r="S194" s="36" t="str">
        <f t="shared" ref="S194:S201" si="55">IF($A194="","",IF($O194&gt;$F194*0.15,"SFORAMENTO OLTRE 15%",IF($O194&gt;0,"SOPRA LA STIMA",IF($R194&gt;ALLERTA_ORE,"CONSUMO ELEVATO","OK"))))</f>
        <v/>
      </c>
    </row>
    <row r="195" spans="1:19" x14ac:dyDescent="0.3">
      <c r="A195" s="42"/>
      <c r="B195" s="42"/>
      <c r="C195" s="42"/>
      <c r="D195" s="36" t="str">
        <f>IF($A195="","",IFERROR(INDEX(TEAM!$B:$B,MATCH($C195,TEAM!$A:$A,0)),""))</f>
        <v/>
      </c>
      <c r="E195" s="42"/>
      <c r="F195" s="48"/>
      <c r="G195" s="47" t="str">
        <f>IF($A195="","",IFERROR(INDEX(TEAM!$C:$C,MATCH($C195,TEAM!$A:$A,0)),0))</f>
        <v/>
      </c>
      <c r="H195" s="47" t="str">
        <f>IF($A195="","",IFERROR(INDEX(TEAM!$D:$D,MATCH($C195,TEAM!$A:$A,0)),0))</f>
        <v/>
      </c>
      <c r="I195" s="34" t="str">
        <f t="shared" si="48"/>
        <v/>
      </c>
      <c r="J195" s="34" t="str">
        <f t="shared" si="49"/>
        <v/>
      </c>
      <c r="K195" s="34" t="str">
        <f t="shared" si="50"/>
        <v/>
      </c>
      <c r="L195" s="33" t="str">
        <f>IF($A195="","",SUMIFS(ORE!$F:$F,ORE!$B:$B,$B195,ORE!$E:$E,$C195))</f>
        <v/>
      </c>
      <c r="M195" s="33" t="str">
        <f>IF($A195="","",SUMIFS(PREVISIONE_ORE!$G:$G,PREVISIONE_ORE!$D:$D,$B195,PREVISIONE_ORE!$E:$E,$C195,PREVISIONE_ORE!$K:$K,"Sì"))</f>
        <v/>
      </c>
      <c r="N195" s="33" t="str">
        <f>IF($A195="","",IF(COUNTIFS(PREVISIONE_ORE!$D:$D,$B195,PREVISIONE_ORE!$E:$E,$C195,PREVISIONE_ORE!$K:$K,"Sì")&gt;0,$L195+$M195,MAX($L195,$F195)))</f>
        <v/>
      </c>
      <c r="O195" s="33" t="str">
        <f t="shared" si="51"/>
        <v/>
      </c>
      <c r="P195" s="34" t="str">
        <f t="shared" si="52"/>
        <v/>
      </c>
      <c r="Q195" s="34" t="str">
        <f t="shared" si="53"/>
        <v/>
      </c>
      <c r="R195" s="35" t="str">
        <f t="shared" si="54"/>
        <v/>
      </c>
      <c r="S195" s="36" t="str">
        <f t="shared" si="55"/>
        <v/>
      </c>
    </row>
    <row r="196" spans="1:19" x14ac:dyDescent="0.3">
      <c r="A196" s="42"/>
      <c r="B196" s="42"/>
      <c r="C196" s="42"/>
      <c r="D196" s="36" t="str">
        <f>IF($A196="","",IFERROR(INDEX(TEAM!$B:$B,MATCH($C196,TEAM!$A:$A,0)),""))</f>
        <v/>
      </c>
      <c r="E196" s="42"/>
      <c r="F196" s="48"/>
      <c r="G196" s="47" t="str">
        <f>IF($A196="","",IFERROR(INDEX(TEAM!$C:$C,MATCH($C196,TEAM!$A:$A,0)),0))</f>
        <v/>
      </c>
      <c r="H196" s="47" t="str">
        <f>IF($A196="","",IFERROR(INDEX(TEAM!$D:$D,MATCH($C196,TEAM!$A:$A,0)),0))</f>
        <v/>
      </c>
      <c r="I196" s="34" t="str">
        <f t="shared" si="48"/>
        <v/>
      </c>
      <c r="J196" s="34" t="str">
        <f t="shared" si="49"/>
        <v/>
      </c>
      <c r="K196" s="34" t="str">
        <f t="shared" si="50"/>
        <v/>
      </c>
      <c r="L196" s="33" t="str">
        <f>IF($A196="","",SUMIFS(ORE!$F:$F,ORE!$B:$B,$B196,ORE!$E:$E,$C196))</f>
        <v/>
      </c>
      <c r="M196" s="33" t="str">
        <f>IF($A196="","",SUMIFS(PREVISIONE_ORE!$G:$G,PREVISIONE_ORE!$D:$D,$B196,PREVISIONE_ORE!$E:$E,$C196,PREVISIONE_ORE!$K:$K,"Sì"))</f>
        <v/>
      </c>
      <c r="N196" s="33" t="str">
        <f>IF($A196="","",IF(COUNTIFS(PREVISIONE_ORE!$D:$D,$B196,PREVISIONE_ORE!$E:$E,$C196,PREVISIONE_ORE!$K:$K,"Sì")&gt;0,$L196+$M196,MAX($L196,$F196)))</f>
        <v/>
      </c>
      <c r="O196" s="33" t="str">
        <f t="shared" si="51"/>
        <v/>
      </c>
      <c r="P196" s="34" t="str">
        <f t="shared" si="52"/>
        <v/>
      </c>
      <c r="Q196" s="34" t="str">
        <f t="shared" si="53"/>
        <v/>
      </c>
      <c r="R196" s="35" t="str">
        <f t="shared" si="54"/>
        <v/>
      </c>
      <c r="S196" s="36" t="str">
        <f t="shared" si="55"/>
        <v/>
      </c>
    </row>
    <row r="197" spans="1:19" x14ac:dyDescent="0.3">
      <c r="A197" s="42"/>
      <c r="B197" s="42"/>
      <c r="C197" s="42"/>
      <c r="D197" s="36" t="str">
        <f>IF($A197="","",IFERROR(INDEX(TEAM!$B:$B,MATCH($C197,TEAM!$A:$A,0)),""))</f>
        <v/>
      </c>
      <c r="E197" s="42"/>
      <c r="F197" s="48"/>
      <c r="G197" s="47" t="str">
        <f>IF($A197="","",IFERROR(INDEX(TEAM!$C:$C,MATCH($C197,TEAM!$A:$A,0)),0))</f>
        <v/>
      </c>
      <c r="H197" s="47" t="str">
        <f>IF($A197="","",IFERROR(INDEX(TEAM!$D:$D,MATCH($C197,TEAM!$A:$A,0)),0))</f>
        <v/>
      </c>
      <c r="I197" s="34" t="str">
        <f t="shared" si="48"/>
        <v/>
      </c>
      <c r="J197" s="34" t="str">
        <f t="shared" si="49"/>
        <v/>
      </c>
      <c r="K197" s="34" t="str">
        <f t="shared" si="50"/>
        <v/>
      </c>
      <c r="L197" s="33" t="str">
        <f>IF($A197="","",SUMIFS(ORE!$F:$F,ORE!$B:$B,$B197,ORE!$E:$E,$C197))</f>
        <v/>
      </c>
      <c r="M197" s="33" t="str">
        <f>IF($A197="","",SUMIFS(PREVISIONE_ORE!$G:$G,PREVISIONE_ORE!$D:$D,$B197,PREVISIONE_ORE!$E:$E,$C197,PREVISIONE_ORE!$K:$K,"Sì"))</f>
        <v/>
      </c>
      <c r="N197" s="33" t="str">
        <f>IF($A197="","",IF(COUNTIFS(PREVISIONE_ORE!$D:$D,$B197,PREVISIONE_ORE!$E:$E,$C197,PREVISIONE_ORE!$K:$K,"Sì")&gt;0,$L197+$M197,MAX($L197,$F197)))</f>
        <v/>
      </c>
      <c r="O197" s="33" t="str">
        <f t="shared" si="51"/>
        <v/>
      </c>
      <c r="P197" s="34" t="str">
        <f t="shared" si="52"/>
        <v/>
      </c>
      <c r="Q197" s="34" t="str">
        <f t="shared" si="53"/>
        <v/>
      </c>
      <c r="R197" s="35" t="str">
        <f t="shared" si="54"/>
        <v/>
      </c>
      <c r="S197" s="36" t="str">
        <f t="shared" si="55"/>
        <v/>
      </c>
    </row>
    <row r="198" spans="1:19" x14ac:dyDescent="0.3">
      <c r="A198" s="42"/>
      <c r="B198" s="42"/>
      <c r="C198" s="42"/>
      <c r="D198" s="36" t="str">
        <f>IF($A198="","",IFERROR(INDEX(TEAM!$B:$B,MATCH($C198,TEAM!$A:$A,0)),""))</f>
        <v/>
      </c>
      <c r="E198" s="42"/>
      <c r="F198" s="48"/>
      <c r="G198" s="47" t="str">
        <f>IF($A198="","",IFERROR(INDEX(TEAM!$C:$C,MATCH($C198,TEAM!$A:$A,0)),0))</f>
        <v/>
      </c>
      <c r="H198" s="47" t="str">
        <f>IF($A198="","",IFERROR(INDEX(TEAM!$D:$D,MATCH($C198,TEAM!$A:$A,0)),0))</f>
        <v/>
      </c>
      <c r="I198" s="34" t="str">
        <f t="shared" si="48"/>
        <v/>
      </c>
      <c r="J198" s="34" t="str">
        <f t="shared" si="49"/>
        <v/>
      </c>
      <c r="K198" s="34" t="str">
        <f t="shared" si="50"/>
        <v/>
      </c>
      <c r="L198" s="33" t="str">
        <f>IF($A198="","",SUMIFS(ORE!$F:$F,ORE!$B:$B,$B198,ORE!$E:$E,$C198))</f>
        <v/>
      </c>
      <c r="M198" s="33" t="str">
        <f>IF($A198="","",SUMIFS(PREVISIONE_ORE!$G:$G,PREVISIONE_ORE!$D:$D,$B198,PREVISIONE_ORE!$E:$E,$C198,PREVISIONE_ORE!$K:$K,"Sì"))</f>
        <v/>
      </c>
      <c r="N198" s="33" t="str">
        <f>IF($A198="","",IF(COUNTIFS(PREVISIONE_ORE!$D:$D,$B198,PREVISIONE_ORE!$E:$E,$C198,PREVISIONE_ORE!$K:$K,"Sì")&gt;0,$L198+$M198,MAX($L198,$F198)))</f>
        <v/>
      </c>
      <c r="O198" s="33" t="str">
        <f t="shared" si="51"/>
        <v/>
      </c>
      <c r="P198" s="34" t="str">
        <f t="shared" si="52"/>
        <v/>
      </c>
      <c r="Q198" s="34" t="str">
        <f t="shared" si="53"/>
        <v/>
      </c>
      <c r="R198" s="35" t="str">
        <f t="shared" si="54"/>
        <v/>
      </c>
      <c r="S198" s="36" t="str">
        <f t="shared" si="55"/>
        <v/>
      </c>
    </row>
    <row r="199" spans="1:19" x14ac:dyDescent="0.3">
      <c r="A199" s="42"/>
      <c r="B199" s="42"/>
      <c r="C199" s="42"/>
      <c r="D199" s="36" t="str">
        <f>IF($A199="","",IFERROR(INDEX(TEAM!$B:$B,MATCH($C199,TEAM!$A:$A,0)),""))</f>
        <v/>
      </c>
      <c r="E199" s="42"/>
      <c r="F199" s="48"/>
      <c r="G199" s="47" t="str">
        <f>IF($A199="","",IFERROR(INDEX(TEAM!$C:$C,MATCH($C199,TEAM!$A:$A,0)),0))</f>
        <v/>
      </c>
      <c r="H199" s="47" t="str">
        <f>IF($A199="","",IFERROR(INDEX(TEAM!$D:$D,MATCH($C199,TEAM!$A:$A,0)),0))</f>
        <v/>
      </c>
      <c r="I199" s="34" t="str">
        <f t="shared" si="48"/>
        <v/>
      </c>
      <c r="J199" s="34" t="str">
        <f t="shared" si="49"/>
        <v/>
      </c>
      <c r="K199" s="34" t="str">
        <f t="shared" si="50"/>
        <v/>
      </c>
      <c r="L199" s="33" t="str">
        <f>IF($A199="","",SUMIFS(ORE!$F:$F,ORE!$B:$B,$B199,ORE!$E:$E,$C199))</f>
        <v/>
      </c>
      <c r="M199" s="33" t="str">
        <f>IF($A199="","",SUMIFS(PREVISIONE_ORE!$G:$G,PREVISIONE_ORE!$D:$D,$B199,PREVISIONE_ORE!$E:$E,$C199,PREVISIONE_ORE!$K:$K,"Sì"))</f>
        <v/>
      </c>
      <c r="N199" s="33" t="str">
        <f>IF($A199="","",IF(COUNTIFS(PREVISIONE_ORE!$D:$D,$B199,PREVISIONE_ORE!$E:$E,$C199,PREVISIONE_ORE!$K:$K,"Sì")&gt;0,$L199+$M199,MAX($L199,$F199)))</f>
        <v/>
      </c>
      <c r="O199" s="33" t="str">
        <f t="shared" si="51"/>
        <v/>
      </c>
      <c r="P199" s="34" t="str">
        <f t="shared" si="52"/>
        <v/>
      </c>
      <c r="Q199" s="34" t="str">
        <f t="shared" si="53"/>
        <v/>
      </c>
      <c r="R199" s="35" t="str">
        <f t="shared" si="54"/>
        <v/>
      </c>
      <c r="S199" s="36" t="str">
        <f t="shared" si="55"/>
        <v/>
      </c>
    </row>
    <row r="200" spans="1:19" x14ac:dyDescent="0.3">
      <c r="A200" s="42"/>
      <c r="B200" s="42"/>
      <c r="C200" s="42"/>
      <c r="D200" s="36" t="str">
        <f>IF($A200="","",IFERROR(INDEX(TEAM!$B:$B,MATCH($C200,TEAM!$A:$A,0)),""))</f>
        <v/>
      </c>
      <c r="E200" s="42"/>
      <c r="F200" s="48"/>
      <c r="G200" s="47" t="str">
        <f>IF($A200="","",IFERROR(INDEX(TEAM!$C:$C,MATCH($C200,TEAM!$A:$A,0)),0))</f>
        <v/>
      </c>
      <c r="H200" s="47" t="str">
        <f>IF($A200="","",IFERROR(INDEX(TEAM!$D:$D,MATCH($C200,TEAM!$A:$A,0)),0))</f>
        <v/>
      </c>
      <c r="I200" s="34" t="str">
        <f t="shared" si="48"/>
        <v/>
      </c>
      <c r="J200" s="34" t="str">
        <f t="shared" si="49"/>
        <v/>
      </c>
      <c r="K200" s="34" t="str">
        <f t="shared" si="50"/>
        <v/>
      </c>
      <c r="L200" s="33" t="str">
        <f>IF($A200="","",SUMIFS(ORE!$F:$F,ORE!$B:$B,$B200,ORE!$E:$E,$C200))</f>
        <v/>
      </c>
      <c r="M200" s="33" t="str">
        <f>IF($A200="","",SUMIFS(PREVISIONE_ORE!$G:$G,PREVISIONE_ORE!$D:$D,$B200,PREVISIONE_ORE!$E:$E,$C200,PREVISIONE_ORE!$K:$K,"Sì"))</f>
        <v/>
      </c>
      <c r="N200" s="33" t="str">
        <f>IF($A200="","",IF(COUNTIFS(PREVISIONE_ORE!$D:$D,$B200,PREVISIONE_ORE!$E:$E,$C200,PREVISIONE_ORE!$K:$K,"Sì")&gt;0,$L200+$M200,MAX($L200,$F200)))</f>
        <v/>
      </c>
      <c r="O200" s="33" t="str">
        <f t="shared" si="51"/>
        <v/>
      </c>
      <c r="P200" s="34" t="str">
        <f t="shared" si="52"/>
        <v/>
      </c>
      <c r="Q200" s="34" t="str">
        <f t="shared" si="53"/>
        <v/>
      </c>
      <c r="R200" s="35" t="str">
        <f t="shared" si="54"/>
        <v/>
      </c>
      <c r="S200" s="36" t="str">
        <f t="shared" si="55"/>
        <v/>
      </c>
    </row>
    <row r="201" spans="1:19" x14ac:dyDescent="0.3">
      <c r="A201" s="42"/>
      <c r="B201" s="42"/>
      <c r="C201" s="42"/>
      <c r="D201" s="36" t="str">
        <f>IF($A201="","",IFERROR(INDEX(TEAM!$B:$B,MATCH($C201,TEAM!$A:$A,0)),""))</f>
        <v/>
      </c>
      <c r="E201" s="42"/>
      <c r="F201" s="48"/>
      <c r="G201" s="47" t="str">
        <f>IF($A201="","",IFERROR(INDEX(TEAM!$C:$C,MATCH($C201,TEAM!$A:$A,0)),0))</f>
        <v/>
      </c>
      <c r="H201" s="47" t="str">
        <f>IF($A201="","",IFERROR(INDEX(TEAM!$D:$D,MATCH($C201,TEAM!$A:$A,0)),0))</f>
        <v/>
      </c>
      <c r="I201" s="34" t="str">
        <f t="shared" si="48"/>
        <v/>
      </c>
      <c r="J201" s="34" t="str">
        <f t="shared" si="49"/>
        <v/>
      </c>
      <c r="K201" s="34" t="str">
        <f t="shared" si="50"/>
        <v/>
      </c>
      <c r="L201" s="33" t="str">
        <f>IF($A201="","",SUMIFS(ORE!$F:$F,ORE!$B:$B,$B201,ORE!$E:$E,$C201))</f>
        <v/>
      </c>
      <c r="M201" s="33" t="str">
        <f>IF($A201="","",SUMIFS(PREVISIONE_ORE!$G:$G,PREVISIONE_ORE!$D:$D,$B201,PREVISIONE_ORE!$E:$E,$C201,PREVISIONE_ORE!$K:$K,"Sì"))</f>
        <v/>
      </c>
      <c r="N201" s="33" t="str">
        <f>IF($A201="","",IF(COUNTIFS(PREVISIONE_ORE!$D:$D,$B201,PREVISIONE_ORE!$E:$E,$C201,PREVISIONE_ORE!$K:$K,"Sì")&gt;0,$L201+$M201,MAX($L201,$F201)))</f>
        <v/>
      </c>
      <c r="O201" s="33" t="str">
        <f t="shared" si="51"/>
        <v/>
      </c>
      <c r="P201" s="34" t="str">
        <f t="shared" si="52"/>
        <v/>
      </c>
      <c r="Q201" s="34" t="str">
        <f t="shared" si="53"/>
        <v/>
      </c>
      <c r="R201" s="35" t="str">
        <f t="shared" si="54"/>
        <v/>
      </c>
      <c r="S201" s="36" t="str">
        <f t="shared" si="55"/>
        <v/>
      </c>
    </row>
  </sheetData>
  <dataValidations count="2">
    <dataValidation type="list" allowBlank="1" sqref="C2:C201" xr:uid="{00000000-0002-0000-0600-000001000000}">
      <formula1>L_PERSONA</formula1>
    </dataValidation>
    <dataValidation type="list" allowBlank="1" sqref="E2:E201" xr:uid="{00000000-0002-0000-0600-000002000000}">
      <formula1>L_RUOLO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0000000}">
          <x14:formula1>
            <xm:f>SERVIZI!$A$2:$A$201</xm:f>
          </x14:formula1>
          <x14:formula2>
            <xm:f>0</xm:f>
          </x14:formula2>
          <xm:sqref>B2:B201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tabColor rgb="FF548235"/>
  </sheetPr>
  <dimension ref="A1:X201"/>
  <sheetViews>
    <sheetView showGridLines="0" zoomScaleNormal="100" workbookViewId="0">
      <pane ySplit="1" topLeftCell="A2" activePane="bottomLeft" state="frozen"/>
      <selection pane="bottomLeft" activeCell="K32" sqref="K32"/>
    </sheetView>
  </sheetViews>
  <sheetFormatPr defaultColWidth="8.6640625" defaultRowHeight="14.4" x14ac:dyDescent="0.3"/>
  <cols>
    <col min="1" max="1" width="12" customWidth="1"/>
    <col min="2" max="2" width="17" customWidth="1"/>
    <col min="3" max="3" width="9" customWidth="1"/>
    <col min="4" max="4" width="40" customWidth="1"/>
    <col min="5" max="5" width="15" customWidth="1"/>
    <col min="6" max="6" width="20" customWidth="1"/>
    <col min="7" max="7" width="15" customWidth="1"/>
    <col min="8" max="8" width="16" customWidth="1"/>
    <col min="9" max="9" width="15" customWidth="1"/>
    <col min="10" max="10" width="30" customWidth="1"/>
    <col min="11" max="11" width="19" customWidth="1"/>
    <col min="12" max="12" width="14" customWidth="1"/>
    <col min="13" max="13" width="13" customWidth="1"/>
    <col min="14" max="14" width="17" customWidth="1"/>
    <col min="15" max="15" width="34" customWidth="1"/>
    <col min="16" max="16" width="14" customWidth="1"/>
    <col min="17" max="17" width="18" customWidth="1"/>
    <col min="18" max="18" width="14" customWidth="1"/>
    <col min="19" max="19" width="20" customWidth="1"/>
    <col min="20" max="20" width="17" customWidth="1"/>
    <col min="21" max="21" width="15" customWidth="1"/>
    <col min="22" max="22" width="24" customWidth="1"/>
  </cols>
  <sheetData>
    <row r="1" spans="1:24" ht="36" customHeight="1" x14ac:dyDescent="0.3">
      <c r="A1" s="41" t="s">
        <v>364</v>
      </c>
      <c r="B1" s="41" t="s">
        <v>278</v>
      </c>
      <c r="C1" s="41" t="s">
        <v>365</v>
      </c>
      <c r="D1" s="41" t="s">
        <v>366</v>
      </c>
      <c r="E1" s="41" t="s">
        <v>367</v>
      </c>
      <c r="F1" s="41" t="s">
        <v>368</v>
      </c>
      <c r="G1" s="41" t="s">
        <v>369</v>
      </c>
      <c r="H1" s="41" t="s">
        <v>370</v>
      </c>
      <c r="I1" s="41" t="s">
        <v>371</v>
      </c>
      <c r="J1" s="41" t="s">
        <v>372</v>
      </c>
      <c r="K1" s="41" t="s">
        <v>373</v>
      </c>
      <c r="L1" s="41" t="s">
        <v>374</v>
      </c>
      <c r="M1" s="41" t="s">
        <v>375</v>
      </c>
      <c r="N1" s="41" t="s">
        <v>376</v>
      </c>
      <c r="O1" s="41" t="s">
        <v>377</v>
      </c>
      <c r="P1" s="41" t="s">
        <v>378</v>
      </c>
      <c r="Q1" s="41" t="s">
        <v>379</v>
      </c>
      <c r="R1" s="41" t="s">
        <v>380</v>
      </c>
      <c r="S1" s="41" t="s">
        <v>381</v>
      </c>
      <c r="T1" s="41" t="s">
        <v>382</v>
      </c>
      <c r="U1" s="41" t="s">
        <v>340</v>
      </c>
      <c r="V1" s="41" t="s">
        <v>383</v>
      </c>
      <c r="X1" s="2" t="s">
        <v>384</v>
      </c>
    </row>
    <row r="2" spans="1:24" x14ac:dyDescent="0.3">
      <c r="A2" s="42" t="s">
        <v>385</v>
      </c>
      <c r="B2" s="42" t="s">
        <v>937</v>
      </c>
      <c r="C2" s="48">
        <v>1</v>
      </c>
      <c r="D2" s="42" t="s">
        <v>473</v>
      </c>
      <c r="E2" s="42" t="s">
        <v>891</v>
      </c>
      <c r="F2" s="42" t="s">
        <v>916</v>
      </c>
      <c r="G2" s="43">
        <v>46112</v>
      </c>
      <c r="H2" s="43">
        <v>46112</v>
      </c>
      <c r="I2" s="60"/>
      <c r="J2" s="42"/>
      <c r="K2" s="42" t="s">
        <v>475</v>
      </c>
      <c r="L2" s="49">
        <v>1</v>
      </c>
      <c r="M2" s="49">
        <v>0.03</v>
      </c>
      <c r="N2" s="33">
        <f>IF($A2="","",$M2*IFERROR(INDEX(SERVIZI!$M:$M,MATCH($B2,SERVIZI!$A:$A,0)),0))</f>
        <v>3.36</v>
      </c>
      <c r="O2" s="42" t="s">
        <v>474</v>
      </c>
      <c r="P2" s="42"/>
      <c r="Q2" s="36" t="str">
        <f t="shared" ref="Q2:Q33" ca="1" si="0">IF($A2="","",IF($L2&gt;=1,"Completata",IF(AND($H2&lt;&gt;"",$H2&lt;TODAY()),"IN RITARDO",IF($L2&gt;0,"In corso","Da avviare"))))</f>
        <v>Completata</v>
      </c>
      <c r="R2" s="33">
        <f t="shared" ref="R2:R33" ca="1" si="1">IF($A2="","",IF(AND($H2&lt;&gt;"",$L2&lt;1,$H2&lt;TODAY()),TODAY()-$H2,0))</f>
        <v>0</v>
      </c>
      <c r="S2" s="33">
        <f t="shared" ref="S2:S33" si="2">IF($A2="","",IF(AND($G2&lt;&gt;"",$H2&lt;&gt;""),$H2-$G2,0))</f>
        <v>0</v>
      </c>
      <c r="T2" s="33">
        <f>IF($A2="","",SUMIFS(ORE!$F:$F,ORE!$B:$B,$B2,ORE!$D:$D,$D2))</f>
        <v>0</v>
      </c>
      <c r="U2" s="35">
        <f t="shared" ref="U2:U33" si="3">IF($A2="","",IFERROR($T2/$N2,0))</f>
        <v>0</v>
      </c>
      <c r="V2" s="36" t="str">
        <f t="shared" ref="V2:V33" ca="1" si="4">IF($A2="","",IF(AND($U2&gt;$L2+0.2,$N2&gt;0),"ORE SOPRA AVANZAMENTO",IF($Q2="IN RITARDO","IN RITARDO","OK")))</f>
        <v>OK</v>
      </c>
      <c r="X2" s="2" t="s">
        <v>390</v>
      </c>
    </row>
    <row r="3" spans="1:24" x14ac:dyDescent="0.3">
      <c r="A3" s="42" t="s">
        <v>938</v>
      </c>
      <c r="B3" s="42" t="s">
        <v>937</v>
      </c>
      <c r="C3" s="48">
        <v>2</v>
      </c>
      <c r="D3" s="42" t="s">
        <v>476</v>
      </c>
      <c r="E3" s="42" t="s">
        <v>891</v>
      </c>
      <c r="F3" s="42" t="s">
        <v>916</v>
      </c>
      <c r="G3" s="43">
        <v>46117</v>
      </c>
      <c r="H3" s="43">
        <v>46117</v>
      </c>
      <c r="I3" s="43"/>
      <c r="J3" s="42" t="s">
        <v>473</v>
      </c>
      <c r="K3" s="42" t="s">
        <v>388</v>
      </c>
      <c r="L3" s="49">
        <v>1</v>
      </c>
      <c r="M3" s="49">
        <v>0.02</v>
      </c>
      <c r="N3" s="33">
        <f>IF($A3="","",$M3*IFERROR(INDEX(SERVIZI!$M:$M,MATCH($B3,SERVIZI!$A:$A,0)),0))</f>
        <v>2.2400000000000002</v>
      </c>
      <c r="O3" s="42" t="s">
        <v>477</v>
      </c>
      <c r="P3" s="42"/>
      <c r="Q3" s="36" t="str">
        <f t="shared" ca="1" si="0"/>
        <v>Completata</v>
      </c>
      <c r="R3" s="33">
        <f t="shared" ca="1" si="1"/>
        <v>0</v>
      </c>
      <c r="S3" s="33">
        <f t="shared" si="2"/>
        <v>0</v>
      </c>
      <c r="T3" s="33">
        <f>IF($A3="","",SUMIFS(ORE!$F:$F,ORE!$B:$B,$B3,ORE!$D:$D,$D3))</f>
        <v>0</v>
      </c>
      <c r="U3" s="35">
        <f t="shared" si="3"/>
        <v>0</v>
      </c>
      <c r="V3" s="36" t="str">
        <f t="shared" ca="1" si="4"/>
        <v>OK</v>
      </c>
    </row>
    <row r="4" spans="1:24" x14ac:dyDescent="0.3">
      <c r="A4" s="42" t="s">
        <v>939</v>
      </c>
      <c r="B4" s="42" t="s">
        <v>937</v>
      </c>
      <c r="C4" s="48">
        <v>3</v>
      </c>
      <c r="D4" s="42" t="s">
        <v>387</v>
      </c>
      <c r="E4" s="42" t="s">
        <v>891</v>
      </c>
      <c r="F4" s="42" t="s">
        <v>916</v>
      </c>
      <c r="G4" s="43">
        <v>46122</v>
      </c>
      <c r="H4" s="43">
        <v>46122</v>
      </c>
      <c r="I4" s="43"/>
      <c r="J4" s="42" t="s">
        <v>476</v>
      </c>
      <c r="K4" s="42" t="s">
        <v>475</v>
      </c>
      <c r="L4" s="49">
        <v>1</v>
      </c>
      <c r="M4" s="49">
        <v>0.02</v>
      </c>
      <c r="N4" s="33">
        <f>IF($A4="","",$M4*IFERROR(INDEX(SERVIZI!$M:$M,MATCH($B4,SERVIZI!$A:$A,0)),0))</f>
        <v>2.2400000000000002</v>
      </c>
      <c r="O4" s="42" t="s">
        <v>478</v>
      </c>
      <c r="P4" s="42"/>
      <c r="Q4" s="36" t="str">
        <f t="shared" ca="1" si="0"/>
        <v>Completata</v>
      </c>
      <c r="R4" s="33">
        <f t="shared" ca="1" si="1"/>
        <v>0</v>
      </c>
      <c r="S4" s="33">
        <f t="shared" si="2"/>
        <v>0</v>
      </c>
      <c r="T4" s="33">
        <f>IF($A4="","",SUMIFS(ORE!$F:$F,ORE!$B:$B,$B4,ORE!$D:$D,$D4))</f>
        <v>0</v>
      </c>
      <c r="U4" s="35">
        <f t="shared" si="3"/>
        <v>0</v>
      </c>
      <c r="V4" s="36" t="str">
        <f t="shared" ca="1" si="4"/>
        <v>OK</v>
      </c>
    </row>
    <row r="5" spans="1:24" x14ac:dyDescent="0.3">
      <c r="A5" s="42" t="s">
        <v>940</v>
      </c>
      <c r="B5" s="42" t="s">
        <v>937</v>
      </c>
      <c r="C5" s="48">
        <v>4</v>
      </c>
      <c r="D5" s="42" t="s">
        <v>386</v>
      </c>
      <c r="E5" s="42" t="s">
        <v>891</v>
      </c>
      <c r="F5" s="42" t="s">
        <v>916</v>
      </c>
      <c r="G5" s="43">
        <v>46167</v>
      </c>
      <c r="H5" s="43">
        <v>46167</v>
      </c>
      <c r="I5" s="43"/>
      <c r="J5" s="42" t="s">
        <v>387</v>
      </c>
      <c r="K5" s="42" t="s">
        <v>388</v>
      </c>
      <c r="L5" s="49">
        <v>1</v>
      </c>
      <c r="M5" s="49">
        <v>0.13</v>
      </c>
      <c r="N5" s="33">
        <f>IF($A5="","",$M5*IFERROR(INDEX(SERVIZI!$M:$M,MATCH($B5,SERVIZI!$A:$A,0)),0))</f>
        <v>14.56</v>
      </c>
      <c r="O5" s="42" t="s">
        <v>389</v>
      </c>
      <c r="P5" s="42"/>
      <c r="Q5" s="36" t="str">
        <f t="shared" ca="1" si="0"/>
        <v>Completata</v>
      </c>
      <c r="R5" s="33">
        <f t="shared" ca="1" si="1"/>
        <v>0</v>
      </c>
      <c r="S5" s="33">
        <f t="shared" si="2"/>
        <v>0</v>
      </c>
      <c r="T5" s="33">
        <f>IF($A5="","",SUMIFS(ORE!$F:$F,ORE!$B:$B,$B5,ORE!$D:$D,$D5))</f>
        <v>0</v>
      </c>
      <c r="U5" s="35">
        <f t="shared" si="3"/>
        <v>0</v>
      </c>
      <c r="V5" s="36" t="str">
        <f t="shared" ca="1" si="4"/>
        <v>OK</v>
      </c>
    </row>
    <row r="6" spans="1:24" x14ac:dyDescent="0.3">
      <c r="A6" s="42" t="s">
        <v>941</v>
      </c>
      <c r="B6" s="42" t="s">
        <v>937</v>
      </c>
      <c r="C6" s="48">
        <v>5</v>
      </c>
      <c r="D6" s="42" t="s">
        <v>479</v>
      </c>
      <c r="E6" s="42" t="s">
        <v>891</v>
      </c>
      <c r="F6" s="42" t="s">
        <v>916</v>
      </c>
      <c r="G6" s="43">
        <v>46227</v>
      </c>
      <c r="H6" s="43">
        <v>46227</v>
      </c>
      <c r="I6" s="43"/>
      <c r="J6" s="42" t="s">
        <v>386</v>
      </c>
      <c r="K6" s="42" t="s">
        <v>475</v>
      </c>
      <c r="L6" s="49">
        <v>1</v>
      </c>
      <c r="M6" s="49">
        <v>0.17</v>
      </c>
      <c r="N6" s="33">
        <f>IF($A6="","",$M6*IFERROR(INDEX(SERVIZI!$M:$M,MATCH($B6,SERVIZI!$A:$A,0)),0))</f>
        <v>19.040000000000003</v>
      </c>
      <c r="O6" s="42" t="s">
        <v>480</v>
      </c>
      <c r="P6" s="42"/>
      <c r="Q6" s="36" t="str">
        <f t="shared" ca="1" si="0"/>
        <v>Completata</v>
      </c>
      <c r="R6" s="33">
        <f t="shared" ca="1" si="1"/>
        <v>0</v>
      </c>
      <c r="S6" s="33">
        <f t="shared" si="2"/>
        <v>0</v>
      </c>
      <c r="T6" s="33">
        <f>IF($A6="","",SUMIFS(ORE!$F:$F,ORE!$B:$B,$B6,ORE!$D:$D,$D6))</f>
        <v>0</v>
      </c>
      <c r="U6" s="35">
        <f t="shared" si="3"/>
        <v>0</v>
      </c>
      <c r="V6" s="36" t="str">
        <f t="shared" ca="1" si="4"/>
        <v>OK</v>
      </c>
    </row>
    <row r="7" spans="1:24" x14ac:dyDescent="0.3">
      <c r="A7" s="42" t="s">
        <v>942</v>
      </c>
      <c r="B7" s="42" t="s">
        <v>937</v>
      </c>
      <c r="C7" s="48">
        <v>6</v>
      </c>
      <c r="D7" s="42" t="s">
        <v>410</v>
      </c>
      <c r="E7" s="42" t="s">
        <v>891</v>
      </c>
      <c r="F7" s="42" t="s">
        <v>916</v>
      </c>
      <c r="G7" s="43">
        <v>46232</v>
      </c>
      <c r="H7" s="43">
        <v>46232</v>
      </c>
      <c r="I7" s="43"/>
      <c r="J7" s="42" t="s">
        <v>479</v>
      </c>
      <c r="K7" s="42" t="s">
        <v>388</v>
      </c>
      <c r="L7" s="49">
        <v>0</v>
      </c>
      <c r="M7" s="49">
        <v>0.03</v>
      </c>
      <c r="N7" s="33">
        <f>IF($A7="","",$M7*IFERROR(INDEX(SERVIZI!$M:$M,MATCH($B7,SERVIZI!$A:$A,0)),0))</f>
        <v>3.36</v>
      </c>
      <c r="O7" s="42" t="s">
        <v>481</v>
      </c>
      <c r="P7" s="42"/>
      <c r="Q7" s="36" t="str">
        <f t="shared" ca="1" si="0"/>
        <v>IN RITARDO</v>
      </c>
      <c r="R7" s="33">
        <f t="shared" ca="1" si="1"/>
        <v>18</v>
      </c>
      <c r="S7" s="33">
        <f t="shared" si="2"/>
        <v>0</v>
      </c>
      <c r="T7" s="33">
        <f>IF($A7="","",SUMIFS(ORE!$F:$F,ORE!$B:$B,$B7,ORE!$D:$D,$D7))</f>
        <v>0</v>
      </c>
      <c r="U7" s="35">
        <f t="shared" si="3"/>
        <v>0</v>
      </c>
      <c r="V7" s="36" t="str">
        <f t="shared" ca="1" si="4"/>
        <v>IN RITARDO</v>
      </c>
    </row>
    <row r="8" spans="1:24" x14ac:dyDescent="0.3">
      <c r="A8" s="42" t="s">
        <v>943</v>
      </c>
      <c r="B8" s="42" t="s">
        <v>937</v>
      </c>
      <c r="C8" s="48">
        <v>7</v>
      </c>
      <c r="D8" s="42" t="s">
        <v>482</v>
      </c>
      <c r="E8" s="42" t="s">
        <v>891</v>
      </c>
      <c r="F8" s="42" t="s">
        <v>916</v>
      </c>
      <c r="G8" s="43">
        <v>46257</v>
      </c>
      <c r="H8" s="43">
        <v>46257</v>
      </c>
      <c r="I8" s="43"/>
      <c r="J8" s="42" t="s">
        <v>410</v>
      </c>
      <c r="K8" s="42" t="s">
        <v>475</v>
      </c>
      <c r="L8" s="49">
        <v>0</v>
      </c>
      <c r="M8" s="49">
        <v>7.0000000000000007E-2</v>
      </c>
      <c r="N8" s="33">
        <f>IF($A8="","",$M8*IFERROR(INDEX(SERVIZI!$M:$M,MATCH($B8,SERVIZI!$A:$A,0)),0))</f>
        <v>7.8400000000000007</v>
      </c>
      <c r="O8" s="42" t="s">
        <v>483</v>
      </c>
      <c r="P8" s="42"/>
      <c r="Q8" s="36" t="str">
        <f t="shared" ca="1" si="0"/>
        <v>Da avviare</v>
      </c>
      <c r="R8" s="33">
        <f t="shared" ca="1" si="1"/>
        <v>0</v>
      </c>
      <c r="S8" s="33">
        <f t="shared" si="2"/>
        <v>0</v>
      </c>
      <c r="T8" s="33">
        <f>IF($A8="","",SUMIFS(ORE!$F:$F,ORE!$B:$B,$B8,ORE!$D:$D,$D8))</f>
        <v>0</v>
      </c>
      <c r="U8" s="35">
        <f t="shared" si="3"/>
        <v>0</v>
      </c>
      <c r="V8" s="36" t="str">
        <f t="shared" ca="1" si="4"/>
        <v>OK</v>
      </c>
    </row>
    <row r="9" spans="1:24" x14ac:dyDescent="0.3">
      <c r="A9" s="42" t="s">
        <v>944</v>
      </c>
      <c r="B9" s="42" t="s">
        <v>937</v>
      </c>
      <c r="C9" s="48">
        <v>8</v>
      </c>
      <c r="D9" s="42" t="s">
        <v>889</v>
      </c>
      <c r="E9" s="42" t="s">
        <v>891</v>
      </c>
      <c r="F9" s="42" t="s">
        <v>916</v>
      </c>
      <c r="G9" s="43">
        <v>46282</v>
      </c>
      <c r="H9" s="43">
        <v>46282</v>
      </c>
      <c r="I9" s="43"/>
      <c r="J9" s="42" t="s">
        <v>482</v>
      </c>
      <c r="K9" s="42" t="s">
        <v>475</v>
      </c>
      <c r="L9" s="49">
        <v>0</v>
      </c>
      <c r="M9" s="49">
        <v>0.11</v>
      </c>
      <c r="N9" s="33">
        <f>IF($A9="","",$M9*IFERROR(INDEX(SERVIZI!$M:$M,MATCH($B9,SERVIZI!$A:$A,0)),0))</f>
        <v>12.32</v>
      </c>
      <c r="O9" s="42" t="s">
        <v>890</v>
      </c>
      <c r="P9" s="42"/>
      <c r="Q9" s="36" t="str">
        <f t="shared" ca="1" si="0"/>
        <v>Da avviare</v>
      </c>
      <c r="R9" s="33">
        <f t="shared" ca="1" si="1"/>
        <v>0</v>
      </c>
      <c r="S9" s="33">
        <f t="shared" si="2"/>
        <v>0</v>
      </c>
      <c r="T9" s="33">
        <f>IF($A9="","",SUMIFS(ORE!$F:$F,ORE!$B:$B,$B9,ORE!$D:$D,$D9))</f>
        <v>0</v>
      </c>
      <c r="U9" s="35">
        <f t="shared" si="3"/>
        <v>0</v>
      </c>
      <c r="V9" s="36" t="str">
        <f t="shared" ca="1" si="4"/>
        <v>OK</v>
      </c>
    </row>
    <row r="10" spans="1:24" x14ac:dyDescent="0.3">
      <c r="A10" s="42" t="s">
        <v>945</v>
      </c>
      <c r="B10" s="42" t="s">
        <v>937</v>
      </c>
      <c r="C10" s="48">
        <v>9</v>
      </c>
      <c r="D10" s="42" t="s">
        <v>484</v>
      </c>
      <c r="E10" s="42" t="s">
        <v>891</v>
      </c>
      <c r="F10" s="42" t="s">
        <v>916</v>
      </c>
      <c r="G10" s="43">
        <v>46462</v>
      </c>
      <c r="H10" s="43">
        <v>46462</v>
      </c>
      <c r="I10" s="43">
        <v>46311</v>
      </c>
      <c r="J10" s="42" t="s">
        <v>889</v>
      </c>
      <c r="K10" s="42" t="s">
        <v>475</v>
      </c>
      <c r="L10" s="49">
        <v>0.5</v>
      </c>
      <c r="M10" s="49">
        <v>0.13</v>
      </c>
      <c r="N10" s="33">
        <f>IF($A10="","",$M10*IFERROR(INDEX(SERVIZI!$M:$M,MATCH($B10,SERVIZI!$A:$A,0)),0))</f>
        <v>14.56</v>
      </c>
      <c r="O10" s="42" t="s">
        <v>485</v>
      </c>
      <c r="P10" s="42"/>
      <c r="Q10" s="36" t="str">
        <f t="shared" ca="1" si="0"/>
        <v>In corso</v>
      </c>
      <c r="R10" s="33">
        <f t="shared" ca="1" si="1"/>
        <v>0</v>
      </c>
      <c r="S10" s="33">
        <f t="shared" si="2"/>
        <v>0</v>
      </c>
      <c r="T10" s="33">
        <f>IF($A10="","",SUMIFS(ORE!$F:$F,ORE!$B:$B,$B10,ORE!$D:$D,$D10))</f>
        <v>0</v>
      </c>
      <c r="U10" s="35">
        <f t="shared" si="3"/>
        <v>0</v>
      </c>
      <c r="V10" s="36" t="str">
        <f t="shared" ca="1" si="4"/>
        <v>OK</v>
      </c>
    </row>
    <row r="11" spans="1:24" x14ac:dyDescent="0.3">
      <c r="A11" s="42" t="s">
        <v>946</v>
      </c>
      <c r="B11" s="42" t="s">
        <v>937</v>
      </c>
      <c r="C11" s="48">
        <v>10</v>
      </c>
      <c r="D11" s="42" t="s">
        <v>486</v>
      </c>
      <c r="E11" s="42" t="s">
        <v>891</v>
      </c>
      <c r="F11" s="42" t="s">
        <v>916</v>
      </c>
      <c r="G11" s="43">
        <v>46522</v>
      </c>
      <c r="H11" s="43">
        <v>46522</v>
      </c>
      <c r="I11" s="43"/>
      <c r="J11" s="42" t="s">
        <v>484</v>
      </c>
      <c r="K11" s="42" t="s">
        <v>475</v>
      </c>
      <c r="L11" s="49">
        <v>0</v>
      </c>
      <c r="M11" s="49">
        <v>0.11</v>
      </c>
      <c r="N11" s="33">
        <f>IF($A11="","",$M11*IFERROR(INDEX(SERVIZI!$M:$M,MATCH($B11,SERVIZI!$A:$A,0)),0))</f>
        <v>12.32</v>
      </c>
      <c r="O11" s="42" t="s">
        <v>487</v>
      </c>
      <c r="P11" s="42"/>
      <c r="Q11" s="36" t="str">
        <f t="shared" ca="1" si="0"/>
        <v>Da avviare</v>
      </c>
      <c r="R11" s="33">
        <f t="shared" ca="1" si="1"/>
        <v>0</v>
      </c>
      <c r="S11" s="33">
        <f t="shared" si="2"/>
        <v>0</v>
      </c>
      <c r="T11" s="33">
        <f>IF($A11="","",SUMIFS(ORE!$F:$F,ORE!$B:$B,$B11,ORE!$D:$D,$D11))</f>
        <v>0</v>
      </c>
      <c r="U11" s="35">
        <f t="shared" si="3"/>
        <v>0</v>
      </c>
      <c r="V11" s="36" t="str">
        <f t="shared" ca="1" si="4"/>
        <v>OK</v>
      </c>
    </row>
    <row r="12" spans="1:24" x14ac:dyDescent="0.3">
      <c r="A12" s="42" t="s">
        <v>947</v>
      </c>
      <c r="B12" s="42" t="s">
        <v>937</v>
      </c>
      <c r="C12" s="48">
        <v>11</v>
      </c>
      <c r="D12" s="42" t="s">
        <v>488</v>
      </c>
      <c r="E12" s="42" t="s">
        <v>891</v>
      </c>
      <c r="F12" s="42" t="s">
        <v>916</v>
      </c>
      <c r="G12" s="43">
        <v>46527</v>
      </c>
      <c r="H12" s="43">
        <v>46527</v>
      </c>
      <c r="I12" s="43"/>
      <c r="J12" s="42" t="s">
        <v>486</v>
      </c>
      <c r="K12" s="42" t="s">
        <v>388</v>
      </c>
      <c r="L12" s="49">
        <v>0</v>
      </c>
      <c r="M12" s="49">
        <v>0.03</v>
      </c>
      <c r="N12" s="33">
        <f>IF($A12="","",$M12*IFERROR(INDEX(SERVIZI!$M:$M,MATCH($B12,SERVIZI!$A:$A,0)),0))</f>
        <v>3.36</v>
      </c>
      <c r="O12" s="42" t="s">
        <v>489</v>
      </c>
      <c r="P12" s="42"/>
      <c r="Q12" s="36" t="str">
        <f t="shared" ca="1" si="0"/>
        <v>Da avviare</v>
      </c>
      <c r="R12" s="33">
        <f t="shared" ca="1" si="1"/>
        <v>0</v>
      </c>
      <c r="S12" s="33">
        <f t="shared" si="2"/>
        <v>0</v>
      </c>
      <c r="T12" s="33">
        <f>IF($A12="","",SUMIFS(ORE!$F:$F,ORE!$B:$B,$B12,ORE!$D:$D,$D12))</f>
        <v>0</v>
      </c>
      <c r="U12" s="35">
        <f t="shared" si="3"/>
        <v>0</v>
      </c>
      <c r="V12" s="36" t="str">
        <f t="shared" ca="1" si="4"/>
        <v>OK</v>
      </c>
    </row>
    <row r="13" spans="1:24" x14ac:dyDescent="0.3">
      <c r="A13" s="42" t="s">
        <v>948</v>
      </c>
      <c r="B13" s="42" t="s">
        <v>937</v>
      </c>
      <c r="C13" s="48">
        <v>12</v>
      </c>
      <c r="D13" s="42" t="s">
        <v>490</v>
      </c>
      <c r="E13" s="42" t="s">
        <v>891</v>
      </c>
      <c r="F13" s="42" t="s">
        <v>916</v>
      </c>
      <c r="G13" s="43">
        <v>46552</v>
      </c>
      <c r="H13" s="43">
        <v>46552</v>
      </c>
      <c r="I13" s="43"/>
      <c r="J13" s="42" t="s">
        <v>488</v>
      </c>
      <c r="K13" s="42" t="s">
        <v>475</v>
      </c>
      <c r="L13" s="49">
        <v>0</v>
      </c>
      <c r="M13" s="49">
        <v>7.0000000000000007E-2</v>
      </c>
      <c r="N13" s="33">
        <f>IF($A13="","",$M13*IFERROR(INDEX(SERVIZI!$M:$M,MATCH($B13,SERVIZI!$A:$A,0)),0))</f>
        <v>7.8400000000000007</v>
      </c>
      <c r="O13" s="42" t="s">
        <v>491</v>
      </c>
      <c r="P13" s="42"/>
      <c r="Q13" s="36" t="str">
        <f t="shared" ca="1" si="0"/>
        <v>Da avviare</v>
      </c>
      <c r="R13" s="33">
        <f t="shared" ca="1" si="1"/>
        <v>0</v>
      </c>
      <c r="S13" s="33">
        <f t="shared" si="2"/>
        <v>0</v>
      </c>
      <c r="T13" s="33">
        <f>IF($A13="","",SUMIFS(ORE!$F:$F,ORE!$B:$B,$B13,ORE!$D:$D,$D13))</f>
        <v>0</v>
      </c>
      <c r="U13" s="35">
        <f t="shared" si="3"/>
        <v>0</v>
      </c>
      <c r="V13" s="36" t="str">
        <f t="shared" ca="1" si="4"/>
        <v>OK</v>
      </c>
    </row>
    <row r="14" spans="1:24" x14ac:dyDescent="0.3">
      <c r="A14" s="42" t="s">
        <v>949</v>
      </c>
      <c r="B14" s="42" t="s">
        <v>937</v>
      </c>
      <c r="C14" s="48">
        <v>13</v>
      </c>
      <c r="D14" s="42" t="s">
        <v>492</v>
      </c>
      <c r="E14" s="42" t="s">
        <v>891</v>
      </c>
      <c r="F14" s="42" t="s">
        <v>916</v>
      </c>
      <c r="G14" s="43">
        <v>46562</v>
      </c>
      <c r="H14" s="43">
        <v>46562</v>
      </c>
      <c r="I14" s="43"/>
      <c r="J14" s="42" t="s">
        <v>490</v>
      </c>
      <c r="K14" s="42" t="s">
        <v>388</v>
      </c>
      <c r="L14" s="49">
        <v>0</v>
      </c>
      <c r="M14" s="49">
        <v>0.05</v>
      </c>
      <c r="N14" s="33">
        <f>IF($A14="","",$M14*IFERROR(INDEX(SERVIZI!$M:$M,MATCH($B14,SERVIZI!$A:$A,0)),0))</f>
        <v>5.6000000000000005</v>
      </c>
      <c r="O14" s="42" t="s">
        <v>493</v>
      </c>
      <c r="P14" s="42"/>
      <c r="Q14" s="36" t="str">
        <f t="shared" ca="1" si="0"/>
        <v>Da avviare</v>
      </c>
      <c r="R14" s="33">
        <f t="shared" ca="1" si="1"/>
        <v>0</v>
      </c>
      <c r="S14" s="33">
        <f t="shared" si="2"/>
        <v>0</v>
      </c>
      <c r="T14" s="33">
        <f>IF($A14="","",SUMIFS(ORE!$F:$F,ORE!$B:$B,$B14,ORE!$D:$D,$D14))</f>
        <v>0</v>
      </c>
      <c r="U14" s="35">
        <f t="shared" si="3"/>
        <v>0</v>
      </c>
      <c r="V14" s="36" t="str">
        <f t="shared" ca="1" si="4"/>
        <v>OK</v>
      </c>
    </row>
    <row r="15" spans="1:24" x14ac:dyDescent="0.3">
      <c r="A15" s="42" t="s">
        <v>950</v>
      </c>
      <c r="B15" s="42" t="s">
        <v>937</v>
      </c>
      <c r="C15" s="48">
        <v>14</v>
      </c>
      <c r="D15" s="42" t="s">
        <v>494</v>
      </c>
      <c r="E15" s="42" t="s">
        <v>891</v>
      </c>
      <c r="F15" s="42" t="s">
        <v>916</v>
      </c>
      <c r="G15" s="43">
        <v>46567</v>
      </c>
      <c r="H15" s="43">
        <v>46567</v>
      </c>
      <c r="I15" s="43"/>
      <c r="J15" s="42" t="s">
        <v>492</v>
      </c>
      <c r="K15" s="42" t="s">
        <v>475</v>
      </c>
      <c r="L15" s="49">
        <v>0</v>
      </c>
      <c r="M15" s="49">
        <v>0.03</v>
      </c>
      <c r="N15" s="33">
        <f>IF($A15="","",$M15*IFERROR(INDEX(SERVIZI!$M:$M,MATCH($B15,SERVIZI!$A:$A,0)),0))</f>
        <v>3.36</v>
      </c>
      <c r="O15" s="42" t="s">
        <v>495</v>
      </c>
      <c r="P15" s="42"/>
      <c r="Q15" s="36" t="str">
        <f t="shared" ca="1" si="0"/>
        <v>Da avviare</v>
      </c>
      <c r="R15" s="33">
        <f t="shared" ca="1" si="1"/>
        <v>0</v>
      </c>
      <c r="S15" s="33">
        <f t="shared" si="2"/>
        <v>0</v>
      </c>
      <c r="T15" s="33">
        <f>IF($A15="","",SUMIFS(ORE!$F:$F,ORE!$B:$B,$B15,ORE!$D:$D,$D15))</f>
        <v>0</v>
      </c>
      <c r="U15" s="35">
        <f t="shared" si="3"/>
        <v>0</v>
      </c>
      <c r="V15" s="36" t="str">
        <f t="shared" ca="1" si="4"/>
        <v>OK</v>
      </c>
    </row>
    <row r="16" spans="1:24" x14ac:dyDescent="0.3">
      <c r="A16" s="42" t="s">
        <v>952</v>
      </c>
      <c r="B16" s="42" t="s">
        <v>951</v>
      </c>
      <c r="C16" s="48">
        <v>1</v>
      </c>
      <c r="D16" s="42" t="s">
        <v>473</v>
      </c>
      <c r="E16" s="42" t="s">
        <v>919</v>
      </c>
      <c r="F16" s="42" t="s">
        <v>915</v>
      </c>
      <c r="G16" s="43">
        <v>46109</v>
      </c>
      <c r="H16" s="43">
        <v>46109</v>
      </c>
      <c r="I16" s="43"/>
      <c r="J16" s="42"/>
      <c r="K16" s="42" t="s">
        <v>475</v>
      </c>
      <c r="L16" s="49">
        <v>1</v>
      </c>
      <c r="M16" s="49">
        <v>0.03</v>
      </c>
      <c r="N16" s="33">
        <f>IF($A16="","",$M16*IFERROR(INDEX(SERVIZI!$M:$M,MATCH($B16,SERVIZI!$A:$A,0)),0))</f>
        <v>3.36</v>
      </c>
      <c r="O16" s="42" t="s">
        <v>496</v>
      </c>
      <c r="P16" s="42"/>
      <c r="Q16" s="36" t="str">
        <f t="shared" ca="1" si="0"/>
        <v>Completata</v>
      </c>
      <c r="R16" s="33">
        <f t="shared" ca="1" si="1"/>
        <v>0</v>
      </c>
      <c r="S16" s="33">
        <f t="shared" si="2"/>
        <v>0</v>
      </c>
      <c r="T16" s="33">
        <f>IF($A16="","",SUMIFS(ORE!$F:$F,ORE!$B:$B,$B16,ORE!$D:$D,$D16))</f>
        <v>0</v>
      </c>
      <c r="U16" s="35">
        <f t="shared" si="3"/>
        <v>0</v>
      </c>
      <c r="V16" s="36" t="str">
        <f t="shared" ca="1" si="4"/>
        <v>OK</v>
      </c>
    </row>
    <row r="17" spans="1:22" x14ac:dyDescent="0.3">
      <c r="A17" s="42" t="s">
        <v>953</v>
      </c>
      <c r="B17" s="42" t="s">
        <v>951</v>
      </c>
      <c r="C17" s="48">
        <v>2</v>
      </c>
      <c r="D17" s="42" t="s">
        <v>476</v>
      </c>
      <c r="E17" s="42" t="s">
        <v>919</v>
      </c>
      <c r="F17" s="42" t="s">
        <v>915</v>
      </c>
      <c r="G17" s="43">
        <v>46114</v>
      </c>
      <c r="H17" s="43">
        <v>46114</v>
      </c>
      <c r="I17" s="43"/>
      <c r="J17" s="42" t="s">
        <v>473</v>
      </c>
      <c r="K17" s="42" t="s">
        <v>388</v>
      </c>
      <c r="L17" s="49">
        <v>1</v>
      </c>
      <c r="M17" s="49">
        <v>0.02</v>
      </c>
      <c r="N17" s="33">
        <f>IF($A17="","",$M17*IFERROR(INDEX(SERVIZI!$M:$M,MATCH($B17,SERVIZI!$A:$A,0)),0))</f>
        <v>2.2400000000000002</v>
      </c>
      <c r="O17" s="42" t="s">
        <v>497</v>
      </c>
      <c r="P17" s="42"/>
      <c r="Q17" s="36" t="str">
        <f t="shared" ca="1" si="0"/>
        <v>Completata</v>
      </c>
      <c r="R17" s="33">
        <f t="shared" ca="1" si="1"/>
        <v>0</v>
      </c>
      <c r="S17" s="33">
        <f t="shared" si="2"/>
        <v>0</v>
      </c>
      <c r="T17" s="33">
        <f>IF($A17="","",SUMIFS(ORE!$F:$F,ORE!$B:$B,$B17,ORE!$D:$D,$D17))</f>
        <v>0</v>
      </c>
      <c r="U17" s="35">
        <f t="shared" si="3"/>
        <v>0</v>
      </c>
      <c r="V17" s="36" t="str">
        <f t="shared" ca="1" si="4"/>
        <v>OK</v>
      </c>
    </row>
    <row r="18" spans="1:22" x14ac:dyDescent="0.3">
      <c r="A18" s="42" t="s">
        <v>954</v>
      </c>
      <c r="B18" s="42" t="s">
        <v>951</v>
      </c>
      <c r="C18" s="48">
        <v>3</v>
      </c>
      <c r="D18" s="42" t="s">
        <v>498</v>
      </c>
      <c r="E18" s="42" t="s">
        <v>919</v>
      </c>
      <c r="F18" s="42" t="s">
        <v>915</v>
      </c>
      <c r="G18" s="43">
        <v>46119</v>
      </c>
      <c r="H18" s="43">
        <v>46119</v>
      </c>
      <c r="I18" s="43"/>
      <c r="J18" s="42" t="s">
        <v>476</v>
      </c>
      <c r="K18" s="42" t="s">
        <v>475</v>
      </c>
      <c r="L18" s="49">
        <v>1</v>
      </c>
      <c r="M18" s="49">
        <v>0.02</v>
      </c>
      <c r="N18" s="33">
        <f>IF($A18="","",$M18*IFERROR(INDEX(SERVIZI!$M:$M,MATCH($B18,SERVIZI!$A:$A,0)),0))</f>
        <v>2.2400000000000002</v>
      </c>
      <c r="O18" s="42" t="s">
        <v>499</v>
      </c>
      <c r="P18" s="42"/>
      <c r="Q18" s="36" t="str">
        <f t="shared" ca="1" si="0"/>
        <v>Completata</v>
      </c>
      <c r="R18" s="33">
        <f t="shared" ca="1" si="1"/>
        <v>0</v>
      </c>
      <c r="S18" s="33">
        <f t="shared" si="2"/>
        <v>0</v>
      </c>
      <c r="T18" s="33">
        <f>IF($A18="","",SUMIFS(ORE!$F:$F,ORE!$B:$B,$B18,ORE!$D:$D,$D18))</f>
        <v>0</v>
      </c>
      <c r="U18" s="35">
        <f t="shared" si="3"/>
        <v>0</v>
      </c>
      <c r="V18" s="36" t="str">
        <f t="shared" ca="1" si="4"/>
        <v>OK</v>
      </c>
    </row>
    <row r="19" spans="1:22" x14ac:dyDescent="0.3">
      <c r="A19" s="42" t="s">
        <v>955</v>
      </c>
      <c r="B19" s="42" t="s">
        <v>951</v>
      </c>
      <c r="C19" s="48">
        <v>4</v>
      </c>
      <c r="D19" s="42" t="s">
        <v>500</v>
      </c>
      <c r="E19" s="42" t="s">
        <v>919</v>
      </c>
      <c r="F19" s="42" t="s">
        <v>915</v>
      </c>
      <c r="G19" s="43">
        <v>46159</v>
      </c>
      <c r="H19" s="43">
        <v>46159</v>
      </c>
      <c r="I19" s="43"/>
      <c r="J19" s="42" t="s">
        <v>498</v>
      </c>
      <c r="K19" s="42" t="s">
        <v>388</v>
      </c>
      <c r="L19" s="49">
        <v>1</v>
      </c>
      <c r="M19" s="49">
        <v>0.12</v>
      </c>
      <c r="N19" s="33">
        <f>IF($A19="","",$M19*IFERROR(INDEX(SERVIZI!$M:$M,MATCH($B19,SERVIZI!$A:$A,0)),0))</f>
        <v>13.44</v>
      </c>
      <c r="O19" s="42" t="s">
        <v>501</v>
      </c>
      <c r="P19" s="42"/>
      <c r="Q19" s="36" t="str">
        <f t="shared" ca="1" si="0"/>
        <v>Completata</v>
      </c>
      <c r="R19" s="33">
        <f t="shared" ca="1" si="1"/>
        <v>0</v>
      </c>
      <c r="S19" s="33">
        <f t="shared" si="2"/>
        <v>0</v>
      </c>
      <c r="T19" s="33">
        <f>IF($A19="","",SUMIFS(ORE!$F:$F,ORE!$B:$B,$B19,ORE!$D:$D,$D19))</f>
        <v>0</v>
      </c>
      <c r="U19" s="35">
        <f t="shared" si="3"/>
        <v>0</v>
      </c>
      <c r="V19" s="36" t="str">
        <f t="shared" ca="1" si="4"/>
        <v>OK</v>
      </c>
    </row>
    <row r="20" spans="1:22" x14ac:dyDescent="0.3">
      <c r="A20" s="42" t="s">
        <v>956</v>
      </c>
      <c r="B20" s="42" t="s">
        <v>951</v>
      </c>
      <c r="C20" s="48">
        <v>5</v>
      </c>
      <c r="D20" s="42" t="s">
        <v>502</v>
      </c>
      <c r="E20" s="42" t="s">
        <v>919</v>
      </c>
      <c r="F20" s="42" t="s">
        <v>915</v>
      </c>
      <c r="G20" s="43">
        <v>46219</v>
      </c>
      <c r="H20" s="43">
        <v>46219</v>
      </c>
      <c r="I20" s="43"/>
      <c r="J20" s="42" t="s">
        <v>500</v>
      </c>
      <c r="K20" s="42" t="s">
        <v>475</v>
      </c>
      <c r="L20" s="49">
        <v>1</v>
      </c>
      <c r="M20" s="49">
        <v>0.16</v>
      </c>
      <c r="N20" s="33">
        <f>IF($A20="","",$M20*IFERROR(INDEX(SERVIZI!$M:$M,MATCH($B20,SERVIZI!$A:$A,0)),0))</f>
        <v>17.920000000000002</v>
      </c>
      <c r="O20" s="42" t="s">
        <v>503</v>
      </c>
      <c r="P20" s="42"/>
      <c r="Q20" s="36" t="str">
        <f t="shared" ca="1" si="0"/>
        <v>Completata</v>
      </c>
      <c r="R20" s="33">
        <f t="shared" ca="1" si="1"/>
        <v>0</v>
      </c>
      <c r="S20" s="33">
        <f t="shared" si="2"/>
        <v>0</v>
      </c>
      <c r="T20" s="33">
        <f>IF($A20="","",SUMIFS(ORE!$F:$F,ORE!$B:$B,$B20,ORE!$D:$D,$D20))</f>
        <v>0</v>
      </c>
      <c r="U20" s="35">
        <f t="shared" si="3"/>
        <v>0</v>
      </c>
      <c r="V20" s="36" t="str">
        <f t="shared" ca="1" si="4"/>
        <v>OK</v>
      </c>
    </row>
    <row r="21" spans="1:22" x14ac:dyDescent="0.3">
      <c r="A21" s="42" t="s">
        <v>957</v>
      </c>
      <c r="B21" s="42" t="s">
        <v>951</v>
      </c>
      <c r="C21" s="48">
        <v>6</v>
      </c>
      <c r="D21" s="42" t="s">
        <v>504</v>
      </c>
      <c r="E21" s="42" t="s">
        <v>919</v>
      </c>
      <c r="F21" s="42" t="s">
        <v>915</v>
      </c>
      <c r="G21" s="43">
        <v>46229</v>
      </c>
      <c r="H21" s="43">
        <v>46229</v>
      </c>
      <c r="I21" s="43"/>
      <c r="J21" s="42" t="s">
        <v>502</v>
      </c>
      <c r="K21" s="42" t="s">
        <v>388</v>
      </c>
      <c r="L21" s="49">
        <v>0</v>
      </c>
      <c r="M21" s="49">
        <v>0.03</v>
      </c>
      <c r="N21" s="33">
        <f>IF($A21="","",$M21*IFERROR(INDEX(SERVIZI!$M:$M,MATCH($B21,SERVIZI!$A:$A,0)),0))</f>
        <v>3.36</v>
      </c>
      <c r="O21" s="42" t="s">
        <v>505</v>
      </c>
      <c r="P21" s="42"/>
      <c r="Q21" s="36" t="str">
        <f t="shared" ca="1" si="0"/>
        <v>IN RITARDO</v>
      </c>
      <c r="R21" s="33">
        <f t="shared" ca="1" si="1"/>
        <v>21</v>
      </c>
      <c r="S21" s="33">
        <f t="shared" si="2"/>
        <v>0</v>
      </c>
      <c r="T21" s="33">
        <f>IF($A21="","",SUMIFS(ORE!$F:$F,ORE!$B:$B,$B21,ORE!$D:$D,$D21))</f>
        <v>0</v>
      </c>
      <c r="U21" s="35">
        <f t="shared" si="3"/>
        <v>0</v>
      </c>
      <c r="V21" s="36" t="str">
        <f t="shared" ca="1" si="4"/>
        <v>IN RITARDO</v>
      </c>
    </row>
    <row r="22" spans="1:22" x14ac:dyDescent="0.3">
      <c r="A22" s="42" t="s">
        <v>958</v>
      </c>
      <c r="B22" s="42" t="s">
        <v>951</v>
      </c>
      <c r="C22" s="48">
        <v>7</v>
      </c>
      <c r="D22" s="42" t="s">
        <v>506</v>
      </c>
      <c r="E22" s="42" t="s">
        <v>919</v>
      </c>
      <c r="F22" s="42" t="s">
        <v>915</v>
      </c>
      <c r="G22" s="43">
        <v>46254</v>
      </c>
      <c r="H22" s="43">
        <v>46254</v>
      </c>
      <c r="I22" s="43"/>
      <c r="J22" s="42" t="s">
        <v>504</v>
      </c>
      <c r="K22" s="42" t="s">
        <v>475</v>
      </c>
      <c r="L22" s="49">
        <v>0</v>
      </c>
      <c r="M22" s="49">
        <v>0.08</v>
      </c>
      <c r="N22" s="33">
        <f>IF($A22="","",$M22*IFERROR(INDEX(SERVIZI!$M:$M,MATCH($B22,SERVIZI!$A:$A,0)),0))</f>
        <v>8.9600000000000009</v>
      </c>
      <c r="O22" s="42" t="s">
        <v>483</v>
      </c>
      <c r="P22" s="42"/>
      <c r="Q22" s="36" t="str">
        <f t="shared" ca="1" si="0"/>
        <v>Da avviare</v>
      </c>
      <c r="R22" s="33">
        <f t="shared" ca="1" si="1"/>
        <v>0</v>
      </c>
      <c r="S22" s="33">
        <f t="shared" si="2"/>
        <v>0</v>
      </c>
      <c r="T22" s="33">
        <f>IF($A22="","",SUMIFS(ORE!$F:$F,ORE!$B:$B,$B22,ORE!$D:$D,$D22))</f>
        <v>0</v>
      </c>
      <c r="U22" s="35">
        <f t="shared" si="3"/>
        <v>0</v>
      </c>
      <c r="V22" s="36" t="str">
        <f t="shared" ca="1" si="4"/>
        <v>OK</v>
      </c>
    </row>
    <row r="23" spans="1:22" x14ac:dyDescent="0.3">
      <c r="A23" s="42" t="s">
        <v>959</v>
      </c>
      <c r="B23" s="42" t="s">
        <v>951</v>
      </c>
      <c r="C23" s="48">
        <v>8</v>
      </c>
      <c r="D23" s="42" t="s">
        <v>892</v>
      </c>
      <c r="E23" s="42" t="s">
        <v>919</v>
      </c>
      <c r="F23" s="42" t="s">
        <v>915</v>
      </c>
      <c r="G23" s="43">
        <v>46279</v>
      </c>
      <c r="H23" s="43">
        <v>46279</v>
      </c>
      <c r="I23" s="43"/>
      <c r="J23" s="42" t="s">
        <v>506</v>
      </c>
      <c r="K23" s="42" t="s">
        <v>475</v>
      </c>
      <c r="L23" s="49">
        <v>1</v>
      </c>
      <c r="M23" s="49">
        <v>0.08</v>
      </c>
      <c r="N23" s="33">
        <f>IF($A23="","",$M23*IFERROR(INDEX(SERVIZI!$M:$M,MATCH($B23,SERVIZI!$A:$A,0)),0))</f>
        <v>8.9600000000000009</v>
      </c>
      <c r="O23" s="42" t="s">
        <v>893</v>
      </c>
      <c r="P23" s="42"/>
      <c r="Q23" s="36" t="str">
        <f t="shared" ca="1" si="0"/>
        <v>Completata</v>
      </c>
      <c r="R23" s="33">
        <f t="shared" ca="1" si="1"/>
        <v>0</v>
      </c>
      <c r="S23" s="33">
        <f t="shared" si="2"/>
        <v>0</v>
      </c>
      <c r="T23" s="33">
        <f>IF($A23="","",SUMIFS(ORE!$F:$F,ORE!$B:$B,$B23,ORE!$D:$D,$D23))</f>
        <v>0</v>
      </c>
      <c r="U23" s="35">
        <f t="shared" si="3"/>
        <v>0</v>
      </c>
      <c r="V23" s="36" t="str">
        <f t="shared" ca="1" si="4"/>
        <v>OK</v>
      </c>
    </row>
    <row r="24" spans="1:22" x14ac:dyDescent="0.3">
      <c r="A24" s="42" t="s">
        <v>960</v>
      </c>
      <c r="B24" s="42" t="s">
        <v>951</v>
      </c>
      <c r="C24" s="48">
        <v>9</v>
      </c>
      <c r="D24" s="42" t="s">
        <v>484</v>
      </c>
      <c r="E24" s="42" t="s">
        <v>919</v>
      </c>
      <c r="F24" s="42" t="s">
        <v>915</v>
      </c>
      <c r="G24" s="43">
        <v>46399</v>
      </c>
      <c r="H24" s="43">
        <v>46399</v>
      </c>
      <c r="I24" s="43">
        <v>46311</v>
      </c>
      <c r="J24" s="42" t="s">
        <v>892</v>
      </c>
      <c r="K24" s="42" t="s">
        <v>475</v>
      </c>
      <c r="L24" s="49">
        <v>0.5</v>
      </c>
      <c r="M24" s="49">
        <v>0.09</v>
      </c>
      <c r="N24" s="33">
        <f>IF($A24="","",$M24*IFERROR(INDEX(SERVIZI!$M:$M,MATCH($B24,SERVIZI!$A:$A,0)),0))</f>
        <v>10.08</v>
      </c>
      <c r="O24" s="42" t="s">
        <v>485</v>
      </c>
      <c r="P24" s="42"/>
      <c r="Q24" s="36" t="str">
        <f t="shared" ca="1" si="0"/>
        <v>In corso</v>
      </c>
      <c r="R24" s="33">
        <f t="shared" ca="1" si="1"/>
        <v>0</v>
      </c>
      <c r="S24" s="33">
        <f t="shared" si="2"/>
        <v>0</v>
      </c>
      <c r="T24" s="33">
        <f>IF($A24="","",SUMIFS(ORE!$F:$F,ORE!$B:$B,$B24,ORE!$D:$D,$D24))</f>
        <v>0</v>
      </c>
      <c r="U24" s="35">
        <f t="shared" si="3"/>
        <v>0</v>
      </c>
      <c r="V24" s="36" t="str">
        <f t="shared" ca="1" si="4"/>
        <v>OK</v>
      </c>
    </row>
    <row r="25" spans="1:22" x14ac:dyDescent="0.3">
      <c r="A25" s="42" t="s">
        <v>961</v>
      </c>
      <c r="B25" s="42" t="s">
        <v>951</v>
      </c>
      <c r="C25" s="48">
        <v>10</v>
      </c>
      <c r="D25" s="42" t="s">
        <v>488</v>
      </c>
      <c r="E25" s="42" t="s">
        <v>919</v>
      </c>
      <c r="F25" s="42" t="s">
        <v>915</v>
      </c>
      <c r="G25" s="43">
        <v>46414</v>
      </c>
      <c r="H25" s="43">
        <v>46414</v>
      </c>
      <c r="I25" s="43"/>
      <c r="J25" s="42" t="s">
        <v>484</v>
      </c>
      <c r="K25" s="42" t="s">
        <v>475</v>
      </c>
      <c r="L25" s="49">
        <v>0</v>
      </c>
      <c r="M25" s="49">
        <v>0.05</v>
      </c>
      <c r="N25" s="33">
        <f>IF($A25="","",$M25*IFERROR(INDEX(SERVIZI!$M:$M,MATCH($B25,SERVIZI!$A:$A,0)),0))</f>
        <v>5.6000000000000005</v>
      </c>
      <c r="O25" s="42" t="s">
        <v>489</v>
      </c>
      <c r="P25" s="42"/>
      <c r="Q25" s="36" t="str">
        <f t="shared" ca="1" si="0"/>
        <v>Da avviare</v>
      </c>
      <c r="R25" s="33">
        <f t="shared" ca="1" si="1"/>
        <v>0</v>
      </c>
      <c r="S25" s="33">
        <f t="shared" si="2"/>
        <v>0</v>
      </c>
      <c r="T25" s="33">
        <f>IF($A25="","",SUMIFS(ORE!$F:$F,ORE!$B:$B,$B25,ORE!$D:$D,$D25))</f>
        <v>0</v>
      </c>
      <c r="U25" s="35">
        <f t="shared" si="3"/>
        <v>0</v>
      </c>
      <c r="V25" s="36" t="str">
        <f t="shared" ca="1" si="4"/>
        <v>OK</v>
      </c>
    </row>
    <row r="26" spans="1:22" x14ac:dyDescent="0.3">
      <c r="A26" s="42" t="s">
        <v>962</v>
      </c>
      <c r="B26" s="42" t="s">
        <v>951</v>
      </c>
      <c r="C26" s="48">
        <v>11</v>
      </c>
      <c r="D26" s="42" t="s">
        <v>507</v>
      </c>
      <c r="E26" s="42" t="s">
        <v>919</v>
      </c>
      <c r="F26" s="42" t="s">
        <v>915</v>
      </c>
      <c r="G26" s="43">
        <v>46434</v>
      </c>
      <c r="H26" s="43">
        <v>46434</v>
      </c>
      <c r="I26" s="43"/>
      <c r="J26" s="42" t="s">
        <v>488</v>
      </c>
      <c r="K26" s="42" t="s">
        <v>475</v>
      </c>
      <c r="L26" s="49">
        <v>0</v>
      </c>
      <c r="M26" s="49">
        <v>7.0000000000000007E-2</v>
      </c>
      <c r="N26" s="33">
        <f>IF($A26="","",$M26*IFERROR(INDEX(SERVIZI!$M:$M,MATCH($B26,SERVIZI!$A:$A,0)),0))</f>
        <v>7.8400000000000007</v>
      </c>
      <c r="O26" s="42" t="s">
        <v>508</v>
      </c>
      <c r="P26" s="42"/>
      <c r="Q26" s="36" t="str">
        <f t="shared" ca="1" si="0"/>
        <v>Da avviare</v>
      </c>
      <c r="R26" s="33">
        <f t="shared" ca="1" si="1"/>
        <v>0</v>
      </c>
      <c r="S26" s="33">
        <f t="shared" si="2"/>
        <v>0</v>
      </c>
      <c r="T26" s="33">
        <f>IF($A26="","",SUMIFS(ORE!$F:$F,ORE!$B:$B,$B26,ORE!$D:$D,$D26))</f>
        <v>0</v>
      </c>
      <c r="U26" s="35">
        <f t="shared" si="3"/>
        <v>0</v>
      </c>
      <c r="V26" s="36" t="str">
        <f t="shared" ca="1" si="4"/>
        <v>OK</v>
      </c>
    </row>
    <row r="27" spans="1:22" x14ac:dyDescent="0.3">
      <c r="A27" s="42" t="s">
        <v>963</v>
      </c>
      <c r="B27" s="42" t="s">
        <v>951</v>
      </c>
      <c r="C27" s="48">
        <v>12</v>
      </c>
      <c r="D27" s="42" t="s">
        <v>509</v>
      </c>
      <c r="E27" s="42" t="s">
        <v>919</v>
      </c>
      <c r="F27" s="42" t="s">
        <v>915</v>
      </c>
      <c r="G27" s="43">
        <v>46444</v>
      </c>
      <c r="H27" s="43">
        <v>46444</v>
      </c>
      <c r="I27" s="43"/>
      <c r="J27" s="42" t="s">
        <v>507</v>
      </c>
      <c r="K27" s="42" t="s">
        <v>388</v>
      </c>
      <c r="L27" s="49">
        <v>0</v>
      </c>
      <c r="M27" s="49">
        <v>0.1</v>
      </c>
      <c r="N27" s="33">
        <f>IF($A27="","",$M27*IFERROR(INDEX(SERVIZI!$M:$M,MATCH($B27,SERVIZI!$A:$A,0)),0))</f>
        <v>11.200000000000001</v>
      </c>
      <c r="O27" s="42" t="s">
        <v>510</v>
      </c>
      <c r="P27" s="42"/>
      <c r="Q27" s="36" t="str">
        <f t="shared" ca="1" si="0"/>
        <v>Da avviare</v>
      </c>
      <c r="R27" s="33">
        <f t="shared" ca="1" si="1"/>
        <v>0</v>
      </c>
      <c r="S27" s="33">
        <f t="shared" si="2"/>
        <v>0</v>
      </c>
      <c r="T27" s="33">
        <f>IF($A27="","",SUMIFS(ORE!$F:$F,ORE!$B:$B,$B27,ORE!$D:$D,$D27))</f>
        <v>0</v>
      </c>
      <c r="U27" s="35">
        <f t="shared" si="3"/>
        <v>0</v>
      </c>
      <c r="V27" s="36" t="str">
        <f t="shared" ca="1" si="4"/>
        <v>OK</v>
      </c>
    </row>
    <row r="28" spans="1:22" x14ac:dyDescent="0.3">
      <c r="A28" s="42" t="s">
        <v>964</v>
      </c>
      <c r="B28" s="42" t="s">
        <v>951</v>
      </c>
      <c r="C28" s="48">
        <v>13</v>
      </c>
      <c r="D28" s="42" t="s">
        <v>511</v>
      </c>
      <c r="E28" s="42" t="s">
        <v>919</v>
      </c>
      <c r="F28" s="42" t="s">
        <v>915</v>
      </c>
      <c r="G28" s="43">
        <v>46464</v>
      </c>
      <c r="H28" s="43">
        <v>46464</v>
      </c>
      <c r="I28" s="43"/>
      <c r="J28" s="42" t="s">
        <v>509</v>
      </c>
      <c r="K28" s="42" t="s">
        <v>475</v>
      </c>
      <c r="L28" s="49">
        <v>0</v>
      </c>
      <c r="M28" s="49">
        <v>0.08</v>
      </c>
      <c r="N28" s="33">
        <f>IF($A28="","",$M28*IFERROR(INDEX(SERVIZI!$M:$M,MATCH($B28,SERVIZI!$A:$A,0)),0))</f>
        <v>8.9600000000000009</v>
      </c>
      <c r="O28" s="42" t="s">
        <v>512</v>
      </c>
      <c r="P28" s="42"/>
      <c r="Q28" s="36" t="str">
        <f t="shared" ca="1" si="0"/>
        <v>Da avviare</v>
      </c>
      <c r="R28" s="33">
        <f t="shared" ca="1" si="1"/>
        <v>0</v>
      </c>
      <c r="S28" s="33">
        <f t="shared" si="2"/>
        <v>0</v>
      </c>
      <c r="T28" s="33">
        <f>IF($A28="","",SUMIFS(ORE!$F:$F,ORE!$B:$B,$B28,ORE!$D:$D,$D28))</f>
        <v>0</v>
      </c>
      <c r="U28" s="35">
        <f t="shared" si="3"/>
        <v>0</v>
      </c>
      <c r="V28" s="36" t="str">
        <f t="shared" ca="1" si="4"/>
        <v>OK</v>
      </c>
    </row>
    <row r="29" spans="1:22" x14ac:dyDescent="0.3">
      <c r="A29" s="42" t="s">
        <v>965</v>
      </c>
      <c r="B29" s="42" t="s">
        <v>951</v>
      </c>
      <c r="C29" s="48">
        <v>14</v>
      </c>
      <c r="D29" s="42" t="s">
        <v>492</v>
      </c>
      <c r="E29" s="42" t="s">
        <v>919</v>
      </c>
      <c r="F29" s="42" t="s">
        <v>915</v>
      </c>
      <c r="G29" s="43">
        <v>46474</v>
      </c>
      <c r="H29" s="43">
        <v>46474</v>
      </c>
      <c r="I29" s="43"/>
      <c r="J29" s="42" t="s">
        <v>511</v>
      </c>
      <c r="K29" s="42" t="s">
        <v>388</v>
      </c>
      <c r="L29" s="49">
        <v>0</v>
      </c>
      <c r="M29" s="49">
        <v>0.04</v>
      </c>
      <c r="N29" s="33">
        <f>IF($A29="","",$M29*IFERROR(INDEX(SERVIZI!$M:$M,MATCH($B29,SERVIZI!$A:$A,0)),0))</f>
        <v>4.4800000000000004</v>
      </c>
      <c r="O29" s="42" t="s">
        <v>513</v>
      </c>
      <c r="P29" s="42"/>
      <c r="Q29" s="36" t="str">
        <f t="shared" ca="1" si="0"/>
        <v>Da avviare</v>
      </c>
      <c r="R29" s="33">
        <f t="shared" ca="1" si="1"/>
        <v>0</v>
      </c>
      <c r="S29" s="33">
        <f t="shared" si="2"/>
        <v>0</v>
      </c>
      <c r="T29" s="33">
        <f>IF($A29="","",SUMIFS(ORE!$F:$F,ORE!$B:$B,$B29,ORE!$D:$D,$D29))</f>
        <v>0</v>
      </c>
      <c r="U29" s="35">
        <f t="shared" si="3"/>
        <v>0</v>
      </c>
      <c r="V29" s="36" t="str">
        <f t="shared" ca="1" si="4"/>
        <v>OK</v>
      </c>
    </row>
    <row r="30" spans="1:22" x14ac:dyDescent="0.3">
      <c r="A30" s="42" t="s">
        <v>966</v>
      </c>
      <c r="B30" s="42" t="s">
        <v>951</v>
      </c>
      <c r="C30" s="48">
        <v>15</v>
      </c>
      <c r="D30" s="42" t="s">
        <v>514</v>
      </c>
      <c r="E30" s="42" t="s">
        <v>919</v>
      </c>
      <c r="F30" s="42" t="s">
        <v>915</v>
      </c>
      <c r="G30" s="43">
        <v>46479</v>
      </c>
      <c r="H30" s="43">
        <v>46479</v>
      </c>
      <c r="I30" s="43"/>
      <c r="J30" s="42" t="s">
        <v>492</v>
      </c>
      <c r="K30" s="42" t="s">
        <v>475</v>
      </c>
      <c r="L30" s="49">
        <v>0</v>
      </c>
      <c r="M30" s="49">
        <v>0.03</v>
      </c>
      <c r="N30" s="33">
        <f>IF($A30="","",$M30*IFERROR(INDEX(SERVIZI!$M:$M,MATCH($B30,SERVIZI!$A:$A,0)),0))</f>
        <v>3.36</v>
      </c>
      <c r="O30" s="42" t="s">
        <v>515</v>
      </c>
      <c r="P30" s="42"/>
      <c r="Q30" s="36" t="str">
        <f t="shared" ca="1" si="0"/>
        <v>Da avviare</v>
      </c>
      <c r="R30" s="33">
        <f t="shared" ca="1" si="1"/>
        <v>0</v>
      </c>
      <c r="S30" s="33">
        <f t="shared" si="2"/>
        <v>0</v>
      </c>
      <c r="T30" s="33">
        <f>IF($A30="","",SUMIFS(ORE!$F:$F,ORE!$B:$B,$B30,ORE!$D:$D,$D30))</f>
        <v>0</v>
      </c>
      <c r="U30" s="35">
        <f t="shared" si="3"/>
        <v>0</v>
      </c>
      <c r="V30" s="36" t="str">
        <f t="shared" ca="1" si="4"/>
        <v>OK</v>
      </c>
    </row>
    <row r="31" spans="1:22" x14ac:dyDescent="0.3">
      <c r="A31" s="42"/>
      <c r="B31" s="42"/>
      <c r="C31" s="48"/>
      <c r="D31" s="42"/>
      <c r="E31" s="42"/>
      <c r="F31" s="42"/>
      <c r="G31" s="43"/>
      <c r="H31" s="43"/>
      <c r="I31" s="43"/>
      <c r="J31" s="42"/>
      <c r="K31" s="42"/>
      <c r="L31" s="49"/>
      <c r="M31" s="49"/>
      <c r="N31" s="33" t="str">
        <f>IF($A31="","",$M31*IFERROR(INDEX(SERVIZI!$M:$M,MATCH($B31,SERVIZI!$A:$A,0)),0))</f>
        <v/>
      </c>
      <c r="O31" s="42"/>
      <c r="P31" s="42"/>
      <c r="Q31" s="36" t="str">
        <f t="shared" ca="1" si="0"/>
        <v/>
      </c>
      <c r="R31" s="33" t="str">
        <f t="shared" ca="1" si="1"/>
        <v/>
      </c>
      <c r="S31" s="33" t="str">
        <f t="shared" si="2"/>
        <v/>
      </c>
      <c r="T31" s="33" t="str">
        <f>IF($A31="","",SUMIFS(ORE!$F:$F,ORE!$B:$B,$B31,ORE!$D:$D,$D31))</f>
        <v/>
      </c>
      <c r="U31" s="35" t="str">
        <f t="shared" si="3"/>
        <v/>
      </c>
      <c r="V31" s="36" t="str">
        <f t="shared" si="4"/>
        <v/>
      </c>
    </row>
    <row r="32" spans="1:22" x14ac:dyDescent="0.3">
      <c r="A32" s="42"/>
      <c r="B32" s="42"/>
      <c r="C32" s="48"/>
      <c r="D32" s="42"/>
      <c r="E32" s="42"/>
      <c r="F32" s="42"/>
      <c r="G32" s="43"/>
      <c r="H32" s="43"/>
      <c r="I32" s="43"/>
      <c r="J32" s="42"/>
      <c r="K32" s="42"/>
      <c r="L32" s="49"/>
      <c r="M32" s="49"/>
      <c r="N32" s="33" t="str">
        <f>IF($A32="","",$M32*IFERROR(INDEX(SERVIZI!$M:$M,MATCH($B32,SERVIZI!$A:$A,0)),0))</f>
        <v/>
      </c>
      <c r="O32" s="42"/>
      <c r="P32" s="42"/>
      <c r="Q32" s="36" t="str">
        <f t="shared" ca="1" si="0"/>
        <v/>
      </c>
      <c r="R32" s="33" t="str">
        <f t="shared" ca="1" si="1"/>
        <v/>
      </c>
      <c r="S32" s="33" t="str">
        <f t="shared" si="2"/>
        <v/>
      </c>
      <c r="T32" s="33" t="str">
        <f>IF($A32="","",SUMIFS(ORE!$F:$F,ORE!$B:$B,$B32,ORE!$D:$D,$D32))</f>
        <v/>
      </c>
      <c r="U32" s="35" t="str">
        <f t="shared" si="3"/>
        <v/>
      </c>
      <c r="V32" s="36" t="str">
        <f t="shared" si="4"/>
        <v/>
      </c>
    </row>
    <row r="33" spans="1:22" x14ac:dyDescent="0.3">
      <c r="A33" s="42"/>
      <c r="B33" s="42"/>
      <c r="C33" s="48"/>
      <c r="D33" s="42"/>
      <c r="E33" s="42"/>
      <c r="F33" s="42"/>
      <c r="G33" s="43"/>
      <c r="H33" s="43"/>
      <c r="I33" s="43"/>
      <c r="J33" s="42"/>
      <c r="K33" s="42"/>
      <c r="L33" s="49"/>
      <c r="M33" s="49"/>
      <c r="N33" s="33" t="str">
        <f>IF($A33="","",$M33*IFERROR(INDEX(SERVIZI!$M:$M,MATCH($B33,SERVIZI!$A:$A,0)),0))</f>
        <v/>
      </c>
      <c r="O33" s="42"/>
      <c r="P33" s="42"/>
      <c r="Q33" s="36" t="str">
        <f t="shared" ca="1" si="0"/>
        <v/>
      </c>
      <c r="R33" s="33" t="str">
        <f t="shared" ca="1" si="1"/>
        <v/>
      </c>
      <c r="S33" s="33" t="str">
        <f t="shared" si="2"/>
        <v/>
      </c>
      <c r="T33" s="33" t="str">
        <f>IF($A33="","",SUMIFS(ORE!$F:$F,ORE!$B:$B,$B33,ORE!$D:$D,$D33))</f>
        <v/>
      </c>
      <c r="U33" s="35" t="str">
        <f t="shared" si="3"/>
        <v/>
      </c>
      <c r="V33" s="36" t="str">
        <f t="shared" si="4"/>
        <v/>
      </c>
    </row>
    <row r="34" spans="1:22" x14ac:dyDescent="0.3">
      <c r="A34" s="42"/>
      <c r="B34" s="42"/>
      <c r="C34" s="48"/>
      <c r="D34" s="42"/>
      <c r="E34" s="42"/>
      <c r="F34" s="42"/>
      <c r="G34" s="43"/>
      <c r="H34" s="43"/>
      <c r="I34" s="43"/>
      <c r="J34" s="42"/>
      <c r="K34" s="42"/>
      <c r="L34" s="49"/>
      <c r="M34" s="49"/>
      <c r="N34" s="33" t="str">
        <f>IF($A34="","",$M34*IFERROR(INDEX(SERVIZI!$M:$M,MATCH($B34,SERVIZI!$A:$A,0)),0))</f>
        <v/>
      </c>
      <c r="O34" s="42"/>
      <c r="P34" s="42"/>
      <c r="Q34" s="36" t="str">
        <f t="shared" ref="Q34:Q65" ca="1" si="5">IF($A34="","",IF($L34&gt;=1,"Completata",IF(AND($H34&lt;&gt;"",$H34&lt;TODAY()),"IN RITARDO",IF($L34&gt;0,"In corso","Da avviare"))))</f>
        <v/>
      </c>
      <c r="R34" s="33" t="str">
        <f t="shared" ref="R34:R65" ca="1" si="6">IF($A34="","",IF(AND($H34&lt;&gt;"",$L34&lt;1,$H34&lt;TODAY()),TODAY()-$H34,0))</f>
        <v/>
      </c>
      <c r="S34" s="33" t="str">
        <f t="shared" ref="S34:S65" si="7">IF($A34="","",IF(AND($G34&lt;&gt;"",$H34&lt;&gt;""),$H34-$G34,0))</f>
        <v/>
      </c>
      <c r="T34" s="33" t="str">
        <f>IF($A34="","",SUMIFS(ORE!$F:$F,ORE!$B:$B,$B34,ORE!$D:$D,$D34))</f>
        <v/>
      </c>
      <c r="U34" s="35" t="str">
        <f t="shared" ref="U34:U65" si="8">IF($A34="","",IFERROR($T34/$N34,0))</f>
        <v/>
      </c>
      <c r="V34" s="36" t="str">
        <f t="shared" ref="V34:V65" si="9">IF($A34="","",IF(AND($U34&gt;$L34+0.2,$N34&gt;0),"ORE SOPRA AVANZAMENTO",IF($Q34="IN RITARDO","IN RITARDO","OK")))</f>
        <v/>
      </c>
    </row>
    <row r="35" spans="1:22" x14ac:dyDescent="0.3">
      <c r="A35" s="42"/>
      <c r="B35" s="42"/>
      <c r="C35" s="48"/>
      <c r="D35" s="42"/>
      <c r="E35" s="42"/>
      <c r="F35" s="42"/>
      <c r="G35" s="43"/>
      <c r="H35" s="43"/>
      <c r="I35" s="43"/>
      <c r="J35" s="42"/>
      <c r="K35" s="42"/>
      <c r="L35" s="49"/>
      <c r="M35" s="49"/>
      <c r="N35" s="33" t="str">
        <f>IF($A35="","",$M35*IFERROR(INDEX(SERVIZI!$M:$M,MATCH($B35,SERVIZI!$A:$A,0)),0))</f>
        <v/>
      </c>
      <c r="O35" s="42"/>
      <c r="P35" s="42"/>
      <c r="Q35" s="36" t="str">
        <f t="shared" ca="1" si="5"/>
        <v/>
      </c>
      <c r="R35" s="33" t="str">
        <f t="shared" ca="1" si="6"/>
        <v/>
      </c>
      <c r="S35" s="33" t="str">
        <f t="shared" si="7"/>
        <v/>
      </c>
      <c r="T35" s="33" t="str">
        <f>IF($A35="","",SUMIFS(ORE!$F:$F,ORE!$B:$B,$B35,ORE!$D:$D,$D35))</f>
        <v/>
      </c>
      <c r="U35" s="35" t="str">
        <f t="shared" si="8"/>
        <v/>
      </c>
      <c r="V35" s="36" t="str">
        <f t="shared" si="9"/>
        <v/>
      </c>
    </row>
    <row r="36" spans="1:22" x14ac:dyDescent="0.3">
      <c r="A36" s="42"/>
      <c r="B36" s="42"/>
      <c r="C36" s="48"/>
      <c r="D36" s="42"/>
      <c r="E36" s="42"/>
      <c r="F36" s="42"/>
      <c r="G36" s="43"/>
      <c r="H36" s="43"/>
      <c r="I36" s="43"/>
      <c r="J36" s="42"/>
      <c r="K36" s="42"/>
      <c r="L36" s="49"/>
      <c r="M36" s="49"/>
      <c r="N36" s="33" t="str">
        <f>IF($A36="","",$M36*IFERROR(INDEX(SERVIZI!$M:$M,MATCH($B36,SERVIZI!$A:$A,0)),0))</f>
        <v/>
      </c>
      <c r="O36" s="42"/>
      <c r="P36" s="42"/>
      <c r="Q36" s="36" t="str">
        <f t="shared" ca="1" si="5"/>
        <v/>
      </c>
      <c r="R36" s="33" t="str">
        <f t="shared" ca="1" si="6"/>
        <v/>
      </c>
      <c r="S36" s="33" t="str">
        <f t="shared" si="7"/>
        <v/>
      </c>
      <c r="T36" s="33" t="str">
        <f>IF($A36="","",SUMIFS(ORE!$F:$F,ORE!$B:$B,$B36,ORE!$D:$D,$D36))</f>
        <v/>
      </c>
      <c r="U36" s="35" t="str">
        <f t="shared" si="8"/>
        <v/>
      </c>
      <c r="V36" s="36" t="str">
        <f t="shared" si="9"/>
        <v/>
      </c>
    </row>
    <row r="37" spans="1:22" x14ac:dyDescent="0.3">
      <c r="A37" s="42"/>
      <c r="B37" s="42"/>
      <c r="C37" s="48"/>
      <c r="D37" s="42"/>
      <c r="E37" s="42"/>
      <c r="F37" s="42"/>
      <c r="G37" s="43"/>
      <c r="H37" s="43"/>
      <c r="I37" s="43"/>
      <c r="J37" s="42"/>
      <c r="K37" s="42"/>
      <c r="L37" s="49"/>
      <c r="M37" s="49"/>
      <c r="N37" s="33" t="str">
        <f>IF($A37="","",$M37*IFERROR(INDEX(SERVIZI!$M:$M,MATCH($B37,SERVIZI!$A:$A,0)),0))</f>
        <v/>
      </c>
      <c r="O37" s="42"/>
      <c r="P37" s="42"/>
      <c r="Q37" s="36" t="str">
        <f t="shared" ca="1" si="5"/>
        <v/>
      </c>
      <c r="R37" s="33" t="str">
        <f t="shared" ca="1" si="6"/>
        <v/>
      </c>
      <c r="S37" s="33" t="str">
        <f t="shared" si="7"/>
        <v/>
      </c>
      <c r="T37" s="33" t="str">
        <f>IF($A37="","",SUMIFS(ORE!$F:$F,ORE!$B:$B,$B37,ORE!$D:$D,$D37))</f>
        <v/>
      </c>
      <c r="U37" s="35" t="str">
        <f t="shared" si="8"/>
        <v/>
      </c>
      <c r="V37" s="36" t="str">
        <f t="shared" si="9"/>
        <v/>
      </c>
    </row>
    <row r="38" spans="1:22" x14ac:dyDescent="0.3">
      <c r="A38" s="42"/>
      <c r="B38" s="42"/>
      <c r="C38" s="48"/>
      <c r="D38" s="42"/>
      <c r="E38" s="42"/>
      <c r="F38" s="42"/>
      <c r="G38" s="43"/>
      <c r="H38" s="43"/>
      <c r="I38" s="43"/>
      <c r="J38" s="42"/>
      <c r="K38" s="42"/>
      <c r="L38" s="49"/>
      <c r="M38" s="49"/>
      <c r="N38" s="33" t="str">
        <f>IF($A38="","",$M38*IFERROR(INDEX(SERVIZI!$M:$M,MATCH($B38,SERVIZI!$A:$A,0)),0))</f>
        <v/>
      </c>
      <c r="O38" s="42"/>
      <c r="P38" s="42"/>
      <c r="Q38" s="36" t="str">
        <f t="shared" ca="1" si="5"/>
        <v/>
      </c>
      <c r="R38" s="33" t="str">
        <f t="shared" ca="1" si="6"/>
        <v/>
      </c>
      <c r="S38" s="33" t="str">
        <f t="shared" si="7"/>
        <v/>
      </c>
      <c r="T38" s="33" t="str">
        <f>IF($A38="","",SUMIFS(ORE!$F:$F,ORE!$B:$B,$B38,ORE!$D:$D,$D38))</f>
        <v/>
      </c>
      <c r="U38" s="35" t="str">
        <f t="shared" si="8"/>
        <v/>
      </c>
      <c r="V38" s="36" t="str">
        <f t="shared" si="9"/>
        <v/>
      </c>
    </row>
    <row r="39" spans="1:22" x14ac:dyDescent="0.3">
      <c r="A39" s="42"/>
      <c r="B39" s="42"/>
      <c r="C39" s="48"/>
      <c r="D39" s="42"/>
      <c r="E39" s="42"/>
      <c r="F39" s="42"/>
      <c r="G39" s="43"/>
      <c r="H39" s="43"/>
      <c r="I39" s="43"/>
      <c r="J39" s="42"/>
      <c r="K39" s="42"/>
      <c r="L39" s="49"/>
      <c r="M39" s="49"/>
      <c r="N39" s="33" t="str">
        <f>IF($A39="","",$M39*IFERROR(INDEX(SERVIZI!$M:$M,MATCH($B39,SERVIZI!$A:$A,0)),0))</f>
        <v/>
      </c>
      <c r="O39" s="42"/>
      <c r="P39" s="42"/>
      <c r="Q39" s="36" t="str">
        <f t="shared" ca="1" si="5"/>
        <v/>
      </c>
      <c r="R39" s="33" t="str">
        <f t="shared" ca="1" si="6"/>
        <v/>
      </c>
      <c r="S39" s="33" t="str">
        <f t="shared" si="7"/>
        <v/>
      </c>
      <c r="T39" s="33" t="str">
        <f>IF($A39="","",SUMIFS(ORE!$F:$F,ORE!$B:$B,$B39,ORE!$D:$D,$D39))</f>
        <v/>
      </c>
      <c r="U39" s="35" t="str">
        <f t="shared" si="8"/>
        <v/>
      </c>
      <c r="V39" s="36" t="str">
        <f t="shared" si="9"/>
        <v/>
      </c>
    </row>
    <row r="40" spans="1:22" x14ac:dyDescent="0.3">
      <c r="A40" s="42"/>
      <c r="B40" s="42"/>
      <c r="C40" s="48"/>
      <c r="D40" s="42"/>
      <c r="E40" s="42"/>
      <c r="F40" s="42"/>
      <c r="G40" s="43"/>
      <c r="H40" s="43"/>
      <c r="I40" s="43"/>
      <c r="J40" s="42"/>
      <c r="K40" s="42"/>
      <c r="L40" s="49"/>
      <c r="M40" s="49"/>
      <c r="N40" s="33" t="str">
        <f>IF($A40="","",$M40*IFERROR(INDEX(SERVIZI!$M:$M,MATCH($B40,SERVIZI!$A:$A,0)),0))</f>
        <v/>
      </c>
      <c r="O40" s="42"/>
      <c r="P40" s="42"/>
      <c r="Q40" s="36" t="str">
        <f t="shared" ca="1" si="5"/>
        <v/>
      </c>
      <c r="R40" s="33" t="str">
        <f t="shared" ca="1" si="6"/>
        <v/>
      </c>
      <c r="S40" s="33" t="str">
        <f t="shared" si="7"/>
        <v/>
      </c>
      <c r="T40" s="33" t="str">
        <f>IF($A40="","",SUMIFS(ORE!$F:$F,ORE!$B:$B,$B40,ORE!$D:$D,$D40))</f>
        <v/>
      </c>
      <c r="U40" s="35" t="str">
        <f t="shared" si="8"/>
        <v/>
      </c>
      <c r="V40" s="36" t="str">
        <f t="shared" si="9"/>
        <v/>
      </c>
    </row>
    <row r="41" spans="1:22" x14ac:dyDescent="0.3">
      <c r="A41" s="42"/>
      <c r="B41" s="42"/>
      <c r="C41" s="48"/>
      <c r="D41" s="42"/>
      <c r="E41" s="42"/>
      <c r="F41" s="42"/>
      <c r="G41" s="43"/>
      <c r="H41" s="43"/>
      <c r="I41" s="43"/>
      <c r="J41" s="42"/>
      <c r="K41" s="42"/>
      <c r="L41" s="49"/>
      <c r="M41" s="49"/>
      <c r="N41" s="33" t="str">
        <f>IF($A41="","",$M41*IFERROR(INDEX(SERVIZI!$M:$M,MATCH($B41,SERVIZI!$A:$A,0)),0))</f>
        <v/>
      </c>
      <c r="O41" s="42"/>
      <c r="P41" s="42"/>
      <c r="Q41" s="36" t="str">
        <f t="shared" ca="1" si="5"/>
        <v/>
      </c>
      <c r="R41" s="33" t="str">
        <f t="shared" ca="1" si="6"/>
        <v/>
      </c>
      <c r="S41" s="33" t="str">
        <f t="shared" si="7"/>
        <v/>
      </c>
      <c r="T41" s="33" t="str">
        <f>IF($A41="","",SUMIFS(ORE!$F:$F,ORE!$B:$B,$B41,ORE!$D:$D,$D41))</f>
        <v/>
      </c>
      <c r="U41" s="35" t="str">
        <f t="shared" si="8"/>
        <v/>
      </c>
      <c r="V41" s="36" t="str">
        <f t="shared" si="9"/>
        <v/>
      </c>
    </row>
    <row r="42" spans="1:22" x14ac:dyDescent="0.3">
      <c r="A42" s="42"/>
      <c r="B42" s="42"/>
      <c r="C42" s="48"/>
      <c r="D42" s="42"/>
      <c r="E42" s="42"/>
      <c r="F42" s="42"/>
      <c r="G42" s="43"/>
      <c r="H42" s="43"/>
      <c r="I42" s="43"/>
      <c r="J42" s="42"/>
      <c r="K42" s="42"/>
      <c r="L42" s="49"/>
      <c r="M42" s="49"/>
      <c r="N42" s="33" t="str">
        <f>IF($A42="","",$M42*IFERROR(INDEX(SERVIZI!$M:$M,MATCH($B42,SERVIZI!$A:$A,0)),0))</f>
        <v/>
      </c>
      <c r="O42" s="42"/>
      <c r="P42" s="42"/>
      <c r="Q42" s="36" t="str">
        <f t="shared" ca="1" si="5"/>
        <v/>
      </c>
      <c r="R42" s="33" t="str">
        <f t="shared" ca="1" si="6"/>
        <v/>
      </c>
      <c r="S42" s="33" t="str">
        <f t="shared" si="7"/>
        <v/>
      </c>
      <c r="T42" s="33" t="str">
        <f>IF($A42="","",SUMIFS(ORE!$F:$F,ORE!$B:$B,$B42,ORE!$D:$D,$D42))</f>
        <v/>
      </c>
      <c r="U42" s="35" t="str">
        <f t="shared" si="8"/>
        <v/>
      </c>
      <c r="V42" s="36" t="str">
        <f t="shared" si="9"/>
        <v/>
      </c>
    </row>
    <row r="43" spans="1:22" x14ac:dyDescent="0.3">
      <c r="A43" s="42"/>
      <c r="B43" s="42"/>
      <c r="C43" s="48"/>
      <c r="D43" s="42"/>
      <c r="E43" s="42"/>
      <c r="F43" s="42"/>
      <c r="G43" s="43"/>
      <c r="H43" s="43"/>
      <c r="I43" s="43"/>
      <c r="J43" s="42"/>
      <c r="K43" s="42"/>
      <c r="L43" s="49"/>
      <c r="M43" s="49"/>
      <c r="N43" s="33" t="str">
        <f>IF($A43="","",$M43*IFERROR(INDEX(SERVIZI!$M:$M,MATCH($B43,SERVIZI!$A:$A,0)),0))</f>
        <v/>
      </c>
      <c r="O43" s="42"/>
      <c r="P43" s="42"/>
      <c r="Q43" s="36" t="str">
        <f t="shared" ca="1" si="5"/>
        <v/>
      </c>
      <c r="R43" s="33" t="str">
        <f t="shared" ca="1" si="6"/>
        <v/>
      </c>
      <c r="S43" s="33" t="str">
        <f t="shared" si="7"/>
        <v/>
      </c>
      <c r="T43" s="33" t="str">
        <f>IF($A43="","",SUMIFS(ORE!$F:$F,ORE!$B:$B,$B43,ORE!$D:$D,$D43))</f>
        <v/>
      </c>
      <c r="U43" s="35" t="str">
        <f t="shared" si="8"/>
        <v/>
      </c>
      <c r="V43" s="36" t="str">
        <f t="shared" si="9"/>
        <v/>
      </c>
    </row>
    <row r="44" spans="1:22" x14ac:dyDescent="0.3">
      <c r="A44" s="42"/>
      <c r="B44" s="42"/>
      <c r="C44" s="48"/>
      <c r="D44" s="42"/>
      <c r="E44" s="42"/>
      <c r="F44" s="42"/>
      <c r="G44" s="43"/>
      <c r="H44" s="43"/>
      <c r="I44" s="43"/>
      <c r="J44" s="42"/>
      <c r="K44" s="42"/>
      <c r="L44" s="49"/>
      <c r="M44" s="49"/>
      <c r="N44" s="33" t="str">
        <f>IF($A44="","",$M44*IFERROR(INDEX(SERVIZI!$M:$M,MATCH($B44,SERVIZI!$A:$A,0)),0))</f>
        <v/>
      </c>
      <c r="O44" s="42"/>
      <c r="P44" s="42"/>
      <c r="Q44" s="36" t="str">
        <f t="shared" ca="1" si="5"/>
        <v/>
      </c>
      <c r="R44" s="33" t="str">
        <f t="shared" ca="1" si="6"/>
        <v/>
      </c>
      <c r="S44" s="33" t="str">
        <f t="shared" si="7"/>
        <v/>
      </c>
      <c r="T44" s="33" t="str">
        <f>IF($A44="","",SUMIFS(ORE!$F:$F,ORE!$B:$B,$B44,ORE!$D:$D,$D44))</f>
        <v/>
      </c>
      <c r="U44" s="35" t="str">
        <f t="shared" si="8"/>
        <v/>
      </c>
      <c r="V44" s="36" t="str">
        <f t="shared" si="9"/>
        <v/>
      </c>
    </row>
    <row r="45" spans="1:22" x14ac:dyDescent="0.3">
      <c r="A45" s="42"/>
      <c r="B45" s="42"/>
      <c r="C45" s="48"/>
      <c r="D45" s="42"/>
      <c r="E45" s="42"/>
      <c r="F45" s="42"/>
      <c r="G45" s="43"/>
      <c r="H45" s="43"/>
      <c r="I45" s="43"/>
      <c r="J45" s="42"/>
      <c r="K45" s="42"/>
      <c r="L45" s="49"/>
      <c r="M45" s="49"/>
      <c r="N45" s="33" t="str">
        <f>IF($A45="","",$M45*IFERROR(INDEX(SERVIZI!$M:$M,MATCH($B45,SERVIZI!$A:$A,0)),0))</f>
        <v/>
      </c>
      <c r="O45" s="42"/>
      <c r="P45" s="42"/>
      <c r="Q45" s="36" t="str">
        <f t="shared" ca="1" si="5"/>
        <v/>
      </c>
      <c r="R45" s="33" t="str">
        <f t="shared" ca="1" si="6"/>
        <v/>
      </c>
      <c r="S45" s="33" t="str">
        <f t="shared" si="7"/>
        <v/>
      </c>
      <c r="T45" s="33" t="str">
        <f>IF($A45="","",SUMIFS(ORE!$F:$F,ORE!$B:$B,$B45,ORE!$D:$D,$D45))</f>
        <v/>
      </c>
      <c r="U45" s="35" t="str">
        <f t="shared" si="8"/>
        <v/>
      </c>
      <c r="V45" s="36" t="str">
        <f t="shared" si="9"/>
        <v/>
      </c>
    </row>
    <row r="46" spans="1:22" x14ac:dyDescent="0.3">
      <c r="A46" s="42"/>
      <c r="B46" s="42"/>
      <c r="C46" s="48"/>
      <c r="D46" s="42"/>
      <c r="E46" s="42"/>
      <c r="F46" s="42"/>
      <c r="G46" s="43"/>
      <c r="H46" s="43"/>
      <c r="I46" s="43"/>
      <c r="J46" s="42"/>
      <c r="K46" s="42"/>
      <c r="L46" s="49"/>
      <c r="M46" s="49"/>
      <c r="N46" s="33" t="str">
        <f>IF($A46="","",$M46*IFERROR(INDEX(SERVIZI!$M:$M,MATCH($B46,SERVIZI!$A:$A,0)),0))</f>
        <v/>
      </c>
      <c r="O46" s="42"/>
      <c r="P46" s="42"/>
      <c r="Q46" s="36" t="str">
        <f t="shared" ca="1" si="5"/>
        <v/>
      </c>
      <c r="R46" s="33" t="str">
        <f t="shared" ca="1" si="6"/>
        <v/>
      </c>
      <c r="S46" s="33" t="str">
        <f t="shared" si="7"/>
        <v/>
      </c>
      <c r="T46" s="33" t="str">
        <f>IF($A46="","",SUMIFS(ORE!$F:$F,ORE!$B:$B,$B46,ORE!$D:$D,$D46))</f>
        <v/>
      </c>
      <c r="U46" s="35" t="str">
        <f t="shared" si="8"/>
        <v/>
      </c>
      <c r="V46" s="36" t="str">
        <f t="shared" si="9"/>
        <v/>
      </c>
    </row>
    <row r="47" spans="1:22" x14ac:dyDescent="0.3">
      <c r="A47" s="42"/>
      <c r="B47" s="42"/>
      <c r="C47" s="48"/>
      <c r="D47" s="42"/>
      <c r="E47" s="42"/>
      <c r="F47" s="42"/>
      <c r="G47" s="43"/>
      <c r="H47" s="43"/>
      <c r="I47" s="43"/>
      <c r="J47" s="42"/>
      <c r="K47" s="42"/>
      <c r="L47" s="49"/>
      <c r="M47" s="49"/>
      <c r="N47" s="33" t="str">
        <f>IF($A47="","",$M47*IFERROR(INDEX(SERVIZI!$M:$M,MATCH($B47,SERVIZI!$A:$A,0)),0))</f>
        <v/>
      </c>
      <c r="O47" s="42"/>
      <c r="P47" s="42"/>
      <c r="Q47" s="36" t="str">
        <f t="shared" ca="1" si="5"/>
        <v/>
      </c>
      <c r="R47" s="33" t="str">
        <f t="shared" ca="1" si="6"/>
        <v/>
      </c>
      <c r="S47" s="33" t="str">
        <f t="shared" si="7"/>
        <v/>
      </c>
      <c r="T47" s="33" t="str">
        <f>IF($A47="","",SUMIFS(ORE!$F:$F,ORE!$B:$B,$B47,ORE!$D:$D,$D47))</f>
        <v/>
      </c>
      <c r="U47" s="35" t="str">
        <f t="shared" si="8"/>
        <v/>
      </c>
      <c r="V47" s="36" t="str">
        <f t="shared" si="9"/>
        <v/>
      </c>
    </row>
    <row r="48" spans="1:22" x14ac:dyDescent="0.3">
      <c r="A48" s="42"/>
      <c r="B48" s="42"/>
      <c r="C48" s="48"/>
      <c r="D48" s="42"/>
      <c r="E48" s="42"/>
      <c r="F48" s="42"/>
      <c r="G48" s="43"/>
      <c r="H48" s="43"/>
      <c r="I48" s="43"/>
      <c r="J48" s="42"/>
      <c r="K48" s="42"/>
      <c r="L48" s="49"/>
      <c r="M48" s="49"/>
      <c r="N48" s="33" t="str">
        <f>IF($A48="","",$M48*IFERROR(INDEX(SERVIZI!$M:$M,MATCH($B48,SERVIZI!$A:$A,0)),0))</f>
        <v/>
      </c>
      <c r="O48" s="42"/>
      <c r="P48" s="42"/>
      <c r="Q48" s="36" t="str">
        <f t="shared" ca="1" si="5"/>
        <v/>
      </c>
      <c r="R48" s="33" t="str">
        <f t="shared" ca="1" si="6"/>
        <v/>
      </c>
      <c r="S48" s="33" t="str">
        <f t="shared" si="7"/>
        <v/>
      </c>
      <c r="T48" s="33" t="str">
        <f>IF($A48="","",SUMIFS(ORE!$F:$F,ORE!$B:$B,$B48,ORE!$D:$D,$D48))</f>
        <v/>
      </c>
      <c r="U48" s="35" t="str">
        <f t="shared" si="8"/>
        <v/>
      </c>
      <c r="V48" s="36" t="str">
        <f t="shared" si="9"/>
        <v/>
      </c>
    </row>
    <row r="49" spans="1:22" x14ac:dyDescent="0.3">
      <c r="A49" s="42"/>
      <c r="B49" s="42"/>
      <c r="C49" s="48"/>
      <c r="D49" s="42"/>
      <c r="E49" s="42"/>
      <c r="F49" s="42"/>
      <c r="G49" s="43"/>
      <c r="H49" s="43"/>
      <c r="I49" s="43"/>
      <c r="J49" s="42"/>
      <c r="K49" s="42"/>
      <c r="L49" s="49"/>
      <c r="M49" s="49"/>
      <c r="N49" s="33" t="str">
        <f>IF($A49="","",$M49*IFERROR(INDEX(SERVIZI!$M:$M,MATCH($B49,SERVIZI!$A:$A,0)),0))</f>
        <v/>
      </c>
      <c r="O49" s="42"/>
      <c r="P49" s="42"/>
      <c r="Q49" s="36" t="str">
        <f t="shared" ca="1" si="5"/>
        <v/>
      </c>
      <c r="R49" s="33" t="str">
        <f t="shared" ca="1" si="6"/>
        <v/>
      </c>
      <c r="S49" s="33" t="str">
        <f t="shared" si="7"/>
        <v/>
      </c>
      <c r="T49" s="33" t="str">
        <f>IF($A49="","",SUMIFS(ORE!$F:$F,ORE!$B:$B,$B49,ORE!$D:$D,$D49))</f>
        <v/>
      </c>
      <c r="U49" s="35" t="str">
        <f t="shared" si="8"/>
        <v/>
      </c>
      <c r="V49" s="36" t="str">
        <f t="shared" si="9"/>
        <v/>
      </c>
    </row>
    <row r="50" spans="1:22" x14ac:dyDescent="0.3">
      <c r="A50" s="42"/>
      <c r="B50" s="42"/>
      <c r="C50" s="48"/>
      <c r="D50" s="42"/>
      <c r="E50" s="42"/>
      <c r="F50" s="42"/>
      <c r="G50" s="43"/>
      <c r="H50" s="43"/>
      <c r="I50" s="43"/>
      <c r="J50" s="42"/>
      <c r="K50" s="42"/>
      <c r="L50" s="49"/>
      <c r="M50" s="49"/>
      <c r="N50" s="33" t="str">
        <f>IF($A50="","",$M50*IFERROR(INDEX(SERVIZI!$M:$M,MATCH($B50,SERVIZI!$A:$A,0)),0))</f>
        <v/>
      </c>
      <c r="O50" s="42"/>
      <c r="P50" s="42"/>
      <c r="Q50" s="36" t="str">
        <f t="shared" ca="1" si="5"/>
        <v/>
      </c>
      <c r="R50" s="33" t="str">
        <f t="shared" ca="1" si="6"/>
        <v/>
      </c>
      <c r="S50" s="33" t="str">
        <f t="shared" si="7"/>
        <v/>
      </c>
      <c r="T50" s="33" t="str">
        <f>IF($A50="","",SUMIFS(ORE!$F:$F,ORE!$B:$B,$B50,ORE!$D:$D,$D50))</f>
        <v/>
      </c>
      <c r="U50" s="35" t="str">
        <f t="shared" si="8"/>
        <v/>
      </c>
      <c r="V50" s="36" t="str">
        <f t="shared" si="9"/>
        <v/>
      </c>
    </row>
    <row r="51" spans="1:22" x14ac:dyDescent="0.3">
      <c r="A51" s="42"/>
      <c r="B51" s="42"/>
      <c r="C51" s="48"/>
      <c r="D51" s="42"/>
      <c r="E51" s="42"/>
      <c r="F51" s="42"/>
      <c r="G51" s="43"/>
      <c r="H51" s="43"/>
      <c r="I51" s="43"/>
      <c r="J51" s="42"/>
      <c r="K51" s="42"/>
      <c r="L51" s="49"/>
      <c r="M51" s="49"/>
      <c r="N51" s="33" t="str">
        <f>IF($A51="","",$M51*IFERROR(INDEX(SERVIZI!$M:$M,MATCH($B51,SERVIZI!$A:$A,0)),0))</f>
        <v/>
      </c>
      <c r="O51" s="42"/>
      <c r="P51" s="42"/>
      <c r="Q51" s="36" t="str">
        <f t="shared" ca="1" si="5"/>
        <v/>
      </c>
      <c r="R51" s="33" t="str">
        <f t="shared" ca="1" si="6"/>
        <v/>
      </c>
      <c r="S51" s="33" t="str">
        <f t="shared" si="7"/>
        <v/>
      </c>
      <c r="T51" s="33" t="str">
        <f>IF($A51="","",SUMIFS(ORE!$F:$F,ORE!$B:$B,$B51,ORE!$D:$D,$D51))</f>
        <v/>
      </c>
      <c r="U51" s="35" t="str">
        <f t="shared" si="8"/>
        <v/>
      </c>
      <c r="V51" s="36" t="str">
        <f t="shared" si="9"/>
        <v/>
      </c>
    </row>
    <row r="52" spans="1:22" x14ac:dyDescent="0.3">
      <c r="A52" s="42"/>
      <c r="B52" s="42"/>
      <c r="C52" s="48"/>
      <c r="D52" s="42"/>
      <c r="E52" s="42"/>
      <c r="F52" s="42"/>
      <c r="G52" s="43"/>
      <c r="H52" s="43"/>
      <c r="I52" s="43"/>
      <c r="J52" s="42"/>
      <c r="K52" s="42"/>
      <c r="L52" s="49"/>
      <c r="M52" s="49"/>
      <c r="N52" s="33" t="str">
        <f>IF($A52="","",$M52*IFERROR(INDEX(SERVIZI!$M:$M,MATCH($B52,SERVIZI!$A:$A,0)),0))</f>
        <v/>
      </c>
      <c r="O52" s="42"/>
      <c r="P52" s="42"/>
      <c r="Q52" s="36" t="str">
        <f t="shared" ca="1" si="5"/>
        <v/>
      </c>
      <c r="R52" s="33" t="str">
        <f t="shared" ca="1" si="6"/>
        <v/>
      </c>
      <c r="S52" s="33" t="str">
        <f t="shared" si="7"/>
        <v/>
      </c>
      <c r="T52" s="33" t="str">
        <f>IF($A52="","",SUMIFS(ORE!$F:$F,ORE!$B:$B,$B52,ORE!$D:$D,$D52))</f>
        <v/>
      </c>
      <c r="U52" s="35" t="str">
        <f t="shared" si="8"/>
        <v/>
      </c>
      <c r="V52" s="36" t="str">
        <f t="shared" si="9"/>
        <v/>
      </c>
    </row>
    <row r="53" spans="1:22" x14ac:dyDescent="0.3">
      <c r="A53" s="42"/>
      <c r="B53" s="42"/>
      <c r="C53" s="48"/>
      <c r="D53" s="42"/>
      <c r="E53" s="42"/>
      <c r="F53" s="42"/>
      <c r="G53" s="43"/>
      <c r="H53" s="43"/>
      <c r="I53" s="43"/>
      <c r="J53" s="42"/>
      <c r="K53" s="42"/>
      <c r="L53" s="49"/>
      <c r="M53" s="49"/>
      <c r="N53" s="33" t="str">
        <f>IF($A53="","",$M53*IFERROR(INDEX(SERVIZI!$M:$M,MATCH($B53,SERVIZI!$A:$A,0)),0))</f>
        <v/>
      </c>
      <c r="O53" s="42"/>
      <c r="P53" s="42"/>
      <c r="Q53" s="36" t="str">
        <f t="shared" ca="1" si="5"/>
        <v/>
      </c>
      <c r="R53" s="33" t="str">
        <f t="shared" ca="1" si="6"/>
        <v/>
      </c>
      <c r="S53" s="33" t="str">
        <f t="shared" si="7"/>
        <v/>
      </c>
      <c r="T53" s="33" t="str">
        <f>IF($A53="","",SUMIFS(ORE!$F:$F,ORE!$B:$B,$B53,ORE!$D:$D,$D53))</f>
        <v/>
      </c>
      <c r="U53" s="35" t="str">
        <f t="shared" si="8"/>
        <v/>
      </c>
      <c r="V53" s="36" t="str">
        <f t="shared" si="9"/>
        <v/>
      </c>
    </row>
    <row r="54" spans="1:22" x14ac:dyDescent="0.3">
      <c r="A54" s="42"/>
      <c r="B54" s="42"/>
      <c r="C54" s="48"/>
      <c r="D54" s="42"/>
      <c r="E54" s="42"/>
      <c r="F54" s="42"/>
      <c r="G54" s="43"/>
      <c r="H54" s="43"/>
      <c r="I54" s="43"/>
      <c r="J54" s="42"/>
      <c r="K54" s="42"/>
      <c r="L54" s="49"/>
      <c r="M54" s="49"/>
      <c r="N54" s="33" t="str">
        <f>IF($A54="","",$M54*IFERROR(INDEX(SERVIZI!$M:$M,MATCH($B54,SERVIZI!$A:$A,0)),0))</f>
        <v/>
      </c>
      <c r="O54" s="42"/>
      <c r="P54" s="42"/>
      <c r="Q54" s="36" t="str">
        <f t="shared" ca="1" si="5"/>
        <v/>
      </c>
      <c r="R54" s="33" t="str">
        <f t="shared" ca="1" si="6"/>
        <v/>
      </c>
      <c r="S54" s="33" t="str">
        <f t="shared" si="7"/>
        <v/>
      </c>
      <c r="T54" s="33" t="str">
        <f>IF($A54="","",SUMIFS(ORE!$F:$F,ORE!$B:$B,$B54,ORE!$D:$D,$D54))</f>
        <v/>
      </c>
      <c r="U54" s="35" t="str">
        <f t="shared" si="8"/>
        <v/>
      </c>
      <c r="V54" s="36" t="str">
        <f t="shared" si="9"/>
        <v/>
      </c>
    </row>
    <row r="55" spans="1:22" x14ac:dyDescent="0.3">
      <c r="A55" s="42"/>
      <c r="B55" s="42"/>
      <c r="C55" s="48"/>
      <c r="D55" s="42"/>
      <c r="E55" s="42"/>
      <c r="F55" s="42"/>
      <c r="G55" s="43"/>
      <c r="H55" s="43"/>
      <c r="I55" s="43"/>
      <c r="J55" s="42"/>
      <c r="K55" s="42"/>
      <c r="L55" s="49"/>
      <c r="M55" s="49"/>
      <c r="N55" s="33" t="str">
        <f>IF($A55="","",$M55*IFERROR(INDEX(SERVIZI!$M:$M,MATCH($B55,SERVIZI!$A:$A,0)),0))</f>
        <v/>
      </c>
      <c r="O55" s="42"/>
      <c r="P55" s="42"/>
      <c r="Q55" s="36" t="str">
        <f t="shared" ca="1" si="5"/>
        <v/>
      </c>
      <c r="R55" s="33" t="str">
        <f t="shared" ca="1" si="6"/>
        <v/>
      </c>
      <c r="S55" s="33" t="str">
        <f t="shared" si="7"/>
        <v/>
      </c>
      <c r="T55" s="33" t="str">
        <f>IF($A55="","",SUMIFS(ORE!$F:$F,ORE!$B:$B,$B55,ORE!$D:$D,$D55))</f>
        <v/>
      </c>
      <c r="U55" s="35" t="str">
        <f t="shared" si="8"/>
        <v/>
      </c>
      <c r="V55" s="36" t="str">
        <f t="shared" si="9"/>
        <v/>
      </c>
    </row>
    <row r="56" spans="1:22" x14ac:dyDescent="0.3">
      <c r="A56" s="42"/>
      <c r="B56" s="42"/>
      <c r="C56" s="48"/>
      <c r="D56" s="42"/>
      <c r="E56" s="42"/>
      <c r="F56" s="42"/>
      <c r="G56" s="43"/>
      <c r="H56" s="43"/>
      <c r="I56" s="43"/>
      <c r="J56" s="42"/>
      <c r="K56" s="42"/>
      <c r="L56" s="49"/>
      <c r="M56" s="49"/>
      <c r="N56" s="33" t="str">
        <f>IF($A56="","",$M56*IFERROR(INDEX(SERVIZI!$M:$M,MATCH($B56,SERVIZI!$A:$A,0)),0))</f>
        <v/>
      </c>
      <c r="O56" s="42"/>
      <c r="P56" s="42"/>
      <c r="Q56" s="36" t="str">
        <f t="shared" ca="1" si="5"/>
        <v/>
      </c>
      <c r="R56" s="33" t="str">
        <f t="shared" ca="1" si="6"/>
        <v/>
      </c>
      <c r="S56" s="33" t="str">
        <f t="shared" si="7"/>
        <v/>
      </c>
      <c r="T56" s="33" t="str">
        <f>IF($A56="","",SUMIFS(ORE!$F:$F,ORE!$B:$B,$B56,ORE!$D:$D,$D56))</f>
        <v/>
      </c>
      <c r="U56" s="35" t="str">
        <f t="shared" si="8"/>
        <v/>
      </c>
      <c r="V56" s="36" t="str">
        <f t="shared" si="9"/>
        <v/>
      </c>
    </row>
    <row r="57" spans="1:22" x14ac:dyDescent="0.3">
      <c r="A57" s="42"/>
      <c r="B57" s="42"/>
      <c r="C57" s="48"/>
      <c r="D57" s="42"/>
      <c r="E57" s="42"/>
      <c r="F57" s="42"/>
      <c r="G57" s="43"/>
      <c r="H57" s="43"/>
      <c r="I57" s="43"/>
      <c r="J57" s="42"/>
      <c r="K57" s="42"/>
      <c r="L57" s="49"/>
      <c r="M57" s="49"/>
      <c r="N57" s="33" t="str">
        <f>IF($A57="","",$M57*IFERROR(INDEX(SERVIZI!$M:$M,MATCH($B57,SERVIZI!$A:$A,0)),0))</f>
        <v/>
      </c>
      <c r="O57" s="42"/>
      <c r="P57" s="42"/>
      <c r="Q57" s="36" t="str">
        <f t="shared" ca="1" si="5"/>
        <v/>
      </c>
      <c r="R57" s="33" t="str">
        <f t="shared" ca="1" si="6"/>
        <v/>
      </c>
      <c r="S57" s="33" t="str">
        <f t="shared" si="7"/>
        <v/>
      </c>
      <c r="T57" s="33" t="str">
        <f>IF($A57="","",SUMIFS(ORE!$F:$F,ORE!$B:$B,$B57,ORE!$D:$D,$D57))</f>
        <v/>
      </c>
      <c r="U57" s="35" t="str">
        <f t="shared" si="8"/>
        <v/>
      </c>
      <c r="V57" s="36" t="str">
        <f t="shared" si="9"/>
        <v/>
      </c>
    </row>
    <row r="58" spans="1:22" x14ac:dyDescent="0.3">
      <c r="A58" s="42"/>
      <c r="B58" s="42"/>
      <c r="C58" s="48"/>
      <c r="D58" s="42"/>
      <c r="E58" s="42"/>
      <c r="F58" s="42"/>
      <c r="G58" s="43"/>
      <c r="H58" s="43"/>
      <c r="I58" s="43"/>
      <c r="J58" s="42"/>
      <c r="K58" s="42"/>
      <c r="L58" s="49"/>
      <c r="M58" s="49"/>
      <c r="N58" s="33" t="str">
        <f>IF($A58="","",$M58*IFERROR(INDEX(SERVIZI!$M:$M,MATCH($B58,SERVIZI!$A:$A,0)),0))</f>
        <v/>
      </c>
      <c r="O58" s="42"/>
      <c r="P58" s="42"/>
      <c r="Q58" s="36" t="str">
        <f t="shared" ca="1" si="5"/>
        <v/>
      </c>
      <c r="R58" s="33" t="str">
        <f t="shared" ca="1" si="6"/>
        <v/>
      </c>
      <c r="S58" s="33" t="str">
        <f t="shared" si="7"/>
        <v/>
      </c>
      <c r="T58" s="33" t="str">
        <f>IF($A58="","",SUMIFS(ORE!$F:$F,ORE!$B:$B,$B58,ORE!$D:$D,$D58))</f>
        <v/>
      </c>
      <c r="U58" s="35" t="str">
        <f t="shared" si="8"/>
        <v/>
      </c>
      <c r="V58" s="36" t="str">
        <f t="shared" si="9"/>
        <v/>
      </c>
    </row>
    <row r="59" spans="1:22" x14ac:dyDescent="0.3">
      <c r="A59" s="42"/>
      <c r="B59" s="42"/>
      <c r="C59" s="48"/>
      <c r="D59" s="42"/>
      <c r="E59" s="42"/>
      <c r="F59" s="42"/>
      <c r="G59" s="43"/>
      <c r="H59" s="43"/>
      <c r="I59" s="43"/>
      <c r="J59" s="42"/>
      <c r="K59" s="42"/>
      <c r="L59" s="49"/>
      <c r="M59" s="49"/>
      <c r="N59" s="33" t="str">
        <f>IF($A59="","",$M59*IFERROR(INDEX(SERVIZI!$M:$M,MATCH($B59,SERVIZI!$A:$A,0)),0))</f>
        <v/>
      </c>
      <c r="O59" s="42"/>
      <c r="P59" s="42"/>
      <c r="Q59" s="36" t="str">
        <f t="shared" ca="1" si="5"/>
        <v/>
      </c>
      <c r="R59" s="33" t="str">
        <f t="shared" ca="1" si="6"/>
        <v/>
      </c>
      <c r="S59" s="33" t="str">
        <f t="shared" si="7"/>
        <v/>
      </c>
      <c r="T59" s="33" t="str">
        <f>IF($A59="","",SUMIFS(ORE!$F:$F,ORE!$B:$B,$B59,ORE!$D:$D,$D59))</f>
        <v/>
      </c>
      <c r="U59" s="35" t="str">
        <f t="shared" si="8"/>
        <v/>
      </c>
      <c r="V59" s="36" t="str">
        <f t="shared" si="9"/>
        <v/>
      </c>
    </row>
    <row r="60" spans="1:22" x14ac:dyDescent="0.3">
      <c r="A60" s="42"/>
      <c r="B60" s="42"/>
      <c r="C60" s="48"/>
      <c r="D60" s="42"/>
      <c r="E60" s="42"/>
      <c r="F60" s="42"/>
      <c r="G60" s="43"/>
      <c r="H60" s="43"/>
      <c r="I60" s="43"/>
      <c r="J60" s="42"/>
      <c r="K60" s="42"/>
      <c r="L60" s="49"/>
      <c r="M60" s="49"/>
      <c r="N60" s="33" t="str">
        <f>IF($A60="","",$M60*IFERROR(INDEX(SERVIZI!$M:$M,MATCH($B60,SERVIZI!$A:$A,0)),0))</f>
        <v/>
      </c>
      <c r="O60" s="42"/>
      <c r="P60" s="42"/>
      <c r="Q60" s="36" t="str">
        <f t="shared" ca="1" si="5"/>
        <v/>
      </c>
      <c r="R60" s="33" t="str">
        <f t="shared" ca="1" si="6"/>
        <v/>
      </c>
      <c r="S60" s="33" t="str">
        <f t="shared" si="7"/>
        <v/>
      </c>
      <c r="T60" s="33" t="str">
        <f>IF($A60="","",SUMIFS(ORE!$F:$F,ORE!$B:$B,$B60,ORE!$D:$D,$D60))</f>
        <v/>
      </c>
      <c r="U60" s="35" t="str">
        <f t="shared" si="8"/>
        <v/>
      </c>
      <c r="V60" s="36" t="str">
        <f t="shared" si="9"/>
        <v/>
      </c>
    </row>
    <row r="61" spans="1:22" x14ac:dyDescent="0.3">
      <c r="A61" s="42"/>
      <c r="B61" s="42"/>
      <c r="C61" s="48"/>
      <c r="D61" s="42"/>
      <c r="E61" s="42"/>
      <c r="F61" s="42"/>
      <c r="G61" s="43"/>
      <c r="H61" s="43"/>
      <c r="I61" s="43"/>
      <c r="J61" s="42"/>
      <c r="K61" s="42"/>
      <c r="L61" s="49"/>
      <c r="M61" s="49"/>
      <c r="N61" s="33" t="str">
        <f>IF($A61="","",$M61*IFERROR(INDEX(SERVIZI!$M:$M,MATCH($B61,SERVIZI!$A:$A,0)),0))</f>
        <v/>
      </c>
      <c r="O61" s="42"/>
      <c r="P61" s="42"/>
      <c r="Q61" s="36" t="str">
        <f t="shared" ca="1" si="5"/>
        <v/>
      </c>
      <c r="R61" s="33" t="str">
        <f t="shared" ca="1" si="6"/>
        <v/>
      </c>
      <c r="S61" s="33" t="str">
        <f t="shared" si="7"/>
        <v/>
      </c>
      <c r="T61" s="33" t="str">
        <f>IF($A61="","",SUMIFS(ORE!$F:$F,ORE!$B:$B,$B61,ORE!$D:$D,$D61))</f>
        <v/>
      </c>
      <c r="U61" s="35" t="str">
        <f t="shared" si="8"/>
        <v/>
      </c>
      <c r="V61" s="36" t="str">
        <f t="shared" si="9"/>
        <v/>
      </c>
    </row>
    <row r="62" spans="1:22" x14ac:dyDescent="0.3">
      <c r="A62" s="42"/>
      <c r="B62" s="42"/>
      <c r="C62" s="48"/>
      <c r="D62" s="42"/>
      <c r="E62" s="42"/>
      <c r="F62" s="42"/>
      <c r="G62" s="43"/>
      <c r="H62" s="43"/>
      <c r="I62" s="43"/>
      <c r="J62" s="42"/>
      <c r="K62" s="42"/>
      <c r="L62" s="49"/>
      <c r="M62" s="49"/>
      <c r="N62" s="33" t="str">
        <f>IF($A62="","",$M62*IFERROR(INDEX(SERVIZI!$M:$M,MATCH($B62,SERVIZI!$A:$A,0)),0))</f>
        <v/>
      </c>
      <c r="O62" s="42"/>
      <c r="P62" s="42"/>
      <c r="Q62" s="36" t="str">
        <f t="shared" ca="1" si="5"/>
        <v/>
      </c>
      <c r="R62" s="33" t="str">
        <f t="shared" ca="1" si="6"/>
        <v/>
      </c>
      <c r="S62" s="33" t="str">
        <f t="shared" si="7"/>
        <v/>
      </c>
      <c r="T62" s="33" t="str">
        <f>IF($A62="","",SUMIFS(ORE!$F:$F,ORE!$B:$B,$B62,ORE!$D:$D,$D62))</f>
        <v/>
      </c>
      <c r="U62" s="35" t="str">
        <f t="shared" si="8"/>
        <v/>
      </c>
      <c r="V62" s="36" t="str">
        <f t="shared" si="9"/>
        <v/>
      </c>
    </row>
    <row r="63" spans="1:22" x14ac:dyDescent="0.3">
      <c r="A63" s="42"/>
      <c r="B63" s="42"/>
      <c r="C63" s="48"/>
      <c r="D63" s="42"/>
      <c r="E63" s="42"/>
      <c r="F63" s="42"/>
      <c r="G63" s="43"/>
      <c r="H63" s="43"/>
      <c r="I63" s="43"/>
      <c r="J63" s="42"/>
      <c r="K63" s="42"/>
      <c r="L63" s="49"/>
      <c r="M63" s="49"/>
      <c r="N63" s="33" t="str">
        <f>IF($A63="","",$M63*IFERROR(INDEX(SERVIZI!$M:$M,MATCH($B63,SERVIZI!$A:$A,0)),0))</f>
        <v/>
      </c>
      <c r="O63" s="42"/>
      <c r="P63" s="42"/>
      <c r="Q63" s="36" t="str">
        <f t="shared" ca="1" si="5"/>
        <v/>
      </c>
      <c r="R63" s="33" t="str">
        <f t="shared" ca="1" si="6"/>
        <v/>
      </c>
      <c r="S63" s="33" t="str">
        <f t="shared" si="7"/>
        <v/>
      </c>
      <c r="T63" s="33" t="str">
        <f>IF($A63="","",SUMIFS(ORE!$F:$F,ORE!$B:$B,$B63,ORE!$D:$D,$D63))</f>
        <v/>
      </c>
      <c r="U63" s="35" t="str">
        <f t="shared" si="8"/>
        <v/>
      </c>
      <c r="V63" s="36" t="str">
        <f t="shared" si="9"/>
        <v/>
      </c>
    </row>
    <row r="64" spans="1:22" x14ac:dyDescent="0.3">
      <c r="A64" s="42"/>
      <c r="B64" s="42"/>
      <c r="C64" s="48"/>
      <c r="D64" s="42"/>
      <c r="E64" s="42"/>
      <c r="F64" s="42"/>
      <c r="G64" s="43"/>
      <c r="H64" s="43"/>
      <c r="I64" s="43"/>
      <c r="J64" s="42"/>
      <c r="K64" s="42"/>
      <c r="L64" s="49"/>
      <c r="M64" s="49"/>
      <c r="N64" s="33" t="str">
        <f>IF($A64="","",$M64*IFERROR(INDEX(SERVIZI!$M:$M,MATCH($B64,SERVIZI!$A:$A,0)),0))</f>
        <v/>
      </c>
      <c r="O64" s="42"/>
      <c r="P64" s="42"/>
      <c r="Q64" s="36" t="str">
        <f t="shared" ca="1" si="5"/>
        <v/>
      </c>
      <c r="R64" s="33" t="str">
        <f t="shared" ca="1" si="6"/>
        <v/>
      </c>
      <c r="S64" s="33" t="str">
        <f t="shared" si="7"/>
        <v/>
      </c>
      <c r="T64" s="33" t="str">
        <f>IF($A64="","",SUMIFS(ORE!$F:$F,ORE!$B:$B,$B64,ORE!$D:$D,$D64))</f>
        <v/>
      </c>
      <c r="U64" s="35" t="str">
        <f t="shared" si="8"/>
        <v/>
      </c>
      <c r="V64" s="36" t="str">
        <f t="shared" si="9"/>
        <v/>
      </c>
    </row>
    <row r="65" spans="1:22" x14ac:dyDescent="0.3">
      <c r="A65" s="42"/>
      <c r="B65" s="42"/>
      <c r="C65" s="48"/>
      <c r="D65" s="42"/>
      <c r="E65" s="42"/>
      <c r="F65" s="42"/>
      <c r="G65" s="43"/>
      <c r="H65" s="43"/>
      <c r="I65" s="43"/>
      <c r="J65" s="42"/>
      <c r="K65" s="42"/>
      <c r="L65" s="49"/>
      <c r="M65" s="49"/>
      <c r="N65" s="33" t="str">
        <f>IF($A65="","",$M65*IFERROR(INDEX(SERVIZI!$M:$M,MATCH($B65,SERVIZI!$A:$A,0)),0))</f>
        <v/>
      </c>
      <c r="O65" s="42"/>
      <c r="P65" s="42"/>
      <c r="Q65" s="36" t="str">
        <f t="shared" ca="1" si="5"/>
        <v/>
      </c>
      <c r="R65" s="33" t="str">
        <f t="shared" ca="1" si="6"/>
        <v/>
      </c>
      <c r="S65" s="33" t="str">
        <f t="shared" si="7"/>
        <v/>
      </c>
      <c r="T65" s="33" t="str">
        <f>IF($A65="","",SUMIFS(ORE!$F:$F,ORE!$B:$B,$B65,ORE!$D:$D,$D65))</f>
        <v/>
      </c>
      <c r="U65" s="35" t="str">
        <f t="shared" si="8"/>
        <v/>
      </c>
      <c r="V65" s="36" t="str">
        <f t="shared" si="9"/>
        <v/>
      </c>
    </row>
    <row r="66" spans="1:22" x14ac:dyDescent="0.3">
      <c r="A66" s="42"/>
      <c r="B66" s="42"/>
      <c r="C66" s="48"/>
      <c r="D66" s="42"/>
      <c r="E66" s="42"/>
      <c r="F66" s="42"/>
      <c r="G66" s="43"/>
      <c r="H66" s="43"/>
      <c r="I66" s="43"/>
      <c r="J66" s="42"/>
      <c r="K66" s="42"/>
      <c r="L66" s="49"/>
      <c r="M66" s="49"/>
      <c r="N66" s="33" t="str">
        <f>IF($A66="","",$M66*IFERROR(INDEX(SERVIZI!$M:$M,MATCH($B66,SERVIZI!$A:$A,0)),0))</f>
        <v/>
      </c>
      <c r="O66" s="42"/>
      <c r="P66" s="42"/>
      <c r="Q66" s="36" t="str">
        <f t="shared" ref="Q66:Q97" ca="1" si="10">IF($A66="","",IF($L66&gt;=1,"Completata",IF(AND($H66&lt;&gt;"",$H66&lt;TODAY()),"IN RITARDO",IF($L66&gt;0,"In corso","Da avviare"))))</f>
        <v/>
      </c>
      <c r="R66" s="33" t="str">
        <f t="shared" ref="R66:R97" ca="1" si="11">IF($A66="","",IF(AND($H66&lt;&gt;"",$L66&lt;1,$H66&lt;TODAY()),TODAY()-$H66,0))</f>
        <v/>
      </c>
      <c r="S66" s="33" t="str">
        <f t="shared" ref="S66:S97" si="12">IF($A66="","",IF(AND($G66&lt;&gt;"",$H66&lt;&gt;""),$H66-$G66,0))</f>
        <v/>
      </c>
      <c r="T66" s="33" t="str">
        <f>IF($A66="","",SUMIFS(ORE!$F:$F,ORE!$B:$B,$B66,ORE!$D:$D,$D66))</f>
        <v/>
      </c>
      <c r="U66" s="35" t="str">
        <f t="shared" ref="U66:U97" si="13">IF($A66="","",IFERROR($T66/$N66,0))</f>
        <v/>
      </c>
      <c r="V66" s="36" t="str">
        <f t="shared" ref="V66:V97" si="14">IF($A66="","",IF(AND($U66&gt;$L66+0.2,$N66&gt;0),"ORE SOPRA AVANZAMENTO",IF($Q66="IN RITARDO","IN RITARDO","OK")))</f>
        <v/>
      </c>
    </row>
    <row r="67" spans="1:22" x14ac:dyDescent="0.3">
      <c r="A67" s="42"/>
      <c r="B67" s="42"/>
      <c r="C67" s="48"/>
      <c r="D67" s="42"/>
      <c r="E67" s="42"/>
      <c r="F67" s="42"/>
      <c r="G67" s="43"/>
      <c r="H67" s="43"/>
      <c r="I67" s="43"/>
      <c r="J67" s="42"/>
      <c r="K67" s="42"/>
      <c r="L67" s="49"/>
      <c r="M67" s="49"/>
      <c r="N67" s="33" t="str">
        <f>IF($A67="","",$M67*IFERROR(INDEX(SERVIZI!$M:$M,MATCH($B67,SERVIZI!$A:$A,0)),0))</f>
        <v/>
      </c>
      <c r="O67" s="42"/>
      <c r="P67" s="42"/>
      <c r="Q67" s="36" t="str">
        <f t="shared" ca="1" si="10"/>
        <v/>
      </c>
      <c r="R67" s="33" t="str">
        <f t="shared" ca="1" si="11"/>
        <v/>
      </c>
      <c r="S67" s="33" t="str">
        <f t="shared" si="12"/>
        <v/>
      </c>
      <c r="T67" s="33" t="str">
        <f>IF($A67="","",SUMIFS(ORE!$F:$F,ORE!$B:$B,$B67,ORE!$D:$D,$D67))</f>
        <v/>
      </c>
      <c r="U67" s="35" t="str">
        <f t="shared" si="13"/>
        <v/>
      </c>
      <c r="V67" s="36" t="str">
        <f t="shared" si="14"/>
        <v/>
      </c>
    </row>
    <row r="68" spans="1:22" x14ac:dyDescent="0.3">
      <c r="A68" s="42"/>
      <c r="B68" s="42"/>
      <c r="C68" s="48"/>
      <c r="D68" s="42"/>
      <c r="E68" s="42"/>
      <c r="F68" s="42"/>
      <c r="G68" s="43"/>
      <c r="H68" s="43"/>
      <c r="I68" s="43"/>
      <c r="J68" s="42"/>
      <c r="K68" s="42"/>
      <c r="L68" s="49"/>
      <c r="M68" s="49"/>
      <c r="N68" s="33" t="str">
        <f>IF($A68="","",$M68*IFERROR(INDEX(SERVIZI!$M:$M,MATCH($B68,SERVIZI!$A:$A,0)),0))</f>
        <v/>
      </c>
      <c r="O68" s="42"/>
      <c r="P68" s="42"/>
      <c r="Q68" s="36" t="str">
        <f t="shared" ca="1" si="10"/>
        <v/>
      </c>
      <c r="R68" s="33" t="str">
        <f t="shared" ca="1" si="11"/>
        <v/>
      </c>
      <c r="S68" s="33" t="str">
        <f t="shared" si="12"/>
        <v/>
      </c>
      <c r="T68" s="33" t="str">
        <f>IF($A68="","",SUMIFS(ORE!$F:$F,ORE!$B:$B,$B68,ORE!$D:$D,$D68))</f>
        <v/>
      </c>
      <c r="U68" s="35" t="str">
        <f t="shared" si="13"/>
        <v/>
      </c>
      <c r="V68" s="36" t="str">
        <f t="shared" si="14"/>
        <v/>
      </c>
    </row>
    <row r="69" spans="1:22" x14ac:dyDescent="0.3">
      <c r="A69" s="42"/>
      <c r="B69" s="42"/>
      <c r="C69" s="48"/>
      <c r="D69" s="42"/>
      <c r="E69" s="42"/>
      <c r="F69" s="42"/>
      <c r="G69" s="43"/>
      <c r="H69" s="43"/>
      <c r="I69" s="43"/>
      <c r="J69" s="42"/>
      <c r="K69" s="42"/>
      <c r="L69" s="49"/>
      <c r="M69" s="49"/>
      <c r="N69" s="33" t="str">
        <f>IF($A69="","",$M69*IFERROR(INDEX(SERVIZI!$M:$M,MATCH($B69,SERVIZI!$A:$A,0)),0))</f>
        <v/>
      </c>
      <c r="O69" s="42"/>
      <c r="P69" s="42"/>
      <c r="Q69" s="36" t="str">
        <f t="shared" ca="1" si="10"/>
        <v/>
      </c>
      <c r="R69" s="33" t="str">
        <f t="shared" ca="1" si="11"/>
        <v/>
      </c>
      <c r="S69" s="33" t="str">
        <f t="shared" si="12"/>
        <v/>
      </c>
      <c r="T69" s="33" t="str">
        <f>IF($A69="","",SUMIFS(ORE!$F:$F,ORE!$B:$B,$B69,ORE!$D:$D,$D69))</f>
        <v/>
      </c>
      <c r="U69" s="35" t="str">
        <f t="shared" si="13"/>
        <v/>
      </c>
      <c r="V69" s="36" t="str">
        <f t="shared" si="14"/>
        <v/>
      </c>
    </row>
    <row r="70" spans="1:22" x14ac:dyDescent="0.3">
      <c r="A70" s="42"/>
      <c r="B70" s="42"/>
      <c r="C70" s="48"/>
      <c r="D70" s="42"/>
      <c r="E70" s="42"/>
      <c r="F70" s="42"/>
      <c r="G70" s="43"/>
      <c r="H70" s="43"/>
      <c r="I70" s="43"/>
      <c r="J70" s="42"/>
      <c r="K70" s="42"/>
      <c r="L70" s="49"/>
      <c r="M70" s="49"/>
      <c r="N70" s="33" t="str">
        <f>IF($A70="","",$M70*IFERROR(INDEX(SERVIZI!$M:$M,MATCH($B70,SERVIZI!$A:$A,0)),0))</f>
        <v/>
      </c>
      <c r="O70" s="42"/>
      <c r="P70" s="42"/>
      <c r="Q70" s="36" t="str">
        <f t="shared" ca="1" si="10"/>
        <v/>
      </c>
      <c r="R70" s="33" t="str">
        <f t="shared" ca="1" si="11"/>
        <v/>
      </c>
      <c r="S70" s="33" t="str">
        <f t="shared" si="12"/>
        <v/>
      </c>
      <c r="T70" s="33" t="str">
        <f>IF($A70="","",SUMIFS(ORE!$F:$F,ORE!$B:$B,$B70,ORE!$D:$D,$D70))</f>
        <v/>
      </c>
      <c r="U70" s="35" t="str">
        <f t="shared" si="13"/>
        <v/>
      </c>
      <c r="V70" s="36" t="str">
        <f t="shared" si="14"/>
        <v/>
      </c>
    </row>
    <row r="71" spans="1:22" x14ac:dyDescent="0.3">
      <c r="A71" s="42"/>
      <c r="B71" s="42"/>
      <c r="C71" s="48"/>
      <c r="D71" s="42"/>
      <c r="E71" s="42"/>
      <c r="F71" s="42"/>
      <c r="G71" s="43"/>
      <c r="H71" s="43"/>
      <c r="I71" s="43"/>
      <c r="J71" s="42"/>
      <c r="K71" s="42"/>
      <c r="L71" s="49"/>
      <c r="M71" s="49"/>
      <c r="N71" s="33" t="str">
        <f>IF($A71="","",$M71*IFERROR(INDEX(SERVIZI!$M:$M,MATCH($B71,SERVIZI!$A:$A,0)),0))</f>
        <v/>
      </c>
      <c r="O71" s="42"/>
      <c r="P71" s="42"/>
      <c r="Q71" s="36" t="str">
        <f t="shared" ca="1" si="10"/>
        <v/>
      </c>
      <c r="R71" s="33" t="str">
        <f t="shared" ca="1" si="11"/>
        <v/>
      </c>
      <c r="S71" s="33" t="str">
        <f t="shared" si="12"/>
        <v/>
      </c>
      <c r="T71" s="33" t="str">
        <f>IF($A71="","",SUMIFS(ORE!$F:$F,ORE!$B:$B,$B71,ORE!$D:$D,$D71))</f>
        <v/>
      </c>
      <c r="U71" s="35" t="str">
        <f t="shared" si="13"/>
        <v/>
      </c>
      <c r="V71" s="36" t="str">
        <f t="shared" si="14"/>
        <v/>
      </c>
    </row>
    <row r="72" spans="1:22" x14ac:dyDescent="0.3">
      <c r="A72" s="42"/>
      <c r="B72" s="42"/>
      <c r="C72" s="48"/>
      <c r="D72" s="42"/>
      <c r="E72" s="42"/>
      <c r="F72" s="42"/>
      <c r="G72" s="43"/>
      <c r="H72" s="43"/>
      <c r="I72" s="43"/>
      <c r="J72" s="42"/>
      <c r="K72" s="42"/>
      <c r="L72" s="49"/>
      <c r="M72" s="49"/>
      <c r="N72" s="33" t="str">
        <f>IF($A72="","",$M72*IFERROR(INDEX(SERVIZI!$M:$M,MATCH($B72,SERVIZI!$A:$A,0)),0))</f>
        <v/>
      </c>
      <c r="O72" s="42"/>
      <c r="P72" s="42"/>
      <c r="Q72" s="36" t="str">
        <f t="shared" ca="1" si="10"/>
        <v/>
      </c>
      <c r="R72" s="33" t="str">
        <f t="shared" ca="1" si="11"/>
        <v/>
      </c>
      <c r="S72" s="33" t="str">
        <f t="shared" si="12"/>
        <v/>
      </c>
      <c r="T72" s="33" t="str">
        <f>IF($A72="","",SUMIFS(ORE!$F:$F,ORE!$B:$B,$B72,ORE!$D:$D,$D72))</f>
        <v/>
      </c>
      <c r="U72" s="35" t="str">
        <f t="shared" si="13"/>
        <v/>
      </c>
      <c r="V72" s="36" t="str">
        <f t="shared" si="14"/>
        <v/>
      </c>
    </row>
    <row r="73" spans="1:22" x14ac:dyDescent="0.3">
      <c r="A73" s="42"/>
      <c r="B73" s="42"/>
      <c r="C73" s="48"/>
      <c r="D73" s="42"/>
      <c r="E73" s="42"/>
      <c r="F73" s="42"/>
      <c r="G73" s="43"/>
      <c r="H73" s="43"/>
      <c r="I73" s="43"/>
      <c r="J73" s="42"/>
      <c r="K73" s="42"/>
      <c r="L73" s="49"/>
      <c r="M73" s="49"/>
      <c r="N73" s="33" t="str">
        <f>IF($A73="","",$M73*IFERROR(INDEX(SERVIZI!$M:$M,MATCH($B73,SERVIZI!$A:$A,0)),0))</f>
        <v/>
      </c>
      <c r="O73" s="42"/>
      <c r="P73" s="42"/>
      <c r="Q73" s="36" t="str">
        <f t="shared" ca="1" si="10"/>
        <v/>
      </c>
      <c r="R73" s="33" t="str">
        <f t="shared" ca="1" si="11"/>
        <v/>
      </c>
      <c r="S73" s="33" t="str">
        <f t="shared" si="12"/>
        <v/>
      </c>
      <c r="T73" s="33" t="str">
        <f>IF($A73="","",SUMIFS(ORE!$F:$F,ORE!$B:$B,$B73,ORE!$D:$D,$D73))</f>
        <v/>
      </c>
      <c r="U73" s="35" t="str">
        <f t="shared" si="13"/>
        <v/>
      </c>
      <c r="V73" s="36" t="str">
        <f t="shared" si="14"/>
        <v/>
      </c>
    </row>
    <row r="74" spans="1:22" x14ac:dyDescent="0.3">
      <c r="A74" s="42"/>
      <c r="B74" s="42"/>
      <c r="C74" s="48"/>
      <c r="D74" s="42"/>
      <c r="E74" s="42"/>
      <c r="F74" s="42"/>
      <c r="G74" s="43"/>
      <c r="H74" s="43"/>
      <c r="I74" s="43"/>
      <c r="J74" s="42"/>
      <c r="K74" s="42"/>
      <c r="L74" s="49"/>
      <c r="M74" s="49"/>
      <c r="N74" s="33" t="str">
        <f>IF($A74="","",$M74*IFERROR(INDEX(SERVIZI!$M:$M,MATCH($B74,SERVIZI!$A:$A,0)),0))</f>
        <v/>
      </c>
      <c r="O74" s="42"/>
      <c r="P74" s="42"/>
      <c r="Q74" s="36" t="str">
        <f t="shared" ca="1" si="10"/>
        <v/>
      </c>
      <c r="R74" s="33" t="str">
        <f t="shared" ca="1" si="11"/>
        <v/>
      </c>
      <c r="S74" s="33" t="str">
        <f t="shared" si="12"/>
        <v/>
      </c>
      <c r="T74" s="33" t="str">
        <f>IF($A74="","",SUMIFS(ORE!$F:$F,ORE!$B:$B,$B74,ORE!$D:$D,$D74))</f>
        <v/>
      </c>
      <c r="U74" s="35" t="str">
        <f t="shared" si="13"/>
        <v/>
      </c>
      <c r="V74" s="36" t="str">
        <f t="shared" si="14"/>
        <v/>
      </c>
    </row>
    <row r="75" spans="1:22" x14ac:dyDescent="0.3">
      <c r="A75" s="42"/>
      <c r="B75" s="42"/>
      <c r="C75" s="48"/>
      <c r="D75" s="42"/>
      <c r="E75" s="42"/>
      <c r="F75" s="42"/>
      <c r="G75" s="43"/>
      <c r="H75" s="43"/>
      <c r="I75" s="43"/>
      <c r="J75" s="42"/>
      <c r="K75" s="42"/>
      <c r="L75" s="49"/>
      <c r="M75" s="49"/>
      <c r="N75" s="33" t="str">
        <f>IF($A75="","",$M75*IFERROR(INDEX(SERVIZI!$M:$M,MATCH($B75,SERVIZI!$A:$A,0)),0))</f>
        <v/>
      </c>
      <c r="O75" s="42"/>
      <c r="P75" s="42"/>
      <c r="Q75" s="36" t="str">
        <f t="shared" ca="1" si="10"/>
        <v/>
      </c>
      <c r="R75" s="33" t="str">
        <f t="shared" ca="1" si="11"/>
        <v/>
      </c>
      <c r="S75" s="33" t="str">
        <f t="shared" si="12"/>
        <v/>
      </c>
      <c r="T75" s="33" t="str">
        <f>IF($A75="","",SUMIFS(ORE!$F:$F,ORE!$B:$B,$B75,ORE!$D:$D,$D75))</f>
        <v/>
      </c>
      <c r="U75" s="35" t="str">
        <f t="shared" si="13"/>
        <v/>
      </c>
      <c r="V75" s="36" t="str">
        <f t="shared" si="14"/>
        <v/>
      </c>
    </row>
    <row r="76" spans="1:22" x14ac:dyDescent="0.3">
      <c r="A76" s="42"/>
      <c r="B76" s="42"/>
      <c r="C76" s="48"/>
      <c r="D76" s="42"/>
      <c r="E76" s="42"/>
      <c r="F76" s="42"/>
      <c r="G76" s="43"/>
      <c r="H76" s="43"/>
      <c r="I76" s="43"/>
      <c r="J76" s="42"/>
      <c r="K76" s="42"/>
      <c r="L76" s="49"/>
      <c r="M76" s="49"/>
      <c r="N76" s="33" t="str">
        <f>IF($A76="","",$M76*IFERROR(INDEX(SERVIZI!$M:$M,MATCH($B76,SERVIZI!$A:$A,0)),0))</f>
        <v/>
      </c>
      <c r="O76" s="42"/>
      <c r="P76" s="42"/>
      <c r="Q76" s="36" t="str">
        <f t="shared" ca="1" si="10"/>
        <v/>
      </c>
      <c r="R76" s="33" t="str">
        <f t="shared" ca="1" si="11"/>
        <v/>
      </c>
      <c r="S76" s="33" t="str">
        <f t="shared" si="12"/>
        <v/>
      </c>
      <c r="T76" s="33" t="str">
        <f>IF($A76="","",SUMIFS(ORE!$F:$F,ORE!$B:$B,$B76,ORE!$D:$D,$D76))</f>
        <v/>
      </c>
      <c r="U76" s="35" t="str">
        <f t="shared" si="13"/>
        <v/>
      </c>
      <c r="V76" s="36" t="str">
        <f t="shared" si="14"/>
        <v/>
      </c>
    </row>
    <row r="77" spans="1:22" x14ac:dyDescent="0.3">
      <c r="A77" s="42"/>
      <c r="B77" s="42"/>
      <c r="C77" s="48"/>
      <c r="D77" s="42"/>
      <c r="E77" s="42"/>
      <c r="F77" s="42"/>
      <c r="G77" s="43"/>
      <c r="H77" s="43"/>
      <c r="I77" s="43"/>
      <c r="J77" s="42"/>
      <c r="K77" s="42"/>
      <c r="L77" s="49"/>
      <c r="M77" s="49"/>
      <c r="N77" s="33" t="str">
        <f>IF($A77="","",$M77*IFERROR(INDEX(SERVIZI!$M:$M,MATCH($B77,SERVIZI!$A:$A,0)),0))</f>
        <v/>
      </c>
      <c r="O77" s="42"/>
      <c r="P77" s="42"/>
      <c r="Q77" s="36" t="str">
        <f t="shared" ca="1" si="10"/>
        <v/>
      </c>
      <c r="R77" s="33" t="str">
        <f t="shared" ca="1" si="11"/>
        <v/>
      </c>
      <c r="S77" s="33" t="str">
        <f t="shared" si="12"/>
        <v/>
      </c>
      <c r="T77" s="33" t="str">
        <f>IF($A77="","",SUMIFS(ORE!$F:$F,ORE!$B:$B,$B77,ORE!$D:$D,$D77))</f>
        <v/>
      </c>
      <c r="U77" s="35" t="str">
        <f t="shared" si="13"/>
        <v/>
      </c>
      <c r="V77" s="36" t="str">
        <f t="shared" si="14"/>
        <v/>
      </c>
    </row>
    <row r="78" spans="1:22" x14ac:dyDescent="0.3">
      <c r="A78" s="42"/>
      <c r="B78" s="42"/>
      <c r="C78" s="48"/>
      <c r="D78" s="42"/>
      <c r="E78" s="42"/>
      <c r="F78" s="42"/>
      <c r="G78" s="43"/>
      <c r="H78" s="43"/>
      <c r="I78" s="43"/>
      <c r="J78" s="42"/>
      <c r="K78" s="42"/>
      <c r="L78" s="49"/>
      <c r="M78" s="49"/>
      <c r="N78" s="33" t="str">
        <f>IF($A78="","",$M78*IFERROR(INDEX(SERVIZI!$M:$M,MATCH($B78,SERVIZI!$A:$A,0)),0))</f>
        <v/>
      </c>
      <c r="O78" s="42"/>
      <c r="P78" s="42"/>
      <c r="Q78" s="36" t="str">
        <f t="shared" ca="1" si="10"/>
        <v/>
      </c>
      <c r="R78" s="33" t="str">
        <f t="shared" ca="1" si="11"/>
        <v/>
      </c>
      <c r="S78" s="33" t="str">
        <f t="shared" si="12"/>
        <v/>
      </c>
      <c r="T78" s="33" t="str">
        <f>IF($A78="","",SUMIFS(ORE!$F:$F,ORE!$B:$B,$B78,ORE!$D:$D,$D78))</f>
        <v/>
      </c>
      <c r="U78" s="35" t="str">
        <f t="shared" si="13"/>
        <v/>
      </c>
      <c r="V78" s="36" t="str">
        <f t="shared" si="14"/>
        <v/>
      </c>
    </row>
    <row r="79" spans="1:22" x14ac:dyDescent="0.3">
      <c r="A79" s="42"/>
      <c r="B79" s="42"/>
      <c r="C79" s="48"/>
      <c r="D79" s="42"/>
      <c r="E79" s="42"/>
      <c r="F79" s="42"/>
      <c r="G79" s="43"/>
      <c r="H79" s="43"/>
      <c r="I79" s="43"/>
      <c r="J79" s="42"/>
      <c r="K79" s="42"/>
      <c r="L79" s="49"/>
      <c r="M79" s="49"/>
      <c r="N79" s="33" t="str">
        <f>IF($A79="","",$M79*IFERROR(INDEX(SERVIZI!$M:$M,MATCH($B79,SERVIZI!$A:$A,0)),0))</f>
        <v/>
      </c>
      <c r="O79" s="42"/>
      <c r="P79" s="42"/>
      <c r="Q79" s="36" t="str">
        <f t="shared" ca="1" si="10"/>
        <v/>
      </c>
      <c r="R79" s="33" t="str">
        <f t="shared" ca="1" si="11"/>
        <v/>
      </c>
      <c r="S79" s="33" t="str">
        <f t="shared" si="12"/>
        <v/>
      </c>
      <c r="T79" s="33" t="str">
        <f>IF($A79="","",SUMIFS(ORE!$F:$F,ORE!$B:$B,$B79,ORE!$D:$D,$D79))</f>
        <v/>
      </c>
      <c r="U79" s="35" t="str">
        <f t="shared" si="13"/>
        <v/>
      </c>
      <c r="V79" s="36" t="str">
        <f t="shared" si="14"/>
        <v/>
      </c>
    </row>
    <row r="80" spans="1:22" x14ac:dyDescent="0.3">
      <c r="A80" s="42"/>
      <c r="B80" s="42"/>
      <c r="C80" s="48"/>
      <c r="D80" s="42"/>
      <c r="E80" s="42"/>
      <c r="F80" s="42"/>
      <c r="G80" s="43"/>
      <c r="H80" s="43"/>
      <c r="I80" s="43"/>
      <c r="J80" s="42"/>
      <c r="K80" s="42"/>
      <c r="L80" s="49"/>
      <c r="M80" s="49"/>
      <c r="N80" s="33" t="str">
        <f>IF($A80="","",$M80*IFERROR(INDEX(SERVIZI!$M:$M,MATCH($B80,SERVIZI!$A:$A,0)),0))</f>
        <v/>
      </c>
      <c r="O80" s="42"/>
      <c r="P80" s="42"/>
      <c r="Q80" s="36" t="str">
        <f t="shared" ca="1" si="10"/>
        <v/>
      </c>
      <c r="R80" s="33" t="str">
        <f t="shared" ca="1" si="11"/>
        <v/>
      </c>
      <c r="S80" s="33" t="str">
        <f t="shared" si="12"/>
        <v/>
      </c>
      <c r="T80" s="33" t="str">
        <f>IF($A80="","",SUMIFS(ORE!$F:$F,ORE!$B:$B,$B80,ORE!$D:$D,$D80))</f>
        <v/>
      </c>
      <c r="U80" s="35" t="str">
        <f t="shared" si="13"/>
        <v/>
      </c>
      <c r="V80" s="36" t="str">
        <f t="shared" si="14"/>
        <v/>
      </c>
    </row>
    <row r="81" spans="1:22" x14ac:dyDescent="0.3">
      <c r="A81" s="42"/>
      <c r="B81" s="42"/>
      <c r="C81" s="48"/>
      <c r="D81" s="42"/>
      <c r="E81" s="42"/>
      <c r="F81" s="42"/>
      <c r="G81" s="43"/>
      <c r="H81" s="43"/>
      <c r="I81" s="43"/>
      <c r="J81" s="42"/>
      <c r="K81" s="42"/>
      <c r="L81" s="49"/>
      <c r="M81" s="49"/>
      <c r="N81" s="33" t="str">
        <f>IF($A81="","",$M81*IFERROR(INDEX(SERVIZI!$M:$M,MATCH($B81,SERVIZI!$A:$A,0)),0))</f>
        <v/>
      </c>
      <c r="O81" s="42"/>
      <c r="P81" s="42"/>
      <c r="Q81" s="36" t="str">
        <f t="shared" ca="1" si="10"/>
        <v/>
      </c>
      <c r="R81" s="33" t="str">
        <f t="shared" ca="1" si="11"/>
        <v/>
      </c>
      <c r="S81" s="33" t="str">
        <f t="shared" si="12"/>
        <v/>
      </c>
      <c r="T81" s="33" t="str">
        <f>IF($A81="","",SUMIFS(ORE!$F:$F,ORE!$B:$B,$B81,ORE!$D:$D,$D81))</f>
        <v/>
      </c>
      <c r="U81" s="35" t="str">
        <f t="shared" si="13"/>
        <v/>
      </c>
      <c r="V81" s="36" t="str">
        <f t="shared" si="14"/>
        <v/>
      </c>
    </row>
    <row r="82" spans="1:22" x14ac:dyDescent="0.3">
      <c r="A82" s="42"/>
      <c r="B82" s="42"/>
      <c r="C82" s="48"/>
      <c r="D82" s="42"/>
      <c r="E82" s="42"/>
      <c r="F82" s="42"/>
      <c r="G82" s="43"/>
      <c r="H82" s="43"/>
      <c r="I82" s="43"/>
      <c r="J82" s="42"/>
      <c r="K82" s="42"/>
      <c r="L82" s="49"/>
      <c r="M82" s="49"/>
      <c r="N82" s="33" t="str">
        <f>IF($A82="","",$M82*IFERROR(INDEX(SERVIZI!$M:$M,MATCH($B82,SERVIZI!$A:$A,0)),0))</f>
        <v/>
      </c>
      <c r="O82" s="42"/>
      <c r="P82" s="42"/>
      <c r="Q82" s="36" t="str">
        <f t="shared" ca="1" si="10"/>
        <v/>
      </c>
      <c r="R82" s="33" t="str">
        <f t="shared" ca="1" si="11"/>
        <v/>
      </c>
      <c r="S82" s="33" t="str">
        <f t="shared" si="12"/>
        <v/>
      </c>
      <c r="T82" s="33" t="str">
        <f>IF($A82="","",SUMIFS(ORE!$F:$F,ORE!$B:$B,$B82,ORE!$D:$D,$D82))</f>
        <v/>
      </c>
      <c r="U82" s="35" t="str">
        <f t="shared" si="13"/>
        <v/>
      </c>
      <c r="V82" s="36" t="str">
        <f t="shared" si="14"/>
        <v/>
      </c>
    </row>
    <row r="83" spans="1:22" x14ac:dyDescent="0.3">
      <c r="A83" s="42"/>
      <c r="B83" s="42"/>
      <c r="C83" s="48"/>
      <c r="D83" s="42"/>
      <c r="E83" s="42"/>
      <c r="F83" s="42"/>
      <c r="G83" s="43"/>
      <c r="H83" s="43"/>
      <c r="I83" s="43"/>
      <c r="J83" s="42"/>
      <c r="K83" s="42"/>
      <c r="L83" s="49"/>
      <c r="M83" s="49"/>
      <c r="N83" s="33" t="str">
        <f>IF($A83="","",$M83*IFERROR(INDEX(SERVIZI!$M:$M,MATCH($B83,SERVIZI!$A:$A,0)),0))</f>
        <v/>
      </c>
      <c r="O83" s="42"/>
      <c r="P83" s="42"/>
      <c r="Q83" s="36" t="str">
        <f t="shared" ca="1" si="10"/>
        <v/>
      </c>
      <c r="R83" s="33" t="str">
        <f t="shared" ca="1" si="11"/>
        <v/>
      </c>
      <c r="S83" s="33" t="str">
        <f t="shared" si="12"/>
        <v/>
      </c>
      <c r="T83" s="33" t="str">
        <f>IF($A83="","",SUMIFS(ORE!$F:$F,ORE!$B:$B,$B83,ORE!$D:$D,$D83))</f>
        <v/>
      </c>
      <c r="U83" s="35" t="str">
        <f t="shared" si="13"/>
        <v/>
      </c>
      <c r="V83" s="36" t="str">
        <f t="shared" si="14"/>
        <v/>
      </c>
    </row>
    <row r="84" spans="1:22" x14ac:dyDescent="0.3">
      <c r="A84" s="42"/>
      <c r="B84" s="42"/>
      <c r="C84" s="48"/>
      <c r="D84" s="42"/>
      <c r="E84" s="42"/>
      <c r="F84" s="42"/>
      <c r="G84" s="43"/>
      <c r="H84" s="43"/>
      <c r="I84" s="43"/>
      <c r="J84" s="42"/>
      <c r="K84" s="42"/>
      <c r="L84" s="49"/>
      <c r="M84" s="49"/>
      <c r="N84" s="33" t="str">
        <f>IF($A84="","",$M84*IFERROR(INDEX(SERVIZI!$M:$M,MATCH($B84,SERVIZI!$A:$A,0)),0))</f>
        <v/>
      </c>
      <c r="O84" s="42"/>
      <c r="P84" s="42"/>
      <c r="Q84" s="36" t="str">
        <f t="shared" ca="1" si="10"/>
        <v/>
      </c>
      <c r="R84" s="33" t="str">
        <f t="shared" ca="1" si="11"/>
        <v/>
      </c>
      <c r="S84" s="33" t="str">
        <f t="shared" si="12"/>
        <v/>
      </c>
      <c r="T84" s="33" t="str">
        <f>IF($A84="","",SUMIFS(ORE!$F:$F,ORE!$B:$B,$B84,ORE!$D:$D,$D84))</f>
        <v/>
      </c>
      <c r="U84" s="35" t="str">
        <f t="shared" si="13"/>
        <v/>
      </c>
      <c r="V84" s="36" t="str">
        <f t="shared" si="14"/>
        <v/>
      </c>
    </row>
    <row r="85" spans="1:22" x14ac:dyDescent="0.3">
      <c r="A85" s="42"/>
      <c r="B85" s="42"/>
      <c r="C85" s="48"/>
      <c r="D85" s="42"/>
      <c r="E85" s="42"/>
      <c r="F85" s="42"/>
      <c r="G85" s="43"/>
      <c r="H85" s="43"/>
      <c r="I85" s="43"/>
      <c r="J85" s="42"/>
      <c r="K85" s="42"/>
      <c r="L85" s="49"/>
      <c r="M85" s="49"/>
      <c r="N85" s="33" t="str">
        <f>IF($A85="","",$M85*IFERROR(INDEX(SERVIZI!$M:$M,MATCH($B85,SERVIZI!$A:$A,0)),0))</f>
        <v/>
      </c>
      <c r="O85" s="42"/>
      <c r="P85" s="42"/>
      <c r="Q85" s="36" t="str">
        <f t="shared" ca="1" si="10"/>
        <v/>
      </c>
      <c r="R85" s="33" t="str">
        <f t="shared" ca="1" si="11"/>
        <v/>
      </c>
      <c r="S85" s="33" t="str">
        <f t="shared" si="12"/>
        <v/>
      </c>
      <c r="T85" s="33" t="str">
        <f>IF($A85="","",SUMIFS(ORE!$F:$F,ORE!$B:$B,$B85,ORE!$D:$D,$D85))</f>
        <v/>
      </c>
      <c r="U85" s="35" t="str">
        <f t="shared" si="13"/>
        <v/>
      </c>
      <c r="V85" s="36" t="str">
        <f t="shared" si="14"/>
        <v/>
      </c>
    </row>
    <row r="86" spans="1:22" x14ac:dyDescent="0.3">
      <c r="A86" s="42"/>
      <c r="B86" s="42"/>
      <c r="C86" s="48"/>
      <c r="D86" s="42"/>
      <c r="E86" s="42"/>
      <c r="F86" s="42"/>
      <c r="G86" s="43"/>
      <c r="H86" s="43"/>
      <c r="I86" s="43"/>
      <c r="J86" s="42"/>
      <c r="K86" s="42"/>
      <c r="L86" s="49"/>
      <c r="M86" s="49"/>
      <c r="N86" s="33" t="str">
        <f>IF($A86="","",$M86*IFERROR(INDEX(SERVIZI!$M:$M,MATCH($B86,SERVIZI!$A:$A,0)),0))</f>
        <v/>
      </c>
      <c r="O86" s="42"/>
      <c r="P86" s="42"/>
      <c r="Q86" s="36" t="str">
        <f t="shared" ca="1" si="10"/>
        <v/>
      </c>
      <c r="R86" s="33" t="str">
        <f t="shared" ca="1" si="11"/>
        <v/>
      </c>
      <c r="S86" s="33" t="str">
        <f t="shared" si="12"/>
        <v/>
      </c>
      <c r="T86" s="33" t="str">
        <f>IF($A86="","",SUMIFS(ORE!$F:$F,ORE!$B:$B,$B86,ORE!$D:$D,$D86))</f>
        <v/>
      </c>
      <c r="U86" s="35" t="str">
        <f t="shared" si="13"/>
        <v/>
      </c>
      <c r="V86" s="36" t="str">
        <f t="shared" si="14"/>
        <v/>
      </c>
    </row>
    <row r="87" spans="1:22" x14ac:dyDescent="0.3">
      <c r="A87" s="42"/>
      <c r="B87" s="42"/>
      <c r="C87" s="48"/>
      <c r="D87" s="42"/>
      <c r="E87" s="42"/>
      <c r="F87" s="42"/>
      <c r="G87" s="43"/>
      <c r="H87" s="43"/>
      <c r="I87" s="43"/>
      <c r="J87" s="42"/>
      <c r="K87" s="42"/>
      <c r="L87" s="49"/>
      <c r="M87" s="49"/>
      <c r="N87" s="33" t="str">
        <f>IF($A87="","",$M87*IFERROR(INDEX(SERVIZI!$M:$M,MATCH($B87,SERVIZI!$A:$A,0)),0))</f>
        <v/>
      </c>
      <c r="O87" s="42"/>
      <c r="P87" s="42"/>
      <c r="Q87" s="36" t="str">
        <f t="shared" ca="1" si="10"/>
        <v/>
      </c>
      <c r="R87" s="33" t="str">
        <f t="shared" ca="1" si="11"/>
        <v/>
      </c>
      <c r="S87" s="33" t="str">
        <f t="shared" si="12"/>
        <v/>
      </c>
      <c r="T87" s="33" t="str">
        <f>IF($A87="","",SUMIFS(ORE!$F:$F,ORE!$B:$B,$B87,ORE!$D:$D,$D87))</f>
        <v/>
      </c>
      <c r="U87" s="35" t="str">
        <f t="shared" si="13"/>
        <v/>
      </c>
      <c r="V87" s="36" t="str">
        <f t="shared" si="14"/>
        <v/>
      </c>
    </row>
    <row r="88" spans="1:22" x14ac:dyDescent="0.3">
      <c r="A88" s="42"/>
      <c r="B88" s="42"/>
      <c r="C88" s="48"/>
      <c r="D88" s="42"/>
      <c r="E88" s="42"/>
      <c r="F88" s="42"/>
      <c r="G88" s="43"/>
      <c r="H88" s="43"/>
      <c r="I88" s="43"/>
      <c r="J88" s="42"/>
      <c r="K88" s="42"/>
      <c r="L88" s="49"/>
      <c r="M88" s="49"/>
      <c r="N88" s="33" t="str">
        <f>IF($A88="","",$M88*IFERROR(INDEX(SERVIZI!$M:$M,MATCH($B88,SERVIZI!$A:$A,0)),0))</f>
        <v/>
      </c>
      <c r="O88" s="42"/>
      <c r="P88" s="42"/>
      <c r="Q88" s="36" t="str">
        <f t="shared" ca="1" si="10"/>
        <v/>
      </c>
      <c r="R88" s="33" t="str">
        <f t="shared" ca="1" si="11"/>
        <v/>
      </c>
      <c r="S88" s="33" t="str">
        <f t="shared" si="12"/>
        <v/>
      </c>
      <c r="T88" s="33" t="str">
        <f>IF($A88="","",SUMIFS(ORE!$F:$F,ORE!$B:$B,$B88,ORE!$D:$D,$D88))</f>
        <v/>
      </c>
      <c r="U88" s="35" t="str">
        <f t="shared" si="13"/>
        <v/>
      </c>
      <c r="V88" s="36" t="str">
        <f t="shared" si="14"/>
        <v/>
      </c>
    </row>
    <row r="89" spans="1:22" x14ac:dyDescent="0.3">
      <c r="A89" s="42"/>
      <c r="B89" s="42"/>
      <c r="C89" s="48"/>
      <c r="D89" s="42"/>
      <c r="E89" s="42"/>
      <c r="F89" s="42"/>
      <c r="G89" s="43"/>
      <c r="H89" s="43"/>
      <c r="I89" s="43"/>
      <c r="J89" s="42"/>
      <c r="K89" s="42"/>
      <c r="L89" s="49"/>
      <c r="M89" s="49"/>
      <c r="N89" s="33" t="str">
        <f>IF($A89="","",$M89*IFERROR(INDEX(SERVIZI!$M:$M,MATCH($B89,SERVIZI!$A:$A,0)),0))</f>
        <v/>
      </c>
      <c r="O89" s="42"/>
      <c r="P89" s="42"/>
      <c r="Q89" s="36" t="str">
        <f t="shared" ca="1" si="10"/>
        <v/>
      </c>
      <c r="R89" s="33" t="str">
        <f t="shared" ca="1" si="11"/>
        <v/>
      </c>
      <c r="S89" s="33" t="str">
        <f t="shared" si="12"/>
        <v/>
      </c>
      <c r="T89" s="33" t="str">
        <f>IF($A89="","",SUMIFS(ORE!$F:$F,ORE!$B:$B,$B89,ORE!$D:$D,$D89))</f>
        <v/>
      </c>
      <c r="U89" s="35" t="str">
        <f t="shared" si="13"/>
        <v/>
      </c>
      <c r="V89" s="36" t="str">
        <f t="shared" si="14"/>
        <v/>
      </c>
    </row>
    <row r="90" spans="1:22" x14ac:dyDescent="0.3">
      <c r="A90" s="42"/>
      <c r="B90" s="42"/>
      <c r="C90" s="48"/>
      <c r="D90" s="42"/>
      <c r="E90" s="42"/>
      <c r="F90" s="42"/>
      <c r="G90" s="43"/>
      <c r="H90" s="43"/>
      <c r="I90" s="43"/>
      <c r="J90" s="42"/>
      <c r="K90" s="42"/>
      <c r="L90" s="49"/>
      <c r="M90" s="49"/>
      <c r="N90" s="33" t="str">
        <f>IF($A90="","",$M90*IFERROR(INDEX(SERVIZI!$M:$M,MATCH($B90,SERVIZI!$A:$A,0)),0))</f>
        <v/>
      </c>
      <c r="O90" s="42"/>
      <c r="P90" s="42"/>
      <c r="Q90" s="36" t="str">
        <f t="shared" ca="1" si="10"/>
        <v/>
      </c>
      <c r="R90" s="33" t="str">
        <f t="shared" ca="1" si="11"/>
        <v/>
      </c>
      <c r="S90" s="33" t="str">
        <f t="shared" si="12"/>
        <v/>
      </c>
      <c r="T90" s="33" t="str">
        <f>IF($A90="","",SUMIFS(ORE!$F:$F,ORE!$B:$B,$B90,ORE!$D:$D,$D90))</f>
        <v/>
      </c>
      <c r="U90" s="35" t="str">
        <f t="shared" si="13"/>
        <v/>
      </c>
      <c r="V90" s="36" t="str">
        <f t="shared" si="14"/>
        <v/>
      </c>
    </row>
    <row r="91" spans="1:22" x14ac:dyDescent="0.3">
      <c r="A91" s="42"/>
      <c r="B91" s="42"/>
      <c r="C91" s="48"/>
      <c r="D91" s="42"/>
      <c r="E91" s="42"/>
      <c r="F91" s="42"/>
      <c r="G91" s="43"/>
      <c r="H91" s="43"/>
      <c r="I91" s="43"/>
      <c r="J91" s="42"/>
      <c r="K91" s="42"/>
      <c r="L91" s="49"/>
      <c r="M91" s="49"/>
      <c r="N91" s="33" t="str">
        <f>IF($A91="","",$M91*IFERROR(INDEX(SERVIZI!$M:$M,MATCH($B91,SERVIZI!$A:$A,0)),0))</f>
        <v/>
      </c>
      <c r="O91" s="42"/>
      <c r="P91" s="42"/>
      <c r="Q91" s="36" t="str">
        <f t="shared" ca="1" si="10"/>
        <v/>
      </c>
      <c r="R91" s="33" t="str">
        <f t="shared" ca="1" si="11"/>
        <v/>
      </c>
      <c r="S91" s="33" t="str">
        <f t="shared" si="12"/>
        <v/>
      </c>
      <c r="T91" s="33" t="str">
        <f>IF($A91="","",SUMIFS(ORE!$F:$F,ORE!$B:$B,$B91,ORE!$D:$D,$D91))</f>
        <v/>
      </c>
      <c r="U91" s="35" t="str">
        <f t="shared" si="13"/>
        <v/>
      </c>
      <c r="V91" s="36" t="str">
        <f t="shared" si="14"/>
        <v/>
      </c>
    </row>
    <row r="92" spans="1:22" x14ac:dyDescent="0.3">
      <c r="A92" s="42"/>
      <c r="B92" s="42"/>
      <c r="C92" s="48"/>
      <c r="D92" s="42"/>
      <c r="E92" s="42"/>
      <c r="F92" s="42"/>
      <c r="G92" s="43"/>
      <c r="H92" s="43"/>
      <c r="I92" s="43"/>
      <c r="J92" s="42"/>
      <c r="K92" s="42"/>
      <c r="L92" s="49"/>
      <c r="M92" s="49"/>
      <c r="N92" s="33" t="str">
        <f>IF($A92="","",$M92*IFERROR(INDEX(SERVIZI!$M:$M,MATCH($B92,SERVIZI!$A:$A,0)),0))</f>
        <v/>
      </c>
      <c r="O92" s="42"/>
      <c r="P92" s="42"/>
      <c r="Q92" s="36" t="str">
        <f t="shared" ca="1" si="10"/>
        <v/>
      </c>
      <c r="R92" s="33" t="str">
        <f t="shared" ca="1" si="11"/>
        <v/>
      </c>
      <c r="S92" s="33" t="str">
        <f t="shared" si="12"/>
        <v/>
      </c>
      <c r="T92" s="33" t="str">
        <f>IF($A92="","",SUMIFS(ORE!$F:$F,ORE!$B:$B,$B92,ORE!$D:$D,$D92))</f>
        <v/>
      </c>
      <c r="U92" s="35" t="str">
        <f t="shared" si="13"/>
        <v/>
      </c>
      <c r="V92" s="36" t="str">
        <f t="shared" si="14"/>
        <v/>
      </c>
    </row>
    <row r="93" spans="1:22" x14ac:dyDescent="0.3">
      <c r="A93" s="42"/>
      <c r="B93" s="42"/>
      <c r="C93" s="48"/>
      <c r="D93" s="42"/>
      <c r="E93" s="42"/>
      <c r="F93" s="42"/>
      <c r="G93" s="43"/>
      <c r="H93" s="43"/>
      <c r="I93" s="43"/>
      <c r="J93" s="42"/>
      <c r="K93" s="42"/>
      <c r="L93" s="49"/>
      <c r="M93" s="49"/>
      <c r="N93" s="33" t="str">
        <f>IF($A93="","",$M93*IFERROR(INDEX(SERVIZI!$M:$M,MATCH($B93,SERVIZI!$A:$A,0)),0))</f>
        <v/>
      </c>
      <c r="O93" s="42"/>
      <c r="P93" s="42"/>
      <c r="Q93" s="36" t="str">
        <f t="shared" ca="1" si="10"/>
        <v/>
      </c>
      <c r="R93" s="33" t="str">
        <f t="shared" ca="1" si="11"/>
        <v/>
      </c>
      <c r="S93" s="33" t="str">
        <f t="shared" si="12"/>
        <v/>
      </c>
      <c r="T93" s="33" t="str">
        <f>IF($A93="","",SUMIFS(ORE!$F:$F,ORE!$B:$B,$B93,ORE!$D:$D,$D93))</f>
        <v/>
      </c>
      <c r="U93" s="35" t="str">
        <f t="shared" si="13"/>
        <v/>
      </c>
      <c r="V93" s="36" t="str">
        <f t="shared" si="14"/>
        <v/>
      </c>
    </row>
    <row r="94" spans="1:22" x14ac:dyDescent="0.3">
      <c r="A94" s="42"/>
      <c r="B94" s="42"/>
      <c r="C94" s="48"/>
      <c r="D94" s="42"/>
      <c r="E94" s="42"/>
      <c r="F94" s="42"/>
      <c r="G94" s="43"/>
      <c r="H94" s="43"/>
      <c r="I94" s="43"/>
      <c r="J94" s="42"/>
      <c r="K94" s="42"/>
      <c r="L94" s="49"/>
      <c r="M94" s="49"/>
      <c r="N94" s="33" t="str">
        <f>IF($A94="","",$M94*IFERROR(INDEX(SERVIZI!$M:$M,MATCH($B94,SERVIZI!$A:$A,0)),0))</f>
        <v/>
      </c>
      <c r="O94" s="42"/>
      <c r="P94" s="42"/>
      <c r="Q94" s="36" t="str">
        <f t="shared" ca="1" si="10"/>
        <v/>
      </c>
      <c r="R94" s="33" t="str">
        <f t="shared" ca="1" si="11"/>
        <v/>
      </c>
      <c r="S94" s="33" t="str">
        <f t="shared" si="12"/>
        <v/>
      </c>
      <c r="T94" s="33" t="str">
        <f>IF($A94="","",SUMIFS(ORE!$F:$F,ORE!$B:$B,$B94,ORE!$D:$D,$D94))</f>
        <v/>
      </c>
      <c r="U94" s="35" t="str">
        <f t="shared" si="13"/>
        <v/>
      </c>
      <c r="V94" s="36" t="str">
        <f t="shared" si="14"/>
        <v/>
      </c>
    </row>
    <row r="95" spans="1:22" x14ac:dyDescent="0.3">
      <c r="A95" s="42"/>
      <c r="B95" s="42"/>
      <c r="C95" s="48"/>
      <c r="D95" s="42"/>
      <c r="E95" s="42"/>
      <c r="F95" s="42"/>
      <c r="G95" s="43"/>
      <c r="H95" s="43"/>
      <c r="I95" s="43"/>
      <c r="J95" s="42"/>
      <c r="K95" s="42"/>
      <c r="L95" s="49"/>
      <c r="M95" s="49"/>
      <c r="N95" s="33" t="str">
        <f>IF($A95="","",$M95*IFERROR(INDEX(SERVIZI!$M:$M,MATCH($B95,SERVIZI!$A:$A,0)),0))</f>
        <v/>
      </c>
      <c r="O95" s="42"/>
      <c r="P95" s="42"/>
      <c r="Q95" s="36" t="str">
        <f t="shared" ca="1" si="10"/>
        <v/>
      </c>
      <c r="R95" s="33" t="str">
        <f t="shared" ca="1" si="11"/>
        <v/>
      </c>
      <c r="S95" s="33" t="str">
        <f t="shared" si="12"/>
        <v/>
      </c>
      <c r="T95" s="33" t="str">
        <f>IF($A95="","",SUMIFS(ORE!$F:$F,ORE!$B:$B,$B95,ORE!$D:$D,$D95))</f>
        <v/>
      </c>
      <c r="U95" s="35" t="str">
        <f t="shared" si="13"/>
        <v/>
      </c>
      <c r="V95" s="36" t="str">
        <f t="shared" si="14"/>
        <v/>
      </c>
    </row>
    <row r="96" spans="1:22" x14ac:dyDescent="0.3">
      <c r="A96" s="42"/>
      <c r="B96" s="42"/>
      <c r="C96" s="48"/>
      <c r="D96" s="42"/>
      <c r="E96" s="42"/>
      <c r="F96" s="42"/>
      <c r="G96" s="43"/>
      <c r="H96" s="43"/>
      <c r="I96" s="43"/>
      <c r="J96" s="42"/>
      <c r="K96" s="42"/>
      <c r="L96" s="49"/>
      <c r="M96" s="49"/>
      <c r="N96" s="33" t="str">
        <f>IF($A96="","",$M96*IFERROR(INDEX(SERVIZI!$M:$M,MATCH($B96,SERVIZI!$A:$A,0)),0))</f>
        <v/>
      </c>
      <c r="O96" s="42"/>
      <c r="P96" s="42"/>
      <c r="Q96" s="36" t="str">
        <f t="shared" ca="1" si="10"/>
        <v/>
      </c>
      <c r="R96" s="33" t="str">
        <f t="shared" ca="1" si="11"/>
        <v/>
      </c>
      <c r="S96" s="33" t="str">
        <f t="shared" si="12"/>
        <v/>
      </c>
      <c r="T96" s="33" t="str">
        <f>IF($A96="","",SUMIFS(ORE!$F:$F,ORE!$B:$B,$B96,ORE!$D:$D,$D96))</f>
        <v/>
      </c>
      <c r="U96" s="35" t="str">
        <f t="shared" si="13"/>
        <v/>
      </c>
      <c r="V96" s="36" t="str">
        <f t="shared" si="14"/>
        <v/>
      </c>
    </row>
    <row r="97" spans="1:22" x14ac:dyDescent="0.3">
      <c r="A97" s="42"/>
      <c r="B97" s="42"/>
      <c r="C97" s="48"/>
      <c r="D97" s="42"/>
      <c r="E97" s="42"/>
      <c r="F97" s="42"/>
      <c r="G97" s="43"/>
      <c r="H97" s="43"/>
      <c r="I97" s="43"/>
      <c r="J97" s="42"/>
      <c r="K97" s="42"/>
      <c r="L97" s="49"/>
      <c r="M97" s="49"/>
      <c r="N97" s="33" t="str">
        <f>IF($A97="","",$M97*IFERROR(INDEX(SERVIZI!$M:$M,MATCH($B97,SERVIZI!$A:$A,0)),0))</f>
        <v/>
      </c>
      <c r="O97" s="42"/>
      <c r="P97" s="42"/>
      <c r="Q97" s="36" t="str">
        <f t="shared" ca="1" si="10"/>
        <v/>
      </c>
      <c r="R97" s="33" t="str">
        <f t="shared" ca="1" si="11"/>
        <v/>
      </c>
      <c r="S97" s="33" t="str">
        <f t="shared" si="12"/>
        <v/>
      </c>
      <c r="T97" s="33" t="str">
        <f>IF($A97="","",SUMIFS(ORE!$F:$F,ORE!$B:$B,$B97,ORE!$D:$D,$D97))</f>
        <v/>
      </c>
      <c r="U97" s="35" t="str">
        <f t="shared" si="13"/>
        <v/>
      </c>
      <c r="V97" s="36" t="str">
        <f t="shared" si="14"/>
        <v/>
      </c>
    </row>
    <row r="98" spans="1:22" x14ac:dyDescent="0.3">
      <c r="A98" s="42"/>
      <c r="B98" s="42"/>
      <c r="C98" s="48"/>
      <c r="D98" s="42"/>
      <c r="E98" s="42"/>
      <c r="F98" s="42"/>
      <c r="G98" s="43"/>
      <c r="H98" s="43"/>
      <c r="I98" s="43"/>
      <c r="J98" s="42"/>
      <c r="K98" s="42"/>
      <c r="L98" s="49"/>
      <c r="M98" s="49"/>
      <c r="N98" s="33" t="str">
        <f>IF($A98="","",$M98*IFERROR(INDEX(SERVIZI!$M:$M,MATCH($B98,SERVIZI!$A:$A,0)),0))</f>
        <v/>
      </c>
      <c r="O98" s="42"/>
      <c r="P98" s="42"/>
      <c r="Q98" s="36" t="str">
        <f t="shared" ref="Q98:Q129" ca="1" si="15">IF($A98="","",IF($L98&gt;=1,"Completata",IF(AND($H98&lt;&gt;"",$H98&lt;TODAY()),"IN RITARDO",IF($L98&gt;0,"In corso","Da avviare"))))</f>
        <v/>
      </c>
      <c r="R98" s="33" t="str">
        <f t="shared" ref="R98:R129" ca="1" si="16">IF($A98="","",IF(AND($H98&lt;&gt;"",$L98&lt;1,$H98&lt;TODAY()),TODAY()-$H98,0))</f>
        <v/>
      </c>
      <c r="S98" s="33" t="str">
        <f t="shared" ref="S98:S129" si="17">IF($A98="","",IF(AND($G98&lt;&gt;"",$H98&lt;&gt;""),$H98-$G98,0))</f>
        <v/>
      </c>
      <c r="T98" s="33" t="str">
        <f>IF($A98="","",SUMIFS(ORE!$F:$F,ORE!$B:$B,$B98,ORE!$D:$D,$D98))</f>
        <v/>
      </c>
      <c r="U98" s="35" t="str">
        <f t="shared" ref="U98:U129" si="18">IF($A98="","",IFERROR($T98/$N98,0))</f>
        <v/>
      </c>
      <c r="V98" s="36" t="str">
        <f t="shared" ref="V98:V129" si="19">IF($A98="","",IF(AND($U98&gt;$L98+0.2,$N98&gt;0),"ORE SOPRA AVANZAMENTO",IF($Q98="IN RITARDO","IN RITARDO","OK")))</f>
        <v/>
      </c>
    </row>
    <row r="99" spans="1:22" x14ac:dyDescent="0.3">
      <c r="A99" s="42"/>
      <c r="B99" s="42"/>
      <c r="C99" s="48"/>
      <c r="D99" s="42"/>
      <c r="E99" s="42"/>
      <c r="F99" s="42"/>
      <c r="G99" s="43"/>
      <c r="H99" s="43"/>
      <c r="I99" s="43"/>
      <c r="J99" s="42"/>
      <c r="K99" s="42"/>
      <c r="L99" s="49"/>
      <c r="M99" s="49"/>
      <c r="N99" s="33" t="str">
        <f>IF($A99="","",$M99*IFERROR(INDEX(SERVIZI!$M:$M,MATCH($B99,SERVIZI!$A:$A,0)),0))</f>
        <v/>
      </c>
      <c r="O99" s="42"/>
      <c r="P99" s="42"/>
      <c r="Q99" s="36" t="str">
        <f t="shared" ca="1" si="15"/>
        <v/>
      </c>
      <c r="R99" s="33" t="str">
        <f t="shared" ca="1" si="16"/>
        <v/>
      </c>
      <c r="S99" s="33" t="str">
        <f t="shared" si="17"/>
        <v/>
      </c>
      <c r="T99" s="33" t="str">
        <f>IF($A99="","",SUMIFS(ORE!$F:$F,ORE!$B:$B,$B99,ORE!$D:$D,$D99))</f>
        <v/>
      </c>
      <c r="U99" s="35" t="str">
        <f t="shared" si="18"/>
        <v/>
      </c>
      <c r="V99" s="36" t="str">
        <f t="shared" si="19"/>
        <v/>
      </c>
    </row>
    <row r="100" spans="1:22" x14ac:dyDescent="0.3">
      <c r="A100" s="42"/>
      <c r="B100" s="42"/>
      <c r="C100" s="48"/>
      <c r="D100" s="42"/>
      <c r="E100" s="42"/>
      <c r="F100" s="42"/>
      <c r="G100" s="43"/>
      <c r="H100" s="43"/>
      <c r="I100" s="43"/>
      <c r="J100" s="42"/>
      <c r="K100" s="42"/>
      <c r="L100" s="49"/>
      <c r="M100" s="49"/>
      <c r="N100" s="33" t="str">
        <f>IF($A100="","",$M100*IFERROR(INDEX(SERVIZI!$M:$M,MATCH($B100,SERVIZI!$A:$A,0)),0))</f>
        <v/>
      </c>
      <c r="O100" s="42"/>
      <c r="P100" s="42"/>
      <c r="Q100" s="36" t="str">
        <f t="shared" ca="1" si="15"/>
        <v/>
      </c>
      <c r="R100" s="33" t="str">
        <f t="shared" ca="1" si="16"/>
        <v/>
      </c>
      <c r="S100" s="33" t="str">
        <f t="shared" si="17"/>
        <v/>
      </c>
      <c r="T100" s="33" t="str">
        <f>IF($A100="","",SUMIFS(ORE!$F:$F,ORE!$B:$B,$B100,ORE!$D:$D,$D100))</f>
        <v/>
      </c>
      <c r="U100" s="35" t="str">
        <f t="shared" si="18"/>
        <v/>
      </c>
      <c r="V100" s="36" t="str">
        <f t="shared" si="19"/>
        <v/>
      </c>
    </row>
    <row r="101" spans="1:22" x14ac:dyDescent="0.3">
      <c r="A101" s="42"/>
      <c r="B101" s="42"/>
      <c r="C101" s="48"/>
      <c r="D101" s="42"/>
      <c r="E101" s="42"/>
      <c r="F101" s="42"/>
      <c r="G101" s="43"/>
      <c r="H101" s="43"/>
      <c r="I101" s="43"/>
      <c r="J101" s="42"/>
      <c r="K101" s="42"/>
      <c r="L101" s="49"/>
      <c r="M101" s="49"/>
      <c r="N101" s="33" t="str">
        <f>IF($A101="","",$M101*IFERROR(INDEX(SERVIZI!$M:$M,MATCH($B101,SERVIZI!$A:$A,0)),0))</f>
        <v/>
      </c>
      <c r="O101" s="42"/>
      <c r="P101" s="42"/>
      <c r="Q101" s="36" t="str">
        <f t="shared" ca="1" si="15"/>
        <v/>
      </c>
      <c r="R101" s="33" t="str">
        <f t="shared" ca="1" si="16"/>
        <v/>
      </c>
      <c r="S101" s="33" t="str">
        <f t="shared" si="17"/>
        <v/>
      </c>
      <c r="T101" s="33" t="str">
        <f>IF($A101="","",SUMIFS(ORE!$F:$F,ORE!$B:$B,$B101,ORE!$D:$D,$D101))</f>
        <v/>
      </c>
      <c r="U101" s="35" t="str">
        <f t="shared" si="18"/>
        <v/>
      </c>
      <c r="V101" s="36" t="str">
        <f t="shared" si="19"/>
        <v/>
      </c>
    </row>
    <row r="102" spans="1:22" x14ac:dyDescent="0.3">
      <c r="A102" s="42"/>
      <c r="B102" s="42"/>
      <c r="C102" s="48"/>
      <c r="D102" s="42"/>
      <c r="E102" s="42"/>
      <c r="F102" s="42"/>
      <c r="G102" s="43"/>
      <c r="H102" s="43"/>
      <c r="I102" s="43"/>
      <c r="J102" s="42"/>
      <c r="K102" s="42"/>
      <c r="L102" s="49"/>
      <c r="M102" s="49"/>
      <c r="N102" s="33" t="str">
        <f>IF($A102="","",$M102*IFERROR(INDEX(SERVIZI!$M:$M,MATCH($B102,SERVIZI!$A:$A,0)),0))</f>
        <v/>
      </c>
      <c r="O102" s="42"/>
      <c r="P102" s="42"/>
      <c r="Q102" s="36" t="str">
        <f t="shared" ca="1" si="15"/>
        <v/>
      </c>
      <c r="R102" s="33" t="str">
        <f t="shared" ca="1" si="16"/>
        <v/>
      </c>
      <c r="S102" s="33" t="str">
        <f t="shared" si="17"/>
        <v/>
      </c>
      <c r="T102" s="33" t="str">
        <f>IF($A102="","",SUMIFS(ORE!$F:$F,ORE!$B:$B,$B102,ORE!$D:$D,$D102))</f>
        <v/>
      </c>
      <c r="U102" s="35" t="str">
        <f t="shared" si="18"/>
        <v/>
      </c>
      <c r="V102" s="36" t="str">
        <f t="shared" si="19"/>
        <v/>
      </c>
    </row>
    <row r="103" spans="1:22" x14ac:dyDescent="0.3">
      <c r="A103" s="42"/>
      <c r="B103" s="42"/>
      <c r="C103" s="48"/>
      <c r="D103" s="42"/>
      <c r="E103" s="42"/>
      <c r="F103" s="42"/>
      <c r="G103" s="43"/>
      <c r="H103" s="43"/>
      <c r="I103" s="43"/>
      <c r="J103" s="42"/>
      <c r="K103" s="42"/>
      <c r="L103" s="49"/>
      <c r="M103" s="49"/>
      <c r="N103" s="33" t="str">
        <f>IF($A103="","",$M103*IFERROR(INDEX(SERVIZI!$M:$M,MATCH($B103,SERVIZI!$A:$A,0)),0))</f>
        <v/>
      </c>
      <c r="O103" s="42"/>
      <c r="P103" s="42"/>
      <c r="Q103" s="36" t="str">
        <f t="shared" ca="1" si="15"/>
        <v/>
      </c>
      <c r="R103" s="33" t="str">
        <f t="shared" ca="1" si="16"/>
        <v/>
      </c>
      <c r="S103" s="33" t="str">
        <f t="shared" si="17"/>
        <v/>
      </c>
      <c r="T103" s="33" t="str">
        <f>IF($A103="","",SUMIFS(ORE!$F:$F,ORE!$B:$B,$B103,ORE!$D:$D,$D103))</f>
        <v/>
      </c>
      <c r="U103" s="35" t="str">
        <f t="shared" si="18"/>
        <v/>
      </c>
      <c r="V103" s="36" t="str">
        <f t="shared" si="19"/>
        <v/>
      </c>
    </row>
    <row r="104" spans="1:22" x14ac:dyDescent="0.3">
      <c r="A104" s="42"/>
      <c r="B104" s="42"/>
      <c r="C104" s="48"/>
      <c r="D104" s="42"/>
      <c r="E104" s="42"/>
      <c r="F104" s="42"/>
      <c r="G104" s="43"/>
      <c r="H104" s="43"/>
      <c r="I104" s="43"/>
      <c r="J104" s="42"/>
      <c r="K104" s="42"/>
      <c r="L104" s="49"/>
      <c r="M104" s="49"/>
      <c r="N104" s="33" t="str">
        <f>IF($A104="","",$M104*IFERROR(INDEX(SERVIZI!$M:$M,MATCH($B104,SERVIZI!$A:$A,0)),0))</f>
        <v/>
      </c>
      <c r="O104" s="42"/>
      <c r="P104" s="42"/>
      <c r="Q104" s="36" t="str">
        <f t="shared" ca="1" si="15"/>
        <v/>
      </c>
      <c r="R104" s="33" t="str">
        <f t="shared" ca="1" si="16"/>
        <v/>
      </c>
      <c r="S104" s="33" t="str">
        <f t="shared" si="17"/>
        <v/>
      </c>
      <c r="T104" s="33" t="str">
        <f>IF($A104="","",SUMIFS(ORE!$F:$F,ORE!$B:$B,$B104,ORE!$D:$D,$D104))</f>
        <v/>
      </c>
      <c r="U104" s="35" t="str">
        <f t="shared" si="18"/>
        <v/>
      </c>
      <c r="V104" s="36" t="str">
        <f t="shared" si="19"/>
        <v/>
      </c>
    </row>
    <row r="105" spans="1:22" x14ac:dyDescent="0.3">
      <c r="A105" s="42"/>
      <c r="B105" s="42"/>
      <c r="C105" s="48"/>
      <c r="D105" s="42"/>
      <c r="E105" s="42"/>
      <c r="F105" s="42"/>
      <c r="G105" s="43"/>
      <c r="H105" s="43"/>
      <c r="I105" s="43"/>
      <c r="J105" s="42"/>
      <c r="K105" s="42"/>
      <c r="L105" s="49"/>
      <c r="M105" s="49"/>
      <c r="N105" s="33" t="str">
        <f>IF($A105="","",$M105*IFERROR(INDEX(SERVIZI!$M:$M,MATCH($B105,SERVIZI!$A:$A,0)),0))</f>
        <v/>
      </c>
      <c r="O105" s="42"/>
      <c r="P105" s="42"/>
      <c r="Q105" s="36" t="str">
        <f t="shared" ca="1" si="15"/>
        <v/>
      </c>
      <c r="R105" s="33" t="str">
        <f t="shared" ca="1" si="16"/>
        <v/>
      </c>
      <c r="S105" s="33" t="str">
        <f t="shared" si="17"/>
        <v/>
      </c>
      <c r="T105" s="33" t="str">
        <f>IF($A105="","",SUMIFS(ORE!$F:$F,ORE!$B:$B,$B105,ORE!$D:$D,$D105))</f>
        <v/>
      </c>
      <c r="U105" s="35" t="str">
        <f t="shared" si="18"/>
        <v/>
      </c>
      <c r="V105" s="36" t="str">
        <f t="shared" si="19"/>
        <v/>
      </c>
    </row>
    <row r="106" spans="1:22" x14ac:dyDescent="0.3">
      <c r="A106" s="42"/>
      <c r="B106" s="42"/>
      <c r="C106" s="48"/>
      <c r="D106" s="42"/>
      <c r="E106" s="42"/>
      <c r="F106" s="42"/>
      <c r="G106" s="43"/>
      <c r="H106" s="43"/>
      <c r="I106" s="43"/>
      <c r="J106" s="42"/>
      <c r="K106" s="42"/>
      <c r="L106" s="49"/>
      <c r="M106" s="49"/>
      <c r="N106" s="33" t="str">
        <f>IF($A106="","",$M106*IFERROR(INDEX(SERVIZI!$M:$M,MATCH($B106,SERVIZI!$A:$A,0)),0))</f>
        <v/>
      </c>
      <c r="O106" s="42"/>
      <c r="P106" s="42"/>
      <c r="Q106" s="36" t="str">
        <f t="shared" ca="1" si="15"/>
        <v/>
      </c>
      <c r="R106" s="33" t="str">
        <f t="shared" ca="1" si="16"/>
        <v/>
      </c>
      <c r="S106" s="33" t="str">
        <f t="shared" si="17"/>
        <v/>
      </c>
      <c r="T106" s="33" t="str">
        <f>IF($A106="","",SUMIFS(ORE!$F:$F,ORE!$B:$B,$B106,ORE!$D:$D,$D106))</f>
        <v/>
      </c>
      <c r="U106" s="35" t="str">
        <f t="shared" si="18"/>
        <v/>
      </c>
      <c r="V106" s="36" t="str">
        <f t="shared" si="19"/>
        <v/>
      </c>
    </row>
    <row r="107" spans="1:22" x14ac:dyDescent="0.3">
      <c r="A107" s="42"/>
      <c r="B107" s="42"/>
      <c r="C107" s="48"/>
      <c r="D107" s="42"/>
      <c r="E107" s="42"/>
      <c r="F107" s="42"/>
      <c r="G107" s="43"/>
      <c r="H107" s="43"/>
      <c r="I107" s="43"/>
      <c r="J107" s="42"/>
      <c r="K107" s="42"/>
      <c r="L107" s="49"/>
      <c r="M107" s="49"/>
      <c r="N107" s="33" t="str">
        <f>IF($A107="","",$M107*IFERROR(INDEX(SERVIZI!$M:$M,MATCH($B107,SERVIZI!$A:$A,0)),0))</f>
        <v/>
      </c>
      <c r="O107" s="42"/>
      <c r="P107" s="42"/>
      <c r="Q107" s="36" t="str">
        <f t="shared" ca="1" si="15"/>
        <v/>
      </c>
      <c r="R107" s="33" t="str">
        <f t="shared" ca="1" si="16"/>
        <v/>
      </c>
      <c r="S107" s="33" t="str">
        <f t="shared" si="17"/>
        <v/>
      </c>
      <c r="T107" s="33" t="str">
        <f>IF($A107="","",SUMIFS(ORE!$F:$F,ORE!$B:$B,$B107,ORE!$D:$D,$D107))</f>
        <v/>
      </c>
      <c r="U107" s="35" t="str">
        <f t="shared" si="18"/>
        <v/>
      </c>
      <c r="V107" s="36" t="str">
        <f t="shared" si="19"/>
        <v/>
      </c>
    </row>
    <row r="108" spans="1:22" x14ac:dyDescent="0.3">
      <c r="A108" s="42"/>
      <c r="B108" s="42"/>
      <c r="C108" s="48"/>
      <c r="D108" s="42"/>
      <c r="E108" s="42"/>
      <c r="F108" s="42"/>
      <c r="G108" s="43"/>
      <c r="H108" s="43"/>
      <c r="I108" s="43"/>
      <c r="J108" s="42"/>
      <c r="K108" s="42"/>
      <c r="L108" s="49"/>
      <c r="M108" s="49"/>
      <c r="N108" s="33" t="str">
        <f>IF($A108="","",$M108*IFERROR(INDEX(SERVIZI!$M:$M,MATCH($B108,SERVIZI!$A:$A,0)),0))</f>
        <v/>
      </c>
      <c r="O108" s="42"/>
      <c r="P108" s="42"/>
      <c r="Q108" s="36" t="str">
        <f t="shared" ca="1" si="15"/>
        <v/>
      </c>
      <c r="R108" s="33" t="str">
        <f t="shared" ca="1" si="16"/>
        <v/>
      </c>
      <c r="S108" s="33" t="str">
        <f t="shared" si="17"/>
        <v/>
      </c>
      <c r="T108" s="33" t="str">
        <f>IF($A108="","",SUMIFS(ORE!$F:$F,ORE!$B:$B,$B108,ORE!$D:$D,$D108))</f>
        <v/>
      </c>
      <c r="U108" s="35" t="str">
        <f t="shared" si="18"/>
        <v/>
      </c>
      <c r="V108" s="36" t="str">
        <f t="shared" si="19"/>
        <v/>
      </c>
    </row>
    <row r="109" spans="1:22" x14ac:dyDescent="0.3">
      <c r="A109" s="42"/>
      <c r="B109" s="42"/>
      <c r="C109" s="48"/>
      <c r="D109" s="42"/>
      <c r="E109" s="42"/>
      <c r="F109" s="42"/>
      <c r="G109" s="43"/>
      <c r="H109" s="43"/>
      <c r="I109" s="43"/>
      <c r="J109" s="42"/>
      <c r="K109" s="42"/>
      <c r="L109" s="49"/>
      <c r="M109" s="49"/>
      <c r="N109" s="33" t="str">
        <f>IF($A109="","",$M109*IFERROR(INDEX(SERVIZI!$M:$M,MATCH($B109,SERVIZI!$A:$A,0)),0))</f>
        <v/>
      </c>
      <c r="O109" s="42"/>
      <c r="P109" s="42"/>
      <c r="Q109" s="36" t="str">
        <f t="shared" ca="1" si="15"/>
        <v/>
      </c>
      <c r="R109" s="33" t="str">
        <f t="shared" ca="1" si="16"/>
        <v/>
      </c>
      <c r="S109" s="33" t="str">
        <f t="shared" si="17"/>
        <v/>
      </c>
      <c r="T109" s="33" t="str">
        <f>IF($A109="","",SUMIFS(ORE!$F:$F,ORE!$B:$B,$B109,ORE!$D:$D,$D109))</f>
        <v/>
      </c>
      <c r="U109" s="35" t="str">
        <f t="shared" si="18"/>
        <v/>
      </c>
      <c r="V109" s="36" t="str">
        <f t="shared" si="19"/>
        <v/>
      </c>
    </row>
    <row r="110" spans="1:22" x14ac:dyDescent="0.3">
      <c r="A110" s="42"/>
      <c r="B110" s="42"/>
      <c r="C110" s="48"/>
      <c r="D110" s="42"/>
      <c r="E110" s="42"/>
      <c r="F110" s="42"/>
      <c r="G110" s="43"/>
      <c r="H110" s="43"/>
      <c r="I110" s="43"/>
      <c r="J110" s="42"/>
      <c r="K110" s="42"/>
      <c r="L110" s="49"/>
      <c r="M110" s="49"/>
      <c r="N110" s="33" t="str">
        <f>IF($A110="","",$M110*IFERROR(INDEX(SERVIZI!$M:$M,MATCH($B110,SERVIZI!$A:$A,0)),0))</f>
        <v/>
      </c>
      <c r="O110" s="42"/>
      <c r="P110" s="42"/>
      <c r="Q110" s="36" t="str">
        <f t="shared" ca="1" si="15"/>
        <v/>
      </c>
      <c r="R110" s="33" t="str">
        <f t="shared" ca="1" si="16"/>
        <v/>
      </c>
      <c r="S110" s="33" t="str">
        <f t="shared" si="17"/>
        <v/>
      </c>
      <c r="T110" s="33" t="str">
        <f>IF($A110="","",SUMIFS(ORE!$F:$F,ORE!$B:$B,$B110,ORE!$D:$D,$D110))</f>
        <v/>
      </c>
      <c r="U110" s="35" t="str">
        <f t="shared" si="18"/>
        <v/>
      </c>
      <c r="V110" s="36" t="str">
        <f t="shared" si="19"/>
        <v/>
      </c>
    </row>
    <row r="111" spans="1:22" x14ac:dyDescent="0.3">
      <c r="A111" s="42"/>
      <c r="B111" s="42"/>
      <c r="C111" s="48"/>
      <c r="D111" s="42"/>
      <c r="E111" s="42"/>
      <c r="F111" s="42"/>
      <c r="G111" s="43"/>
      <c r="H111" s="43"/>
      <c r="I111" s="43"/>
      <c r="J111" s="42"/>
      <c r="K111" s="42"/>
      <c r="L111" s="49"/>
      <c r="M111" s="49"/>
      <c r="N111" s="33" t="str">
        <f>IF($A111="","",$M111*IFERROR(INDEX(SERVIZI!$M:$M,MATCH($B111,SERVIZI!$A:$A,0)),0))</f>
        <v/>
      </c>
      <c r="O111" s="42"/>
      <c r="P111" s="42"/>
      <c r="Q111" s="36" t="str">
        <f t="shared" ca="1" si="15"/>
        <v/>
      </c>
      <c r="R111" s="33" t="str">
        <f t="shared" ca="1" si="16"/>
        <v/>
      </c>
      <c r="S111" s="33" t="str">
        <f t="shared" si="17"/>
        <v/>
      </c>
      <c r="T111" s="33" t="str">
        <f>IF($A111="","",SUMIFS(ORE!$F:$F,ORE!$B:$B,$B111,ORE!$D:$D,$D111))</f>
        <v/>
      </c>
      <c r="U111" s="35" t="str">
        <f t="shared" si="18"/>
        <v/>
      </c>
      <c r="V111" s="36" t="str">
        <f t="shared" si="19"/>
        <v/>
      </c>
    </row>
    <row r="112" spans="1:22" x14ac:dyDescent="0.3">
      <c r="A112" s="42"/>
      <c r="B112" s="42"/>
      <c r="C112" s="48"/>
      <c r="D112" s="42"/>
      <c r="E112" s="42"/>
      <c r="F112" s="42"/>
      <c r="G112" s="43"/>
      <c r="H112" s="43"/>
      <c r="I112" s="43"/>
      <c r="J112" s="42"/>
      <c r="K112" s="42"/>
      <c r="L112" s="49"/>
      <c r="M112" s="49"/>
      <c r="N112" s="33" t="str">
        <f>IF($A112="","",$M112*IFERROR(INDEX(SERVIZI!$M:$M,MATCH($B112,SERVIZI!$A:$A,0)),0))</f>
        <v/>
      </c>
      <c r="O112" s="42"/>
      <c r="P112" s="42"/>
      <c r="Q112" s="36" t="str">
        <f t="shared" ca="1" si="15"/>
        <v/>
      </c>
      <c r="R112" s="33" t="str">
        <f t="shared" ca="1" si="16"/>
        <v/>
      </c>
      <c r="S112" s="33" t="str">
        <f t="shared" si="17"/>
        <v/>
      </c>
      <c r="T112" s="33" t="str">
        <f>IF($A112="","",SUMIFS(ORE!$F:$F,ORE!$B:$B,$B112,ORE!$D:$D,$D112))</f>
        <v/>
      </c>
      <c r="U112" s="35" t="str">
        <f t="shared" si="18"/>
        <v/>
      </c>
      <c r="V112" s="36" t="str">
        <f t="shared" si="19"/>
        <v/>
      </c>
    </row>
    <row r="113" spans="1:22" x14ac:dyDescent="0.3">
      <c r="A113" s="42"/>
      <c r="B113" s="42"/>
      <c r="C113" s="48"/>
      <c r="D113" s="42"/>
      <c r="E113" s="42"/>
      <c r="F113" s="42"/>
      <c r="G113" s="43"/>
      <c r="H113" s="43"/>
      <c r="I113" s="43"/>
      <c r="J113" s="42"/>
      <c r="K113" s="42"/>
      <c r="L113" s="49"/>
      <c r="M113" s="49"/>
      <c r="N113" s="33" t="str">
        <f>IF($A113="","",$M113*IFERROR(INDEX(SERVIZI!$M:$M,MATCH($B113,SERVIZI!$A:$A,0)),0))</f>
        <v/>
      </c>
      <c r="O113" s="42"/>
      <c r="P113" s="42"/>
      <c r="Q113" s="36" t="str">
        <f t="shared" ca="1" si="15"/>
        <v/>
      </c>
      <c r="R113" s="33" t="str">
        <f t="shared" ca="1" si="16"/>
        <v/>
      </c>
      <c r="S113" s="33" t="str">
        <f t="shared" si="17"/>
        <v/>
      </c>
      <c r="T113" s="33" t="str">
        <f>IF($A113="","",SUMIFS(ORE!$F:$F,ORE!$B:$B,$B113,ORE!$D:$D,$D113))</f>
        <v/>
      </c>
      <c r="U113" s="35" t="str">
        <f t="shared" si="18"/>
        <v/>
      </c>
      <c r="V113" s="36" t="str">
        <f t="shared" si="19"/>
        <v/>
      </c>
    </row>
    <row r="114" spans="1:22" x14ac:dyDescent="0.3">
      <c r="A114" s="42"/>
      <c r="B114" s="42"/>
      <c r="C114" s="48"/>
      <c r="D114" s="42"/>
      <c r="E114" s="42"/>
      <c r="F114" s="42"/>
      <c r="G114" s="43"/>
      <c r="H114" s="43"/>
      <c r="I114" s="43"/>
      <c r="J114" s="42"/>
      <c r="K114" s="42"/>
      <c r="L114" s="49"/>
      <c r="M114" s="49"/>
      <c r="N114" s="33" t="str">
        <f>IF($A114="","",$M114*IFERROR(INDEX(SERVIZI!$M:$M,MATCH($B114,SERVIZI!$A:$A,0)),0))</f>
        <v/>
      </c>
      <c r="O114" s="42"/>
      <c r="P114" s="42"/>
      <c r="Q114" s="36" t="str">
        <f t="shared" ca="1" si="15"/>
        <v/>
      </c>
      <c r="R114" s="33" t="str">
        <f t="shared" ca="1" si="16"/>
        <v/>
      </c>
      <c r="S114" s="33" t="str">
        <f t="shared" si="17"/>
        <v/>
      </c>
      <c r="T114" s="33" t="str">
        <f>IF($A114="","",SUMIFS(ORE!$F:$F,ORE!$B:$B,$B114,ORE!$D:$D,$D114))</f>
        <v/>
      </c>
      <c r="U114" s="35" t="str">
        <f t="shared" si="18"/>
        <v/>
      </c>
      <c r="V114" s="36" t="str">
        <f t="shared" si="19"/>
        <v/>
      </c>
    </row>
    <row r="115" spans="1:22" x14ac:dyDescent="0.3">
      <c r="A115" s="42"/>
      <c r="B115" s="42"/>
      <c r="C115" s="48"/>
      <c r="D115" s="42"/>
      <c r="E115" s="42"/>
      <c r="F115" s="42"/>
      <c r="G115" s="43"/>
      <c r="H115" s="43"/>
      <c r="I115" s="43"/>
      <c r="J115" s="42"/>
      <c r="K115" s="42"/>
      <c r="L115" s="49"/>
      <c r="M115" s="49"/>
      <c r="N115" s="33" t="str">
        <f>IF($A115="","",$M115*IFERROR(INDEX(SERVIZI!$M:$M,MATCH($B115,SERVIZI!$A:$A,0)),0))</f>
        <v/>
      </c>
      <c r="O115" s="42"/>
      <c r="P115" s="42"/>
      <c r="Q115" s="36" t="str">
        <f t="shared" ca="1" si="15"/>
        <v/>
      </c>
      <c r="R115" s="33" t="str">
        <f t="shared" ca="1" si="16"/>
        <v/>
      </c>
      <c r="S115" s="33" t="str">
        <f t="shared" si="17"/>
        <v/>
      </c>
      <c r="T115" s="33" t="str">
        <f>IF($A115="","",SUMIFS(ORE!$F:$F,ORE!$B:$B,$B115,ORE!$D:$D,$D115))</f>
        <v/>
      </c>
      <c r="U115" s="35" t="str">
        <f t="shared" si="18"/>
        <v/>
      </c>
      <c r="V115" s="36" t="str">
        <f t="shared" si="19"/>
        <v/>
      </c>
    </row>
    <row r="116" spans="1:22" x14ac:dyDescent="0.3">
      <c r="A116" s="42"/>
      <c r="B116" s="42"/>
      <c r="C116" s="48"/>
      <c r="D116" s="42"/>
      <c r="E116" s="42"/>
      <c r="F116" s="42"/>
      <c r="G116" s="43"/>
      <c r="H116" s="43"/>
      <c r="I116" s="43"/>
      <c r="J116" s="42"/>
      <c r="K116" s="42"/>
      <c r="L116" s="49"/>
      <c r="M116" s="49"/>
      <c r="N116" s="33" t="str">
        <f>IF($A116="","",$M116*IFERROR(INDEX(SERVIZI!$M:$M,MATCH($B116,SERVIZI!$A:$A,0)),0))</f>
        <v/>
      </c>
      <c r="O116" s="42"/>
      <c r="P116" s="42"/>
      <c r="Q116" s="36" t="str">
        <f t="shared" ca="1" si="15"/>
        <v/>
      </c>
      <c r="R116" s="33" t="str">
        <f t="shared" ca="1" si="16"/>
        <v/>
      </c>
      <c r="S116" s="33" t="str">
        <f t="shared" si="17"/>
        <v/>
      </c>
      <c r="T116" s="33" t="str">
        <f>IF($A116="","",SUMIFS(ORE!$F:$F,ORE!$B:$B,$B116,ORE!$D:$D,$D116))</f>
        <v/>
      </c>
      <c r="U116" s="35" t="str">
        <f t="shared" si="18"/>
        <v/>
      </c>
      <c r="V116" s="36" t="str">
        <f t="shared" si="19"/>
        <v/>
      </c>
    </row>
    <row r="117" spans="1:22" x14ac:dyDescent="0.3">
      <c r="A117" s="42"/>
      <c r="B117" s="42"/>
      <c r="C117" s="48"/>
      <c r="D117" s="42"/>
      <c r="E117" s="42"/>
      <c r="F117" s="42"/>
      <c r="G117" s="43"/>
      <c r="H117" s="43"/>
      <c r="I117" s="43"/>
      <c r="J117" s="42"/>
      <c r="K117" s="42"/>
      <c r="L117" s="49"/>
      <c r="M117" s="49"/>
      <c r="N117" s="33" t="str">
        <f>IF($A117="","",$M117*IFERROR(INDEX(SERVIZI!$M:$M,MATCH($B117,SERVIZI!$A:$A,0)),0))</f>
        <v/>
      </c>
      <c r="O117" s="42"/>
      <c r="P117" s="42"/>
      <c r="Q117" s="36" t="str">
        <f t="shared" ca="1" si="15"/>
        <v/>
      </c>
      <c r="R117" s="33" t="str">
        <f t="shared" ca="1" si="16"/>
        <v/>
      </c>
      <c r="S117" s="33" t="str">
        <f t="shared" si="17"/>
        <v/>
      </c>
      <c r="T117" s="33" t="str">
        <f>IF($A117="","",SUMIFS(ORE!$F:$F,ORE!$B:$B,$B117,ORE!$D:$D,$D117))</f>
        <v/>
      </c>
      <c r="U117" s="35" t="str">
        <f t="shared" si="18"/>
        <v/>
      </c>
      <c r="V117" s="36" t="str">
        <f t="shared" si="19"/>
        <v/>
      </c>
    </row>
    <row r="118" spans="1:22" x14ac:dyDescent="0.3">
      <c r="A118" s="42"/>
      <c r="B118" s="42"/>
      <c r="C118" s="48"/>
      <c r="D118" s="42"/>
      <c r="E118" s="42"/>
      <c r="F118" s="42"/>
      <c r="G118" s="43"/>
      <c r="H118" s="43"/>
      <c r="I118" s="43"/>
      <c r="J118" s="42"/>
      <c r="K118" s="42"/>
      <c r="L118" s="49"/>
      <c r="M118" s="49"/>
      <c r="N118" s="33" t="str">
        <f>IF($A118="","",$M118*IFERROR(INDEX(SERVIZI!$M:$M,MATCH($B118,SERVIZI!$A:$A,0)),0))</f>
        <v/>
      </c>
      <c r="O118" s="42"/>
      <c r="P118" s="42"/>
      <c r="Q118" s="36" t="str">
        <f t="shared" ca="1" si="15"/>
        <v/>
      </c>
      <c r="R118" s="33" t="str">
        <f t="shared" ca="1" si="16"/>
        <v/>
      </c>
      <c r="S118" s="33" t="str">
        <f t="shared" si="17"/>
        <v/>
      </c>
      <c r="T118" s="33" t="str">
        <f>IF($A118="","",SUMIFS(ORE!$F:$F,ORE!$B:$B,$B118,ORE!$D:$D,$D118))</f>
        <v/>
      </c>
      <c r="U118" s="35" t="str">
        <f t="shared" si="18"/>
        <v/>
      </c>
      <c r="V118" s="36" t="str">
        <f t="shared" si="19"/>
        <v/>
      </c>
    </row>
    <row r="119" spans="1:22" x14ac:dyDescent="0.3">
      <c r="A119" s="42"/>
      <c r="B119" s="42"/>
      <c r="C119" s="48"/>
      <c r="D119" s="42"/>
      <c r="E119" s="42"/>
      <c r="F119" s="42"/>
      <c r="G119" s="43"/>
      <c r="H119" s="43"/>
      <c r="I119" s="43"/>
      <c r="J119" s="42"/>
      <c r="K119" s="42"/>
      <c r="L119" s="49"/>
      <c r="M119" s="49"/>
      <c r="N119" s="33" t="str">
        <f>IF($A119="","",$M119*IFERROR(INDEX(SERVIZI!$M:$M,MATCH($B119,SERVIZI!$A:$A,0)),0))</f>
        <v/>
      </c>
      <c r="O119" s="42"/>
      <c r="P119" s="42"/>
      <c r="Q119" s="36" t="str">
        <f t="shared" ca="1" si="15"/>
        <v/>
      </c>
      <c r="R119" s="33" t="str">
        <f t="shared" ca="1" si="16"/>
        <v/>
      </c>
      <c r="S119" s="33" t="str">
        <f t="shared" si="17"/>
        <v/>
      </c>
      <c r="T119" s="33" t="str">
        <f>IF($A119="","",SUMIFS(ORE!$F:$F,ORE!$B:$B,$B119,ORE!$D:$D,$D119))</f>
        <v/>
      </c>
      <c r="U119" s="35" t="str">
        <f t="shared" si="18"/>
        <v/>
      </c>
      <c r="V119" s="36" t="str">
        <f t="shared" si="19"/>
        <v/>
      </c>
    </row>
    <row r="120" spans="1:22" x14ac:dyDescent="0.3">
      <c r="A120" s="42"/>
      <c r="B120" s="42"/>
      <c r="C120" s="48"/>
      <c r="D120" s="42"/>
      <c r="E120" s="42"/>
      <c r="F120" s="42"/>
      <c r="G120" s="43"/>
      <c r="H120" s="43"/>
      <c r="I120" s="43"/>
      <c r="J120" s="42"/>
      <c r="K120" s="42"/>
      <c r="L120" s="49"/>
      <c r="M120" s="49"/>
      <c r="N120" s="33" t="str">
        <f>IF($A120="","",$M120*IFERROR(INDEX(SERVIZI!$M:$M,MATCH($B120,SERVIZI!$A:$A,0)),0))</f>
        <v/>
      </c>
      <c r="O120" s="42"/>
      <c r="P120" s="42"/>
      <c r="Q120" s="36" t="str">
        <f t="shared" ca="1" si="15"/>
        <v/>
      </c>
      <c r="R120" s="33" t="str">
        <f t="shared" ca="1" si="16"/>
        <v/>
      </c>
      <c r="S120" s="33" t="str">
        <f t="shared" si="17"/>
        <v/>
      </c>
      <c r="T120" s="33" t="str">
        <f>IF($A120="","",SUMIFS(ORE!$F:$F,ORE!$B:$B,$B120,ORE!$D:$D,$D120))</f>
        <v/>
      </c>
      <c r="U120" s="35" t="str">
        <f t="shared" si="18"/>
        <v/>
      </c>
      <c r="V120" s="36" t="str">
        <f t="shared" si="19"/>
        <v/>
      </c>
    </row>
    <row r="121" spans="1:22" x14ac:dyDescent="0.3">
      <c r="A121" s="42"/>
      <c r="B121" s="42"/>
      <c r="C121" s="48"/>
      <c r="D121" s="42"/>
      <c r="E121" s="42"/>
      <c r="F121" s="42"/>
      <c r="G121" s="43"/>
      <c r="H121" s="43"/>
      <c r="I121" s="43"/>
      <c r="J121" s="42"/>
      <c r="K121" s="42"/>
      <c r="L121" s="49"/>
      <c r="M121" s="49"/>
      <c r="N121" s="33" t="str">
        <f>IF($A121="","",$M121*IFERROR(INDEX(SERVIZI!$M:$M,MATCH($B121,SERVIZI!$A:$A,0)),0))</f>
        <v/>
      </c>
      <c r="O121" s="42"/>
      <c r="P121" s="42"/>
      <c r="Q121" s="36" t="str">
        <f t="shared" ca="1" si="15"/>
        <v/>
      </c>
      <c r="R121" s="33" t="str">
        <f t="shared" ca="1" si="16"/>
        <v/>
      </c>
      <c r="S121" s="33" t="str">
        <f t="shared" si="17"/>
        <v/>
      </c>
      <c r="T121" s="33" t="str">
        <f>IF($A121="","",SUMIFS(ORE!$F:$F,ORE!$B:$B,$B121,ORE!$D:$D,$D121))</f>
        <v/>
      </c>
      <c r="U121" s="35" t="str">
        <f t="shared" si="18"/>
        <v/>
      </c>
      <c r="V121" s="36" t="str">
        <f t="shared" si="19"/>
        <v/>
      </c>
    </row>
    <row r="122" spans="1:22" x14ac:dyDescent="0.3">
      <c r="A122" s="42"/>
      <c r="B122" s="42"/>
      <c r="C122" s="48"/>
      <c r="D122" s="42"/>
      <c r="E122" s="42"/>
      <c r="F122" s="42"/>
      <c r="G122" s="43"/>
      <c r="H122" s="43"/>
      <c r="I122" s="43"/>
      <c r="J122" s="42"/>
      <c r="K122" s="42"/>
      <c r="L122" s="49"/>
      <c r="M122" s="49"/>
      <c r="N122" s="33" t="str">
        <f>IF($A122="","",$M122*IFERROR(INDEX(SERVIZI!$M:$M,MATCH($B122,SERVIZI!$A:$A,0)),0))</f>
        <v/>
      </c>
      <c r="O122" s="42"/>
      <c r="P122" s="42"/>
      <c r="Q122" s="36" t="str">
        <f t="shared" ca="1" si="15"/>
        <v/>
      </c>
      <c r="R122" s="33" t="str">
        <f t="shared" ca="1" si="16"/>
        <v/>
      </c>
      <c r="S122" s="33" t="str">
        <f t="shared" si="17"/>
        <v/>
      </c>
      <c r="T122" s="33" t="str">
        <f>IF($A122="","",SUMIFS(ORE!$F:$F,ORE!$B:$B,$B122,ORE!$D:$D,$D122))</f>
        <v/>
      </c>
      <c r="U122" s="35" t="str">
        <f t="shared" si="18"/>
        <v/>
      </c>
      <c r="V122" s="36" t="str">
        <f t="shared" si="19"/>
        <v/>
      </c>
    </row>
    <row r="123" spans="1:22" x14ac:dyDescent="0.3">
      <c r="A123" s="42"/>
      <c r="B123" s="42"/>
      <c r="C123" s="48"/>
      <c r="D123" s="42"/>
      <c r="E123" s="42"/>
      <c r="F123" s="42"/>
      <c r="G123" s="43"/>
      <c r="H123" s="43"/>
      <c r="I123" s="43"/>
      <c r="J123" s="42"/>
      <c r="K123" s="42"/>
      <c r="L123" s="49"/>
      <c r="M123" s="49"/>
      <c r="N123" s="33" t="str">
        <f>IF($A123="","",$M123*IFERROR(INDEX(SERVIZI!$M:$M,MATCH($B123,SERVIZI!$A:$A,0)),0))</f>
        <v/>
      </c>
      <c r="O123" s="42"/>
      <c r="P123" s="42"/>
      <c r="Q123" s="36" t="str">
        <f t="shared" ca="1" si="15"/>
        <v/>
      </c>
      <c r="R123" s="33" t="str">
        <f t="shared" ca="1" si="16"/>
        <v/>
      </c>
      <c r="S123" s="33" t="str">
        <f t="shared" si="17"/>
        <v/>
      </c>
      <c r="T123" s="33" t="str">
        <f>IF($A123="","",SUMIFS(ORE!$F:$F,ORE!$B:$B,$B123,ORE!$D:$D,$D123))</f>
        <v/>
      </c>
      <c r="U123" s="35" t="str">
        <f t="shared" si="18"/>
        <v/>
      </c>
      <c r="V123" s="36" t="str">
        <f t="shared" si="19"/>
        <v/>
      </c>
    </row>
    <row r="124" spans="1:22" x14ac:dyDescent="0.3">
      <c r="A124" s="42"/>
      <c r="B124" s="42"/>
      <c r="C124" s="48"/>
      <c r="D124" s="42"/>
      <c r="E124" s="42"/>
      <c r="F124" s="42"/>
      <c r="G124" s="43"/>
      <c r="H124" s="43"/>
      <c r="I124" s="43"/>
      <c r="J124" s="42"/>
      <c r="K124" s="42"/>
      <c r="L124" s="49"/>
      <c r="M124" s="49"/>
      <c r="N124" s="33" t="str">
        <f>IF($A124="","",$M124*IFERROR(INDEX(SERVIZI!$M:$M,MATCH($B124,SERVIZI!$A:$A,0)),0))</f>
        <v/>
      </c>
      <c r="O124" s="42"/>
      <c r="P124" s="42"/>
      <c r="Q124" s="36" t="str">
        <f t="shared" ca="1" si="15"/>
        <v/>
      </c>
      <c r="R124" s="33" t="str">
        <f t="shared" ca="1" si="16"/>
        <v/>
      </c>
      <c r="S124" s="33" t="str">
        <f t="shared" si="17"/>
        <v/>
      </c>
      <c r="T124" s="33" t="str">
        <f>IF($A124="","",SUMIFS(ORE!$F:$F,ORE!$B:$B,$B124,ORE!$D:$D,$D124))</f>
        <v/>
      </c>
      <c r="U124" s="35" t="str">
        <f t="shared" si="18"/>
        <v/>
      </c>
      <c r="V124" s="36" t="str">
        <f t="shared" si="19"/>
        <v/>
      </c>
    </row>
    <row r="125" spans="1:22" x14ac:dyDescent="0.3">
      <c r="A125" s="42"/>
      <c r="B125" s="42"/>
      <c r="C125" s="48"/>
      <c r="D125" s="42"/>
      <c r="E125" s="42"/>
      <c r="F125" s="42"/>
      <c r="G125" s="43"/>
      <c r="H125" s="43"/>
      <c r="I125" s="43"/>
      <c r="J125" s="42"/>
      <c r="K125" s="42"/>
      <c r="L125" s="49"/>
      <c r="M125" s="49"/>
      <c r="N125" s="33" t="str">
        <f>IF($A125="","",$M125*IFERROR(INDEX(SERVIZI!$M:$M,MATCH($B125,SERVIZI!$A:$A,0)),0))</f>
        <v/>
      </c>
      <c r="O125" s="42"/>
      <c r="P125" s="42"/>
      <c r="Q125" s="36" t="str">
        <f t="shared" ca="1" si="15"/>
        <v/>
      </c>
      <c r="R125" s="33" t="str">
        <f t="shared" ca="1" si="16"/>
        <v/>
      </c>
      <c r="S125" s="33" t="str">
        <f t="shared" si="17"/>
        <v/>
      </c>
      <c r="T125" s="33" t="str">
        <f>IF($A125="","",SUMIFS(ORE!$F:$F,ORE!$B:$B,$B125,ORE!$D:$D,$D125))</f>
        <v/>
      </c>
      <c r="U125" s="35" t="str">
        <f t="shared" si="18"/>
        <v/>
      </c>
      <c r="V125" s="36" t="str">
        <f t="shared" si="19"/>
        <v/>
      </c>
    </row>
    <row r="126" spans="1:22" x14ac:dyDescent="0.3">
      <c r="A126" s="42"/>
      <c r="B126" s="42"/>
      <c r="C126" s="48"/>
      <c r="D126" s="42"/>
      <c r="E126" s="42"/>
      <c r="F126" s="42"/>
      <c r="G126" s="43"/>
      <c r="H126" s="43"/>
      <c r="I126" s="43"/>
      <c r="J126" s="42"/>
      <c r="K126" s="42"/>
      <c r="L126" s="49"/>
      <c r="M126" s="49"/>
      <c r="N126" s="33" t="str">
        <f>IF($A126="","",$M126*IFERROR(INDEX(SERVIZI!$M:$M,MATCH($B126,SERVIZI!$A:$A,0)),0))</f>
        <v/>
      </c>
      <c r="O126" s="42"/>
      <c r="P126" s="42"/>
      <c r="Q126" s="36" t="str">
        <f t="shared" ca="1" si="15"/>
        <v/>
      </c>
      <c r="R126" s="33" t="str">
        <f t="shared" ca="1" si="16"/>
        <v/>
      </c>
      <c r="S126" s="33" t="str">
        <f t="shared" si="17"/>
        <v/>
      </c>
      <c r="T126" s="33" t="str">
        <f>IF($A126="","",SUMIFS(ORE!$F:$F,ORE!$B:$B,$B126,ORE!$D:$D,$D126))</f>
        <v/>
      </c>
      <c r="U126" s="35" t="str">
        <f t="shared" si="18"/>
        <v/>
      </c>
      <c r="V126" s="36" t="str">
        <f t="shared" si="19"/>
        <v/>
      </c>
    </row>
    <row r="127" spans="1:22" x14ac:dyDescent="0.3">
      <c r="A127" s="42"/>
      <c r="B127" s="42"/>
      <c r="C127" s="48"/>
      <c r="D127" s="42"/>
      <c r="E127" s="42"/>
      <c r="F127" s="42"/>
      <c r="G127" s="43"/>
      <c r="H127" s="43"/>
      <c r="I127" s="43"/>
      <c r="J127" s="42"/>
      <c r="K127" s="42"/>
      <c r="L127" s="49"/>
      <c r="M127" s="49"/>
      <c r="N127" s="33" t="str">
        <f>IF($A127="","",$M127*IFERROR(INDEX(SERVIZI!$M:$M,MATCH($B127,SERVIZI!$A:$A,0)),0))</f>
        <v/>
      </c>
      <c r="O127" s="42"/>
      <c r="P127" s="42"/>
      <c r="Q127" s="36" t="str">
        <f t="shared" ca="1" si="15"/>
        <v/>
      </c>
      <c r="R127" s="33" t="str">
        <f t="shared" ca="1" si="16"/>
        <v/>
      </c>
      <c r="S127" s="33" t="str">
        <f t="shared" si="17"/>
        <v/>
      </c>
      <c r="T127" s="33" t="str">
        <f>IF($A127="","",SUMIFS(ORE!$F:$F,ORE!$B:$B,$B127,ORE!$D:$D,$D127))</f>
        <v/>
      </c>
      <c r="U127" s="35" t="str">
        <f t="shared" si="18"/>
        <v/>
      </c>
      <c r="V127" s="36" t="str">
        <f t="shared" si="19"/>
        <v/>
      </c>
    </row>
    <row r="128" spans="1:22" x14ac:dyDescent="0.3">
      <c r="A128" s="42"/>
      <c r="B128" s="42"/>
      <c r="C128" s="48"/>
      <c r="D128" s="42"/>
      <c r="E128" s="42"/>
      <c r="F128" s="42"/>
      <c r="G128" s="43"/>
      <c r="H128" s="43"/>
      <c r="I128" s="43"/>
      <c r="J128" s="42"/>
      <c r="K128" s="42"/>
      <c r="L128" s="49"/>
      <c r="M128" s="49"/>
      <c r="N128" s="33" t="str">
        <f>IF($A128="","",$M128*IFERROR(INDEX(SERVIZI!$M:$M,MATCH($B128,SERVIZI!$A:$A,0)),0))</f>
        <v/>
      </c>
      <c r="O128" s="42"/>
      <c r="P128" s="42"/>
      <c r="Q128" s="36" t="str">
        <f t="shared" ca="1" si="15"/>
        <v/>
      </c>
      <c r="R128" s="33" t="str">
        <f t="shared" ca="1" si="16"/>
        <v/>
      </c>
      <c r="S128" s="33" t="str">
        <f t="shared" si="17"/>
        <v/>
      </c>
      <c r="T128" s="33" t="str">
        <f>IF($A128="","",SUMIFS(ORE!$F:$F,ORE!$B:$B,$B128,ORE!$D:$D,$D128))</f>
        <v/>
      </c>
      <c r="U128" s="35" t="str">
        <f t="shared" si="18"/>
        <v/>
      </c>
      <c r="V128" s="36" t="str">
        <f t="shared" si="19"/>
        <v/>
      </c>
    </row>
    <row r="129" spans="1:22" x14ac:dyDescent="0.3">
      <c r="A129" s="42"/>
      <c r="B129" s="42"/>
      <c r="C129" s="48"/>
      <c r="D129" s="42"/>
      <c r="E129" s="42"/>
      <c r="F129" s="42"/>
      <c r="G129" s="43"/>
      <c r="H129" s="43"/>
      <c r="I129" s="43"/>
      <c r="J129" s="42"/>
      <c r="K129" s="42"/>
      <c r="L129" s="49"/>
      <c r="M129" s="49"/>
      <c r="N129" s="33" t="str">
        <f>IF($A129="","",$M129*IFERROR(INDEX(SERVIZI!$M:$M,MATCH($B129,SERVIZI!$A:$A,0)),0))</f>
        <v/>
      </c>
      <c r="O129" s="42"/>
      <c r="P129" s="42"/>
      <c r="Q129" s="36" t="str">
        <f t="shared" ca="1" si="15"/>
        <v/>
      </c>
      <c r="R129" s="33" t="str">
        <f t="shared" ca="1" si="16"/>
        <v/>
      </c>
      <c r="S129" s="33" t="str">
        <f t="shared" si="17"/>
        <v/>
      </c>
      <c r="T129" s="33" t="str">
        <f>IF($A129="","",SUMIFS(ORE!$F:$F,ORE!$B:$B,$B129,ORE!$D:$D,$D129))</f>
        <v/>
      </c>
      <c r="U129" s="35" t="str">
        <f t="shared" si="18"/>
        <v/>
      </c>
      <c r="V129" s="36" t="str">
        <f t="shared" si="19"/>
        <v/>
      </c>
    </row>
    <row r="130" spans="1:22" x14ac:dyDescent="0.3">
      <c r="A130" s="42"/>
      <c r="B130" s="42"/>
      <c r="C130" s="48"/>
      <c r="D130" s="42"/>
      <c r="E130" s="42"/>
      <c r="F130" s="42"/>
      <c r="G130" s="43"/>
      <c r="H130" s="43"/>
      <c r="I130" s="43"/>
      <c r="J130" s="42"/>
      <c r="K130" s="42"/>
      <c r="L130" s="49"/>
      <c r="M130" s="49"/>
      <c r="N130" s="33" t="str">
        <f>IF($A130="","",$M130*IFERROR(INDEX(SERVIZI!$M:$M,MATCH($B130,SERVIZI!$A:$A,0)),0))</f>
        <v/>
      </c>
      <c r="O130" s="42"/>
      <c r="P130" s="42"/>
      <c r="Q130" s="36" t="str">
        <f t="shared" ref="Q130:Q161" ca="1" si="20">IF($A130="","",IF($L130&gt;=1,"Completata",IF(AND($H130&lt;&gt;"",$H130&lt;TODAY()),"IN RITARDO",IF($L130&gt;0,"In corso","Da avviare"))))</f>
        <v/>
      </c>
      <c r="R130" s="33" t="str">
        <f t="shared" ref="R130:R161" ca="1" si="21">IF($A130="","",IF(AND($H130&lt;&gt;"",$L130&lt;1,$H130&lt;TODAY()),TODAY()-$H130,0))</f>
        <v/>
      </c>
      <c r="S130" s="33" t="str">
        <f t="shared" ref="S130:S161" si="22">IF($A130="","",IF(AND($G130&lt;&gt;"",$H130&lt;&gt;""),$H130-$G130,0))</f>
        <v/>
      </c>
      <c r="T130" s="33" t="str">
        <f>IF($A130="","",SUMIFS(ORE!$F:$F,ORE!$B:$B,$B130,ORE!$D:$D,$D130))</f>
        <v/>
      </c>
      <c r="U130" s="35" t="str">
        <f t="shared" ref="U130:U161" si="23">IF($A130="","",IFERROR($T130/$N130,0))</f>
        <v/>
      </c>
      <c r="V130" s="36" t="str">
        <f t="shared" ref="V130:V161" si="24">IF($A130="","",IF(AND($U130&gt;$L130+0.2,$N130&gt;0),"ORE SOPRA AVANZAMENTO",IF($Q130="IN RITARDO","IN RITARDO","OK")))</f>
        <v/>
      </c>
    </row>
    <row r="131" spans="1:22" x14ac:dyDescent="0.3">
      <c r="A131" s="42"/>
      <c r="B131" s="42"/>
      <c r="C131" s="48"/>
      <c r="D131" s="42"/>
      <c r="E131" s="42"/>
      <c r="F131" s="42"/>
      <c r="G131" s="43"/>
      <c r="H131" s="43"/>
      <c r="I131" s="43"/>
      <c r="J131" s="42"/>
      <c r="K131" s="42"/>
      <c r="L131" s="49"/>
      <c r="M131" s="49"/>
      <c r="N131" s="33" t="str">
        <f>IF($A131="","",$M131*IFERROR(INDEX(SERVIZI!$M:$M,MATCH($B131,SERVIZI!$A:$A,0)),0))</f>
        <v/>
      </c>
      <c r="O131" s="42"/>
      <c r="P131" s="42"/>
      <c r="Q131" s="36" t="str">
        <f t="shared" ca="1" si="20"/>
        <v/>
      </c>
      <c r="R131" s="33" t="str">
        <f t="shared" ca="1" si="21"/>
        <v/>
      </c>
      <c r="S131" s="33" t="str">
        <f t="shared" si="22"/>
        <v/>
      </c>
      <c r="T131" s="33" t="str">
        <f>IF($A131="","",SUMIFS(ORE!$F:$F,ORE!$B:$B,$B131,ORE!$D:$D,$D131))</f>
        <v/>
      </c>
      <c r="U131" s="35" t="str">
        <f t="shared" si="23"/>
        <v/>
      </c>
      <c r="V131" s="36" t="str">
        <f t="shared" si="24"/>
        <v/>
      </c>
    </row>
    <row r="132" spans="1:22" x14ac:dyDescent="0.3">
      <c r="A132" s="42"/>
      <c r="B132" s="42"/>
      <c r="C132" s="48"/>
      <c r="D132" s="42"/>
      <c r="E132" s="42"/>
      <c r="F132" s="42"/>
      <c r="G132" s="43"/>
      <c r="H132" s="43"/>
      <c r="I132" s="43"/>
      <c r="J132" s="42"/>
      <c r="K132" s="42"/>
      <c r="L132" s="49"/>
      <c r="M132" s="49"/>
      <c r="N132" s="33" t="str">
        <f>IF($A132="","",$M132*IFERROR(INDEX(SERVIZI!$M:$M,MATCH($B132,SERVIZI!$A:$A,0)),0))</f>
        <v/>
      </c>
      <c r="O132" s="42"/>
      <c r="P132" s="42"/>
      <c r="Q132" s="36" t="str">
        <f t="shared" ca="1" si="20"/>
        <v/>
      </c>
      <c r="R132" s="33" t="str">
        <f t="shared" ca="1" si="21"/>
        <v/>
      </c>
      <c r="S132" s="33" t="str">
        <f t="shared" si="22"/>
        <v/>
      </c>
      <c r="T132" s="33" t="str">
        <f>IF($A132="","",SUMIFS(ORE!$F:$F,ORE!$B:$B,$B132,ORE!$D:$D,$D132))</f>
        <v/>
      </c>
      <c r="U132" s="35" t="str">
        <f t="shared" si="23"/>
        <v/>
      </c>
      <c r="V132" s="36" t="str">
        <f t="shared" si="24"/>
        <v/>
      </c>
    </row>
    <row r="133" spans="1:22" x14ac:dyDescent="0.3">
      <c r="A133" s="42"/>
      <c r="B133" s="42"/>
      <c r="C133" s="48"/>
      <c r="D133" s="42"/>
      <c r="E133" s="42"/>
      <c r="F133" s="42"/>
      <c r="G133" s="43"/>
      <c r="H133" s="43"/>
      <c r="I133" s="43"/>
      <c r="J133" s="42"/>
      <c r="K133" s="42"/>
      <c r="L133" s="49"/>
      <c r="M133" s="49"/>
      <c r="N133" s="33" t="str">
        <f>IF($A133="","",$M133*IFERROR(INDEX(SERVIZI!$M:$M,MATCH($B133,SERVIZI!$A:$A,0)),0))</f>
        <v/>
      </c>
      <c r="O133" s="42"/>
      <c r="P133" s="42"/>
      <c r="Q133" s="36" t="str">
        <f t="shared" ca="1" si="20"/>
        <v/>
      </c>
      <c r="R133" s="33" t="str">
        <f t="shared" ca="1" si="21"/>
        <v/>
      </c>
      <c r="S133" s="33" t="str">
        <f t="shared" si="22"/>
        <v/>
      </c>
      <c r="T133" s="33" t="str">
        <f>IF($A133="","",SUMIFS(ORE!$F:$F,ORE!$B:$B,$B133,ORE!$D:$D,$D133))</f>
        <v/>
      </c>
      <c r="U133" s="35" t="str">
        <f t="shared" si="23"/>
        <v/>
      </c>
      <c r="V133" s="36" t="str">
        <f t="shared" si="24"/>
        <v/>
      </c>
    </row>
    <row r="134" spans="1:22" x14ac:dyDescent="0.3">
      <c r="A134" s="42"/>
      <c r="B134" s="42"/>
      <c r="C134" s="48"/>
      <c r="D134" s="42"/>
      <c r="E134" s="42"/>
      <c r="F134" s="42"/>
      <c r="G134" s="43"/>
      <c r="H134" s="43"/>
      <c r="I134" s="43"/>
      <c r="J134" s="42"/>
      <c r="K134" s="42"/>
      <c r="L134" s="49"/>
      <c r="M134" s="49"/>
      <c r="N134" s="33" t="str">
        <f>IF($A134="","",$M134*IFERROR(INDEX(SERVIZI!$M:$M,MATCH($B134,SERVIZI!$A:$A,0)),0))</f>
        <v/>
      </c>
      <c r="O134" s="42"/>
      <c r="P134" s="42"/>
      <c r="Q134" s="36" t="str">
        <f t="shared" ca="1" si="20"/>
        <v/>
      </c>
      <c r="R134" s="33" t="str">
        <f t="shared" ca="1" si="21"/>
        <v/>
      </c>
      <c r="S134" s="33" t="str">
        <f t="shared" si="22"/>
        <v/>
      </c>
      <c r="T134" s="33" t="str">
        <f>IF($A134="","",SUMIFS(ORE!$F:$F,ORE!$B:$B,$B134,ORE!$D:$D,$D134))</f>
        <v/>
      </c>
      <c r="U134" s="35" t="str">
        <f t="shared" si="23"/>
        <v/>
      </c>
      <c r="V134" s="36" t="str">
        <f t="shared" si="24"/>
        <v/>
      </c>
    </row>
    <row r="135" spans="1:22" x14ac:dyDescent="0.3">
      <c r="A135" s="42"/>
      <c r="B135" s="42"/>
      <c r="C135" s="48"/>
      <c r="D135" s="42"/>
      <c r="E135" s="42"/>
      <c r="F135" s="42"/>
      <c r="G135" s="43"/>
      <c r="H135" s="43"/>
      <c r="I135" s="43"/>
      <c r="J135" s="42"/>
      <c r="K135" s="42"/>
      <c r="L135" s="49"/>
      <c r="M135" s="49"/>
      <c r="N135" s="33" t="str">
        <f>IF($A135="","",$M135*IFERROR(INDEX(SERVIZI!$M:$M,MATCH($B135,SERVIZI!$A:$A,0)),0))</f>
        <v/>
      </c>
      <c r="O135" s="42"/>
      <c r="P135" s="42"/>
      <c r="Q135" s="36" t="str">
        <f t="shared" ca="1" si="20"/>
        <v/>
      </c>
      <c r="R135" s="33" t="str">
        <f t="shared" ca="1" si="21"/>
        <v/>
      </c>
      <c r="S135" s="33" t="str">
        <f t="shared" si="22"/>
        <v/>
      </c>
      <c r="T135" s="33" t="str">
        <f>IF($A135="","",SUMIFS(ORE!$F:$F,ORE!$B:$B,$B135,ORE!$D:$D,$D135))</f>
        <v/>
      </c>
      <c r="U135" s="35" t="str">
        <f t="shared" si="23"/>
        <v/>
      </c>
      <c r="V135" s="36" t="str">
        <f t="shared" si="24"/>
        <v/>
      </c>
    </row>
    <row r="136" spans="1:22" x14ac:dyDescent="0.3">
      <c r="A136" s="42"/>
      <c r="B136" s="42"/>
      <c r="C136" s="48"/>
      <c r="D136" s="42"/>
      <c r="E136" s="42"/>
      <c r="F136" s="42"/>
      <c r="G136" s="43"/>
      <c r="H136" s="43"/>
      <c r="I136" s="43"/>
      <c r="J136" s="42"/>
      <c r="K136" s="42"/>
      <c r="L136" s="49"/>
      <c r="M136" s="49"/>
      <c r="N136" s="33" t="str">
        <f>IF($A136="","",$M136*IFERROR(INDEX(SERVIZI!$M:$M,MATCH($B136,SERVIZI!$A:$A,0)),0))</f>
        <v/>
      </c>
      <c r="O136" s="42"/>
      <c r="P136" s="42"/>
      <c r="Q136" s="36" t="str">
        <f t="shared" ca="1" si="20"/>
        <v/>
      </c>
      <c r="R136" s="33" t="str">
        <f t="shared" ca="1" si="21"/>
        <v/>
      </c>
      <c r="S136" s="33" t="str">
        <f t="shared" si="22"/>
        <v/>
      </c>
      <c r="T136" s="33" t="str">
        <f>IF($A136="","",SUMIFS(ORE!$F:$F,ORE!$B:$B,$B136,ORE!$D:$D,$D136))</f>
        <v/>
      </c>
      <c r="U136" s="35" t="str">
        <f t="shared" si="23"/>
        <v/>
      </c>
      <c r="V136" s="36" t="str">
        <f t="shared" si="24"/>
        <v/>
      </c>
    </row>
    <row r="137" spans="1:22" x14ac:dyDescent="0.3">
      <c r="A137" s="42"/>
      <c r="B137" s="42"/>
      <c r="C137" s="48"/>
      <c r="D137" s="42"/>
      <c r="E137" s="42"/>
      <c r="F137" s="42"/>
      <c r="G137" s="43"/>
      <c r="H137" s="43"/>
      <c r="I137" s="43"/>
      <c r="J137" s="42"/>
      <c r="K137" s="42"/>
      <c r="L137" s="49"/>
      <c r="M137" s="49"/>
      <c r="N137" s="33" t="str">
        <f>IF($A137="","",$M137*IFERROR(INDEX(SERVIZI!$M:$M,MATCH($B137,SERVIZI!$A:$A,0)),0))</f>
        <v/>
      </c>
      <c r="O137" s="42"/>
      <c r="P137" s="42"/>
      <c r="Q137" s="36" t="str">
        <f t="shared" ca="1" si="20"/>
        <v/>
      </c>
      <c r="R137" s="33" t="str">
        <f t="shared" ca="1" si="21"/>
        <v/>
      </c>
      <c r="S137" s="33" t="str">
        <f t="shared" si="22"/>
        <v/>
      </c>
      <c r="T137" s="33" t="str">
        <f>IF($A137="","",SUMIFS(ORE!$F:$F,ORE!$B:$B,$B137,ORE!$D:$D,$D137))</f>
        <v/>
      </c>
      <c r="U137" s="35" t="str">
        <f t="shared" si="23"/>
        <v/>
      </c>
      <c r="V137" s="36" t="str">
        <f t="shared" si="24"/>
        <v/>
      </c>
    </row>
    <row r="138" spans="1:22" x14ac:dyDescent="0.3">
      <c r="A138" s="42"/>
      <c r="B138" s="42"/>
      <c r="C138" s="48"/>
      <c r="D138" s="42"/>
      <c r="E138" s="42"/>
      <c r="F138" s="42"/>
      <c r="G138" s="43"/>
      <c r="H138" s="43"/>
      <c r="I138" s="43"/>
      <c r="J138" s="42"/>
      <c r="K138" s="42"/>
      <c r="L138" s="49"/>
      <c r="M138" s="49"/>
      <c r="N138" s="33" t="str">
        <f>IF($A138="","",$M138*IFERROR(INDEX(SERVIZI!$M:$M,MATCH($B138,SERVIZI!$A:$A,0)),0))</f>
        <v/>
      </c>
      <c r="O138" s="42"/>
      <c r="P138" s="42"/>
      <c r="Q138" s="36" t="str">
        <f t="shared" ca="1" si="20"/>
        <v/>
      </c>
      <c r="R138" s="33" t="str">
        <f t="shared" ca="1" si="21"/>
        <v/>
      </c>
      <c r="S138" s="33" t="str">
        <f t="shared" si="22"/>
        <v/>
      </c>
      <c r="T138" s="33" t="str">
        <f>IF($A138="","",SUMIFS(ORE!$F:$F,ORE!$B:$B,$B138,ORE!$D:$D,$D138))</f>
        <v/>
      </c>
      <c r="U138" s="35" t="str">
        <f t="shared" si="23"/>
        <v/>
      </c>
      <c r="V138" s="36" t="str">
        <f t="shared" si="24"/>
        <v/>
      </c>
    </row>
    <row r="139" spans="1:22" x14ac:dyDescent="0.3">
      <c r="A139" s="42"/>
      <c r="B139" s="42"/>
      <c r="C139" s="48"/>
      <c r="D139" s="42"/>
      <c r="E139" s="42"/>
      <c r="F139" s="42"/>
      <c r="G139" s="43"/>
      <c r="H139" s="43"/>
      <c r="I139" s="43"/>
      <c r="J139" s="42"/>
      <c r="K139" s="42"/>
      <c r="L139" s="49"/>
      <c r="M139" s="49"/>
      <c r="N139" s="33" t="str">
        <f>IF($A139="","",$M139*IFERROR(INDEX(SERVIZI!$M:$M,MATCH($B139,SERVIZI!$A:$A,0)),0))</f>
        <v/>
      </c>
      <c r="O139" s="42"/>
      <c r="P139" s="42"/>
      <c r="Q139" s="36" t="str">
        <f t="shared" ca="1" si="20"/>
        <v/>
      </c>
      <c r="R139" s="33" t="str">
        <f t="shared" ca="1" si="21"/>
        <v/>
      </c>
      <c r="S139" s="33" t="str">
        <f t="shared" si="22"/>
        <v/>
      </c>
      <c r="T139" s="33" t="str">
        <f>IF($A139="","",SUMIFS(ORE!$F:$F,ORE!$B:$B,$B139,ORE!$D:$D,$D139))</f>
        <v/>
      </c>
      <c r="U139" s="35" t="str">
        <f t="shared" si="23"/>
        <v/>
      </c>
      <c r="V139" s="36" t="str">
        <f t="shared" si="24"/>
        <v/>
      </c>
    </row>
    <row r="140" spans="1:22" x14ac:dyDescent="0.3">
      <c r="A140" s="42"/>
      <c r="B140" s="42"/>
      <c r="C140" s="48"/>
      <c r="D140" s="42"/>
      <c r="E140" s="42"/>
      <c r="F140" s="42"/>
      <c r="G140" s="43"/>
      <c r="H140" s="43"/>
      <c r="I140" s="43"/>
      <c r="J140" s="42"/>
      <c r="K140" s="42"/>
      <c r="L140" s="49"/>
      <c r="M140" s="49"/>
      <c r="N140" s="33" t="str">
        <f>IF($A140="","",$M140*IFERROR(INDEX(SERVIZI!$M:$M,MATCH($B140,SERVIZI!$A:$A,0)),0))</f>
        <v/>
      </c>
      <c r="O140" s="42"/>
      <c r="P140" s="42"/>
      <c r="Q140" s="36" t="str">
        <f t="shared" ca="1" si="20"/>
        <v/>
      </c>
      <c r="R140" s="33" t="str">
        <f t="shared" ca="1" si="21"/>
        <v/>
      </c>
      <c r="S140" s="33" t="str">
        <f t="shared" si="22"/>
        <v/>
      </c>
      <c r="T140" s="33" t="str">
        <f>IF($A140="","",SUMIFS(ORE!$F:$F,ORE!$B:$B,$B140,ORE!$D:$D,$D140))</f>
        <v/>
      </c>
      <c r="U140" s="35" t="str">
        <f t="shared" si="23"/>
        <v/>
      </c>
      <c r="V140" s="36" t="str">
        <f t="shared" si="24"/>
        <v/>
      </c>
    </row>
    <row r="141" spans="1:22" x14ac:dyDescent="0.3">
      <c r="A141" s="42"/>
      <c r="B141" s="42"/>
      <c r="C141" s="48"/>
      <c r="D141" s="42"/>
      <c r="E141" s="42"/>
      <c r="F141" s="42"/>
      <c r="G141" s="43"/>
      <c r="H141" s="43"/>
      <c r="I141" s="43"/>
      <c r="J141" s="42"/>
      <c r="K141" s="42"/>
      <c r="L141" s="49"/>
      <c r="M141" s="49"/>
      <c r="N141" s="33" t="str">
        <f>IF($A141="","",$M141*IFERROR(INDEX(SERVIZI!$M:$M,MATCH($B141,SERVIZI!$A:$A,0)),0))</f>
        <v/>
      </c>
      <c r="O141" s="42"/>
      <c r="P141" s="42"/>
      <c r="Q141" s="36" t="str">
        <f t="shared" ca="1" si="20"/>
        <v/>
      </c>
      <c r="R141" s="33" t="str">
        <f t="shared" ca="1" si="21"/>
        <v/>
      </c>
      <c r="S141" s="33" t="str">
        <f t="shared" si="22"/>
        <v/>
      </c>
      <c r="T141" s="33" t="str">
        <f>IF($A141="","",SUMIFS(ORE!$F:$F,ORE!$B:$B,$B141,ORE!$D:$D,$D141))</f>
        <v/>
      </c>
      <c r="U141" s="35" t="str">
        <f t="shared" si="23"/>
        <v/>
      </c>
      <c r="V141" s="36" t="str">
        <f t="shared" si="24"/>
        <v/>
      </c>
    </row>
    <row r="142" spans="1:22" x14ac:dyDescent="0.3">
      <c r="A142" s="42"/>
      <c r="B142" s="42"/>
      <c r="C142" s="48"/>
      <c r="D142" s="42"/>
      <c r="E142" s="42"/>
      <c r="F142" s="42"/>
      <c r="G142" s="43"/>
      <c r="H142" s="43"/>
      <c r="I142" s="43"/>
      <c r="J142" s="42"/>
      <c r="K142" s="42"/>
      <c r="L142" s="49"/>
      <c r="M142" s="49"/>
      <c r="N142" s="33" t="str">
        <f>IF($A142="","",$M142*IFERROR(INDEX(SERVIZI!$M:$M,MATCH($B142,SERVIZI!$A:$A,0)),0))</f>
        <v/>
      </c>
      <c r="O142" s="42"/>
      <c r="P142" s="42"/>
      <c r="Q142" s="36" t="str">
        <f t="shared" ca="1" si="20"/>
        <v/>
      </c>
      <c r="R142" s="33" t="str">
        <f t="shared" ca="1" si="21"/>
        <v/>
      </c>
      <c r="S142" s="33" t="str">
        <f t="shared" si="22"/>
        <v/>
      </c>
      <c r="T142" s="33" t="str">
        <f>IF($A142="","",SUMIFS(ORE!$F:$F,ORE!$B:$B,$B142,ORE!$D:$D,$D142))</f>
        <v/>
      </c>
      <c r="U142" s="35" t="str">
        <f t="shared" si="23"/>
        <v/>
      </c>
      <c r="V142" s="36" t="str">
        <f t="shared" si="24"/>
        <v/>
      </c>
    </row>
    <row r="143" spans="1:22" x14ac:dyDescent="0.3">
      <c r="A143" s="42"/>
      <c r="B143" s="42"/>
      <c r="C143" s="48"/>
      <c r="D143" s="42"/>
      <c r="E143" s="42"/>
      <c r="F143" s="42"/>
      <c r="G143" s="43"/>
      <c r="H143" s="43"/>
      <c r="I143" s="43"/>
      <c r="J143" s="42"/>
      <c r="K143" s="42"/>
      <c r="L143" s="49"/>
      <c r="M143" s="49"/>
      <c r="N143" s="33" t="str">
        <f>IF($A143="","",$M143*IFERROR(INDEX(SERVIZI!$M:$M,MATCH($B143,SERVIZI!$A:$A,0)),0))</f>
        <v/>
      </c>
      <c r="O143" s="42"/>
      <c r="P143" s="42"/>
      <c r="Q143" s="36" t="str">
        <f t="shared" ca="1" si="20"/>
        <v/>
      </c>
      <c r="R143" s="33" t="str">
        <f t="shared" ca="1" si="21"/>
        <v/>
      </c>
      <c r="S143" s="33" t="str">
        <f t="shared" si="22"/>
        <v/>
      </c>
      <c r="T143" s="33" t="str">
        <f>IF($A143="","",SUMIFS(ORE!$F:$F,ORE!$B:$B,$B143,ORE!$D:$D,$D143))</f>
        <v/>
      </c>
      <c r="U143" s="35" t="str">
        <f t="shared" si="23"/>
        <v/>
      </c>
      <c r="V143" s="36" t="str">
        <f t="shared" si="24"/>
        <v/>
      </c>
    </row>
    <row r="144" spans="1:22" x14ac:dyDescent="0.3">
      <c r="A144" s="42"/>
      <c r="B144" s="42"/>
      <c r="C144" s="48"/>
      <c r="D144" s="42"/>
      <c r="E144" s="42"/>
      <c r="F144" s="42"/>
      <c r="G144" s="43"/>
      <c r="H144" s="43"/>
      <c r="I144" s="43"/>
      <c r="J144" s="42"/>
      <c r="K144" s="42"/>
      <c r="L144" s="49"/>
      <c r="M144" s="49"/>
      <c r="N144" s="33" t="str">
        <f>IF($A144="","",$M144*IFERROR(INDEX(SERVIZI!$M:$M,MATCH($B144,SERVIZI!$A:$A,0)),0))</f>
        <v/>
      </c>
      <c r="O144" s="42"/>
      <c r="P144" s="42"/>
      <c r="Q144" s="36" t="str">
        <f t="shared" ca="1" si="20"/>
        <v/>
      </c>
      <c r="R144" s="33" t="str">
        <f t="shared" ca="1" si="21"/>
        <v/>
      </c>
      <c r="S144" s="33" t="str">
        <f t="shared" si="22"/>
        <v/>
      </c>
      <c r="T144" s="33" t="str">
        <f>IF($A144="","",SUMIFS(ORE!$F:$F,ORE!$B:$B,$B144,ORE!$D:$D,$D144))</f>
        <v/>
      </c>
      <c r="U144" s="35" t="str">
        <f t="shared" si="23"/>
        <v/>
      </c>
      <c r="V144" s="36" t="str">
        <f t="shared" si="24"/>
        <v/>
      </c>
    </row>
    <row r="145" spans="1:22" x14ac:dyDescent="0.3">
      <c r="A145" s="42"/>
      <c r="B145" s="42"/>
      <c r="C145" s="48"/>
      <c r="D145" s="42"/>
      <c r="E145" s="42"/>
      <c r="F145" s="42"/>
      <c r="G145" s="43"/>
      <c r="H145" s="43"/>
      <c r="I145" s="43"/>
      <c r="J145" s="42"/>
      <c r="K145" s="42"/>
      <c r="L145" s="49"/>
      <c r="M145" s="49"/>
      <c r="N145" s="33" t="str">
        <f>IF($A145="","",$M145*IFERROR(INDEX(SERVIZI!$M:$M,MATCH($B145,SERVIZI!$A:$A,0)),0))</f>
        <v/>
      </c>
      <c r="O145" s="42"/>
      <c r="P145" s="42"/>
      <c r="Q145" s="36" t="str">
        <f t="shared" ca="1" si="20"/>
        <v/>
      </c>
      <c r="R145" s="33" t="str">
        <f t="shared" ca="1" si="21"/>
        <v/>
      </c>
      <c r="S145" s="33" t="str">
        <f t="shared" si="22"/>
        <v/>
      </c>
      <c r="T145" s="33" t="str">
        <f>IF($A145="","",SUMIFS(ORE!$F:$F,ORE!$B:$B,$B145,ORE!$D:$D,$D145))</f>
        <v/>
      </c>
      <c r="U145" s="35" t="str">
        <f t="shared" si="23"/>
        <v/>
      </c>
      <c r="V145" s="36" t="str">
        <f t="shared" si="24"/>
        <v/>
      </c>
    </row>
    <row r="146" spans="1:22" x14ac:dyDescent="0.3">
      <c r="A146" s="42"/>
      <c r="B146" s="42"/>
      <c r="C146" s="48"/>
      <c r="D146" s="42"/>
      <c r="E146" s="42"/>
      <c r="F146" s="42"/>
      <c r="G146" s="43"/>
      <c r="H146" s="43"/>
      <c r="I146" s="43"/>
      <c r="J146" s="42"/>
      <c r="K146" s="42"/>
      <c r="L146" s="49"/>
      <c r="M146" s="49"/>
      <c r="N146" s="33" t="str">
        <f>IF($A146="","",$M146*IFERROR(INDEX(SERVIZI!$M:$M,MATCH($B146,SERVIZI!$A:$A,0)),0))</f>
        <v/>
      </c>
      <c r="O146" s="42"/>
      <c r="P146" s="42"/>
      <c r="Q146" s="36" t="str">
        <f t="shared" ca="1" si="20"/>
        <v/>
      </c>
      <c r="R146" s="33" t="str">
        <f t="shared" ca="1" si="21"/>
        <v/>
      </c>
      <c r="S146" s="33" t="str">
        <f t="shared" si="22"/>
        <v/>
      </c>
      <c r="T146" s="33" t="str">
        <f>IF($A146="","",SUMIFS(ORE!$F:$F,ORE!$B:$B,$B146,ORE!$D:$D,$D146))</f>
        <v/>
      </c>
      <c r="U146" s="35" t="str">
        <f t="shared" si="23"/>
        <v/>
      </c>
      <c r="V146" s="36" t="str">
        <f t="shared" si="24"/>
        <v/>
      </c>
    </row>
    <row r="147" spans="1:22" x14ac:dyDescent="0.3">
      <c r="A147" s="42"/>
      <c r="B147" s="42"/>
      <c r="C147" s="48"/>
      <c r="D147" s="42"/>
      <c r="E147" s="42"/>
      <c r="F147" s="42"/>
      <c r="G147" s="43"/>
      <c r="H147" s="43"/>
      <c r="I147" s="43"/>
      <c r="J147" s="42"/>
      <c r="K147" s="42"/>
      <c r="L147" s="49"/>
      <c r="M147" s="49"/>
      <c r="N147" s="33" t="str">
        <f>IF($A147="","",$M147*IFERROR(INDEX(SERVIZI!$M:$M,MATCH($B147,SERVIZI!$A:$A,0)),0))</f>
        <v/>
      </c>
      <c r="O147" s="42"/>
      <c r="P147" s="42"/>
      <c r="Q147" s="36" t="str">
        <f t="shared" ca="1" si="20"/>
        <v/>
      </c>
      <c r="R147" s="33" t="str">
        <f t="shared" ca="1" si="21"/>
        <v/>
      </c>
      <c r="S147" s="33" t="str">
        <f t="shared" si="22"/>
        <v/>
      </c>
      <c r="T147" s="33" t="str">
        <f>IF($A147="","",SUMIFS(ORE!$F:$F,ORE!$B:$B,$B147,ORE!$D:$D,$D147))</f>
        <v/>
      </c>
      <c r="U147" s="35" t="str">
        <f t="shared" si="23"/>
        <v/>
      </c>
      <c r="V147" s="36" t="str">
        <f t="shared" si="24"/>
        <v/>
      </c>
    </row>
    <row r="148" spans="1:22" x14ac:dyDescent="0.3">
      <c r="A148" s="42"/>
      <c r="B148" s="42"/>
      <c r="C148" s="48"/>
      <c r="D148" s="42"/>
      <c r="E148" s="42"/>
      <c r="F148" s="42"/>
      <c r="G148" s="43"/>
      <c r="H148" s="43"/>
      <c r="I148" s="43"/>
      <c r="J148" s="42"/>
      <c r="K148" s="42"/>
      <c r="L148" s="49"/>
      <c r="M148" s="49"/>
      <c r="N148" s="33" t="str">
        <f>IF($A148="","",$M148*IFERROR(INDEX(SERVIZI!$M:$M,MATCH($B148,SERVIZI!$A:$A,0)),0))</f>
        <v/>
      </c>
      <c r="O148" s="42"/>
      <c r="P148" s="42"/>
      <c r="Q148" s="36" t="str">
        <f t="shared" ca="1" si="20"/>
        <v/>
      </c>
      <c r="R148" s="33" t="str">
        <f t="shared" ca="1" si="21"/>
        <v/>
      </c>
      <c r="S148" s="33" t="str">
        <f t="shared" si="22"/>
        <v/>
      </c>
      <c r="T148" s="33" t="str">
        <f>IF($A148="","",SUMIFS(ORE!$F:$F,ORE!$B:$B,$B148,ORE!$D:$D,$D148))</f>
        <v/>
      </c>
      <c r="U148" s="35" t="str">
        <f t="shared" si="23"/>
        <v/>
      </c>
      <c r="V148" s="36" t="str">
        <f t="shared" si="24"/>
        <v/>
      </c>
    </row>
    <row r="149" spans="1:22" x14ac:dyDescent="0.3">
      <c r="A149" s="42"/>
      <c r="B149" s="42"/>
      <c r="C149" s="48"/>
      <c r="D149" s="42"/>
      <c r="E149" s="42"/>
      <c r="F149" s="42"/>
      <c r="G149" s="43"/>
      <c r="H149" s="43"/>
      <c r="I149" s="43"/>
      <c r="J149" s="42"/>
      <c r="K149" s="42"/>
      <c r="L149" s="49"/>
      <c r="M149" s="49"/>
      <c r="N149" s="33" t="str">
        <f>IF($A149="","",$M149*IFERROR(INDEX(SERVIZI!$M:$M,MATCH($B149,SERVIZI!$A:$A,0)),0))</f>
        <v/>
      </c>
      <c r="O149" s="42"/>
      <c r="P149" s="42"/>
      <c r="Q149" s="36" t="str">
        <f t="shared" ca="1" si="20"/>
        <v/>
      </c>
      <c r="R149" s="33" t="str">
        <f t="shared" ca="1" si="21"/>
        <v/>
      </c>
      <c r="S149" s="33" t="str">
        <f t="shared" si="22"/>
        <v/>
      </c>
      <c r="T149" s="33" t="str">
        <f>IF($A149="","",SUMIFS(ORE!$F:$F,ORE!$B:$B,$B149,ORE!$D:$D,$D149))</f>
        <v/>
      </c>
      <c r="U149" s="35" t="str">
        <f t="shared" si="23"/>
        <v/>
      </c>
      <c r="V149" s="36" t="str">
        <f t="shared" si="24"/>
        <v/>
      </c>
    </row>
    <row r="150" spans="1:22" x14ac:dyDescent="0.3">
      <c r="A150" s="42"/>
      <c r="B150" s="42"/>
      <c r="C150" s="48"/>
      <c r="D150" s="42"/>
      <c r="E150" s="42"/>
      <c r="F150" s="42"/>
      <c r="G150" s="43"/>
      <c r="H150" s="43"/>
      <c r="I150" s="43"/>
      <c r="J150" s="42"/>
      <c r="K150" s="42"/>
      <c r="L150" s="49"/>
      <c r="M150" s="49"/>
      <c r="N150" s="33" t="str">
        <f>IF($A150="","",$M150*IFERROR(INDEX(SERVIZI!$M:$M,MATCH($B150,SERVIZI!$A:$A,0)),0))</f>
        <v/>
      </c>
      <c r="O150" s="42"/>
      <c r="P150" s="42"/>
      <c r="Q150" s="36" t="str">
        <f t="shared" ca="1" si="20"/>
        <v/>
      </c>
      <c r="R150" s="33" t="str">
        <f t="shared" ca="1" si="21"/>
        <v/>
      </c>
      <c r="S150" s="33" t="str">
        <f t="shared" si="22"/>
        <v/>
      </c>
      <c r="T150" s="33" t="str">
        <f>IF($A150="","",SUMIFS(ORE!$F:$F,ORE!$B:$B,$B150,ORE!$D:$D,$D150))</f>
        <v/>
      </c>
      <c r="U150" s="35" t="str">
        <f t="shared" si="23"/>
        <v/>
      </c>
      <c r="V150" s="36" t="str">
        <f t="shared" si="24"/>
        <v/>
      </c>
    </row>
    <row r="151" spans="1:22" x14ac:dyDescent="0.3">
      <c r="A151" s="42"/>
      <c r="B151" s="42"/>
      <c r="C151" s="48"/>
      <c r="D151" s="42"/>
      <c r="E151" s="42"/>
      <c r="F151" s="42"/>
      <c r="G151" s="43"/>
      <c r="H151" s="43"/>
      <c r="I151" s="43"/>
      <c r="J151" s="42"/>
      <c r="K151" s="42"/>
      <c r="L151" s="49"/>
      <c r="M151" s="49"/>
      <c r="N151" s="33" t="str">
        <f>IF($A151="","",$M151*IFERROR(INDEX(SERVIZI!$M:$M,MATCH($B151,SERVIZI!$A:$A,0)),0))</f>
        <v/>
      </c>
      <c r="O151" s="42"/>
      <c r="P151" s="42"/>
      <c r="Q151" s="36" t="str">
        <f t="shared" ca="1" si="20"/>
        <v/>
      </c>
      <c r="R151" s="33" t="str">
        <f t="shared" ca="1" si="21"/>
        <v/>
      </c>
      <c r="S151" s="33" t="str">
        <f t="shared" si="22"/>
        <v/>
      </c>
      <c r="T151" s="33" t="str">
        <f>IF($A151="","",SUMIFS(ORE!$F:$F,ORE!$B:$B,$B151,ORE!$D:$D,$D151))</f>
        <v/>
      </c>
      <c r="U151" s="35" t="str">
        <f t="shared" si="23"/>
        <v/>
      </c>
      <c r="V151" s="36" t="str">
        <f t="shared" si="24"/>
        <v/>
      </c>
    </row>
    <row r="152" spans="1:22" x14ac:dyDescent="0.3">
      <c r="A152" s="42"/>
      <c r="B152" s="42"/>
      <c r="C152" s="48"/>
      <c r="D152" s="42"/>
      <c r="E152" s="42"/>
      <c r="F152" s="42"/>
      <c r="G152" s="43"/>
      <c r="H152" s="43"/>
      <c r="I152" s="43"/>
      <c r="J152" s="42"/>
      <c r="K152" s="42"/>
      <c r="L152" s="49"/>
      <c r="M152" s="49"/>
      <c r="N152" s="33" t="str">
        <f>IF($A152="","",$M152*IFERROR(INDEX(SERVIZI!$M:$M,MATCH($B152,SERVIZI!$A:$A,0)),0))</f>
        <v/>
      </c>
      <c r="O152" s="42"/>
      <c r="P152" s="42"/>
      <c r="Q152" s="36" t="str">
        <f t="shared" ca="1" si="20"/>
        <v/>
      </c>
      <c r="R152" s="33" t="str">
        <f t="shared" ca="1" si="21"/>
        <v/>
      </c>
      <c r="S152" s="33" t="str">
        <f t="shared" si="22"/>
        <v/>
      </c>
      <c r="T152" s="33" t="str">
        <f>IF($A152="","",SUMIFS(ORE!$F:$F,ORE!$B:$B,$B152,ORE!$D:$D,$D152))</f>
        <v/>
      </c>
      <c r="U152" s="35" t="str">
        <f t="shared" si="23"/>
        <v/>
      </c>
      <c r="V152" s="36" t="str">
        <f t="shared" si="24"/>
        <v/>
      </c>
    </row>
    <row r="153" spans="1:22" x14ac:dyDescent="0.3">
      <c r="A153" s="42"/>
      <c r="B153" s="42"/>
      <c r="C153" s="48"/>
      <c r="D153" s="42"/>
      <c r="E153" s="42"/>
      <c r="F153" s="42"/>
      <c r="G153" s="43"/>
      <c r="H153" s="43"/>
      <c r="I153" s="43"/>
      <c r="J153" s="42"/>
      <c r="K153" s="42"/>
      <c r="L153" s="49"/>
      <c r="M153" s="49"/>
      <c r="N153" s="33" t="str">
        <f>IF($A153="","",$M153*IFERROR(INDEX(SERVIZI!$M:$M,MATCH($B153,SERVIZI!$A:$A,0)),0))</f>
        <v/>
      </c>
      <c r="O153" s="42"/>
      <c r="P153" s="42"/>
      <c r="Q153" s="36" t="str">
        <f t="shared" ca="1" si="20"/>
        <v/>
      </c>
      <c r="R153" s="33" t="str">
        <f t="shared" ca="1" si="21"/>
        <v/>
      </c>
      <c r="S153" s="33" t="str">
        <f t="shared" si="22"/>
        <v/>
      </c>
      <c r="T153" s="33" t="str">
        <f>IF($A153="","",SUMIFS(ORE!$F:$F,ORE!$B:$B,$B153,ORE!$D:$D,$D153))</f>
        <v/>
      </c>
      <c r="U153" s="35" t="str">
        <f t="shared" si="23"/>
        <v/>
      </c>
      <c r="V153" s="36" t="str">
        <f t="shared" si="24"/>
        <v/>
      </c>
    </row>
    <row r="154" spans="1:22" x14ac:dyDescent="0.3">
      <c r="A154" s="42"/>
      <c r="B154" s="42"/>
      <c r="C154" s="48"/>
      <c r="D154" s="42"/>
      <c r="E154" s="42"/>
      <c r="F154" s="42"/>
      <c r="G154" s="43"/>
      <c r="H154" s="43"/>
      <c r="I154" s="43"/>
      <c r="J154" s="42"/>
      <c r="K154" s="42"/>
      <c r="L154" s="49"/>
      <c r="M154" s="49"/>
      <c r="N154" s="33" t="str">
        <f>IF($A154="","",$M154*IFERROR(INDEX(SERVIZI!$M:$M,MATCH($B154,SERVIZI!$A:$A,0)),0))</f>
        <v/>
      </c>
      <c r="O154" s="42"/>
      <c r="P154" s="42"/>
      <c r="Q154" s="36" t="str">
        <f t="shared" ca="1" si="20"/>
        <v/>
      </c>
      <c r="R154" s="33" t="str">
        <f t="shared" ca="1" si="21"/>
        <v/>
      </c>
      <c r="S154" s="33" t="str">
        <f t="shared" si="22"/>
        <v/>
      </c>
      <c r="T154" s="33" t="str">
        <f>IF($A154="","",SUMIFS(ORE!$F:$F,ORE!$B:$B,$B154,ORE!$D:$D,$D154))</f>
        <v/>
      </c>
      <c r="U154" s="35" t="str">
        <f t="shared" si="23"/>
        <v/>
      </c>
      <c r="V154" s="36" t="str">
        <f t="shared" si="24"/>
        <v/>
      </c>
    </row>
    <row r="155" spans="1:22" x14ac:dyDescent="0.3">
      <c r="A155" s="42"/>
      <c r="B155" s="42"/>
      <c r="C155" s="48"/>
      <c r="D155" s="42"/>
      <c r="E155" s="42"/>
      <c r="F155" s="42"/>
      <c r="G155" s="43"/>
      <c r="H155" s="43"/>
      <c r="I155" s="43"/>
      <c r="J155" s="42"/>
      <c r="K155" s="42"/>
      <c r="L155" s="49"/>
      <c r="M155" s="49"/>
      <c r="N155" s="33" t="str">
        <f>IF($A155="","",$M155*IFERROR(INDEX(SERVIZI!$M:$M,MATCH($B155,SERVIZI!$A:$A,0)),0))</f>
        <v/>
      </c>
      <c r="O155" s="42"/>
      <c r="P155" s="42"/>
      <c r="Q155" s="36" t="str">
        <f t="shared" ca="1" si="20"/>
        <v/>
      </c>
      <c r="R155" s="33" t="str">
        <f t="shared" ca="1" si="21"/>
        <v/>
      </c>
      <c r="S155" s="33" t="str">
        <f t="shared" si="22"/>
        <v/>
      </c>
      <c r="T155" s="33" t="str">
        <f>IF($A155="","",SUMIFS(ORE!$F:$F,ORE!$B:$B,$B155,ORE!$D:$D,$D155))</f>
        <v/>
      </c>
      <c r="U155" s="35" t="str">
        <f t="shared" si="23"/>
        <v/>
      </c>
      <c r="V155" s="36" t="str">
        <f t="shared" si="24"/>
        <v/>
      </c>
    </row>
    <row r="156" spans="1:22" x14ac:dyDescent="0.3">
      <c r="A156" s="42"/>
      <c r="B156" s="42"/>
      <c r="C156" s="48"/>
      <c r="D156" s="42"/>
      <c r="E156" s="42"/>
      <c r="F156" s="42"/>
      <c r="G156" s="43"/>
      <c r="H156" s="43"/>
      <c r="I156" s="43"/>
      <c r="J156" s="42"/>
      <c r="K156" s="42"/>
      <c r="L156" s="49"/>
      <c r="M156" s="49"/>
      <c r="N156" s="33" t="str">
        <f>IF($A156="","",$M156*IFERROR(INDEX(SERVIZI!$M:$M,MATCH($B156,SERVIZI!$A:$A,0)),0))</f>
        <v/>
      </c>
      <c r="O156" s="42"/>
      <c r="P156" s="42"/>
      <c r="Q156" s="36" t="str">
        <f t="shared" ca="1" si="20"/>
        <v/>
      </c>
      <c r="R156" s="33" t="str">
        <f t="shared" ca="1" si="21"/>
        <v/>
      </c>
      <c r="S156" s="33" t="str">
        <f t="shared" si="22"/>
        <v/>
      </c>
      <c r="T156" s="33" t="str">
        <f>IF($A156="","",SUMIFS(ORE!$F:$F,ORE!$B:$B,$B156,ORE!$D:$D,$D156))</f>
        <v/>
      </c>
      <c r="U156" s="35" t="str">
        <f t="shared" si="23"/>
        <v/>
      </c>
      <c r="V156" s="36" t="str">
        <f t="shared" si="24"/>
        <v/>
      </c>
    </row>
    <row r="157" spans="1:22" x14ac:dyDescent="0.3">
      <c r="A157" s="42"/>
      <c r="B157" s="42"/>
      <c r="C157" s="48"/>
      <c r="D157" s="42"/>
      <c r="E157" s="42"/>
      <c r="F157" s="42"/>
      <c r="G157" s="43"/>
      <c r="H157" s="43"/>
      <c r="I157" s="43"/>
      <c r="J157" s="42"/>
      <c r="K157" s="42"/>
      <c r="L157" s="49"/>
      <c r="M157" s="49"/>
      <c r="N157" s="33" t="str">
        <f>IF($A157="","",$M157*IFERROR(INDEX(SERVIZI!$M:$M,MATCH($B157,SERVIZI!$A:$A,0)),0))</f>
        <v/>
      </c>
      <c r="O157" s="42"/>
      <c r="P157" s="42"/>
      <c r="Q157" s="36" t="str">
        <f t="shared" ca="1" si="20"/>
        <v/>
      </c>
      <c r="R157" s="33" t="str">
        <f t="shared" ca="1" si="21"/>
        <v/>
      </c>
      <c r="S157" s="33" t="str">
        <f t="shared" si="22"/>
        <v/>
      </c>
      <c r="T157" s="33" t="str">
        <f>IF($A157="","",SUMIFS(ORE!$F:$F,ORE!$B:$B,$B157,ORE!$D:$D,$D157))</f>
        <v/>
      </c>
      <c r="U157" s="35" t="str">
        <f t="shared" si="23"/>
        <v/>
      </c>
      <c r="V157" s="36" t="str">
        <f t="shared" si="24"/>
        <v/>
      </c>
    </row>
    <row r="158" spans="1:22" x14ac:dyDescent="0.3">
      <c r="A158" s="42"/>
      <c r="B158" s="42"/>
      <c r="C158" s="48"/>
      <c r="D158" s="42"/>
      <c r="E158" s="42"/>
      <c r="F158" s="42"/>
      <c r="G158" s="43"/>
      <c r="H158" s="43"/>
      <c r="I158" s="43"/>
      <c r="J158" s="42"/>
      <c r="K158" s="42"/>
      <c r="L158" s="49"/>
      <c r="M158" s="49"/>
      <c r="N158" s="33" t="str">
        <f>IF($A158="","",$M158*IFERROR(INDEX(SERVIZI!$M:$M,MATCH($B158,SERVIZI!$A:$A,0)),0))</f>
        <v/>
      </c>
      <c r="O158" s="42"/>
      <c r="P158" s="42"/>
      <c r="Q158" s="36" t="str">
        <f t="shared" ca="1" si="20"/>
        <v/>
      </c>
      <c r="R158" s="33" t="str">
        <f t="shared" ca="1" si="21"/>
        <v/>
      </c>
      <c r="S158" s="33" t="str">
        <f t="shared" si="22"/>
        <v/>
      </c>
      <c r="T158" s="33" t="str">
        <f>IF($A158="","",SUMIFS(ORE!$F:$F,ORE!$B:$B,$B158,ORE!$D:$D,$D158))</f>
        <v/>
      </c>
      <c r="U158" s="35" t="str">
        <f t="shared" si="23"/>
        <v/>
      </c>
      <c r="V158" s="36" t="str">
        <f t="shared" si="24"/>
        <v/>
      </c>
    </row>
    <row r="159" spans="1:22" x14ac:dyDescent="0.3">
      <c r="A159" s="42"/>
      <c r="B159" s="42"/>
      <c r="C159" s="48"/>
      <c r="D159" s="42"/>
      <c r="E159" s="42"/>
      <c r="F159" s="42"/>
      <c r="G159" s="43"/>
      <c r="H159" s="43"/>
      <c r="I159" s="43"/>
      <c r="J159" s="42"/>
      <c r="K159" s="42"/>
      <c r="L159" s="49"/>
      <c r="M159" s="49"/>
      <c r="N159" s="33" t="str">
        <f>IF($A159="","",$M159*IFERROR(INDEX(SERVIZI!$M:$M,MATCH($B159,SERVIZI!$A:$A,0)),0))</f>
        <v/>
      </c>
      <c r="O159" s="42"/>
      <c r="P159" s="42"/>
      <c r="Q159" s="36" t="str">
        <f t="shared" ca="1" si="20"/>
        <v/>
      </c>
      <c r="R159" s="33" t="str">
        <f t="shared" ca="1" si="21"/>
        <v/>
      </c>
      <c r="S159" s="33" t="str">
        <f t="shared" si="22"/>
        <v/>
      </c>
      <c r="T159" s="33" t="str">
        <f>IF($A159="","",SUMIFS(ORE!$F:$F,ORE!$B:$B,$B159,ORE!$D:$D,$D159))</f>
        <v/>
      </c>
      <c r="U159" s="35" t="str">
        <f t="shared" si="23"/>
        <v/>
      </c>
      <c r="V159" s="36" t="str">
        <f t="shared" si="24"/>
        <v/>
      </c>
    </row>
    <row r="160" spans="1:22" x14ac:dyDescent="0.3">
      <c r="A160" s="42"/>
      <c r="B160" s="42"/>
      <c r="C160" s="48"/>
      <c r="D160" s="42"/>
      <c r="E160" s="42"/>
      <c r="F160" s="42"/>
      <c r="G160" s="43"/>
      <c r="H160" s="43"/>
      <c r="I160" s="43"/>
      <c r="J160" s="42"/>
      <c r="K160" s="42"/>
      <c r="L160" s="49"/>
      <c r="M160" s="49"/>
      <c r="N160" s="33" t="str">
        <f>IF($A160="","",$M160*IFERROR(INDEX(SERVIZI!$M:$M,MATCH($B160,SERVIZI!$A:$A,0)),0))</f>
        <v/>
      </c>
      <c r="O160" s="42"/>
      <c r="P160" s="42"/>
      <c r="Q160" s="36" t="str">
        <f t="shared" ca="1" si="20"/>
        <v/>
      </c>
      <c r="R160" s="33" t="str">
        <f t="shared" ca="1" si="21"/>
        <v/>
      </c>
      <c r="S160" s="33" t="str">
        <f t="shared" si="22"/>
        <v/>
      </c>
      <c r="T160" s="33" t="str">
        <f>IF($A160="","",SUMIFS(ORE!$F:$F,ORE!$B:$B,$B160,ORE!$D:$D,$D160))</f>
        <v/>
      </c>
      <c r="U160" s="35" t="str">
        <f t="shared" si="23"/>
        <v/>
      </c>
      <c r="V160" s="36" t="str">
        <f t="shared" si="24"/>
        <v/>
      </c>
    </row>
    <row r="161" spans="1:22" x14ac:dyDescent="0.3">
      <c r="A161" s="42"/>
      <c r="B161" s="42"/>
      <c r="C161" s="48"/>
      <c r="D161" s="42"/>
      <c r="E161" s="42"/>
      <c r="F161" s="42"/>
      <c r="G161" s="43"/>
      <c r="H161" s="43"/>
      <c r="I161" s="43"/>
      <c r="J161" s="42"/>
      <c r="K161" s="42"/>
      <c r="L161" s="49"/>
      <c r="M161" s="49"/>
      <c r="N161" s="33" t="str">
        <f>IF($A161="","",$M161*IFERROR(INDEX(SERVIZI!$M:$M,MATCH($B161,SERVIZI!$A:$A,0)),0))</f>
        <v/>
      </c>
      <c r="O161" s="42"/>
      <c r="P161" s="42"/>
      <c r="Q161" s="36" t="str">
        <f t="shared" ca="1" si="20"/>
        <v/>
      </c>
      <c r="R161" s="33" t="str">
        <f t="shared" ca="1" si="21"/>
        <v/>
      </c>
      <c r="S161" s="33" t="str">
        <f t="shared" si="22"/>
        <v/>
      </c>
      <c r="T161" s="33" t="str">
        <f>IF($A161="","",SUMIFS(ORE!$F:$F,ORE!$B:$B,$B161,ORE!$D:$D,$D161))</f>
        <v/>
      </c>
      <c r="U161" s="35" t="str">
        <f t="shared" si="23"/>
        <v/>
      </c>
      <c r="V161" s="36" t="str">
        <f t="shared" si="24"/>
        <v/>
      </c>
    </row>
    <row r="162" spans="1:22" x14ac:dyDescent="0.3">
      <c r="A162" s="42"/>
      <c r="B162" s="42"/>
      <c r="C162" s="48"/>
      <c r="D162" s="42"/>
      <c r="E162" s="42"/>
      <c r="F162" s="42"/>
      <c r="G162" s="43"/>
      <c r="H162" s="43"/>
      <c r="I162" s="43"/>
      <c r="J162" s="42"/>
      <c r="K162" s="42"/>
      <c r="L162" s="49"/>
      <c r="M162" s="49"/>
      <c r="N162" s="33" t="str">
        <f>IF($A162="","",$M162*IFERROR(INDEX(SERVIZI!$M:$M,MATCH($B162,SERVIZI!$A:$A,0)),0))</f>
        <v/>
      </c>
      <c r="O162" s="42"/>
      <c r="P162" s="42"/>
      <c r="Q162" s="36" t="str">
        <f t="shared" ref="Q162:Q193" ca="1" si="25">IF($A162="","",IF($L162&gt;=1,"Completata",IF(AND($H162&lt;&gt;"",$H162&lt;TODAY()),"IN RITARDO",IF($L162&gt;0,"In corso","Da avviare"))))</f>
        <v/>
      </c>
      <c r="R162" s="33" t="str">
        <f t="shared" ref="R162:R193" ca="1" si="26">IF($A162="","",IF(AND($H162&lt;&gt;"",$L162&lt;1,$H162&lt;TODAY()),TODAY()-$H162,0))</f>
        <v/>
      </c>
      <c r="S162" s="33" t="str">
        <f t="shared" ref="S162:S193" si="27">IF($A162="","",IF(AND($G162&lt;&gt;"",$H162&lt;&gt;""),$H162-$G162,0))</f>
        <v/>
      </c>
      <c r="T162" s="33" t="str">
        <f>IF($A162="","",SUMIFS(ORE!$F:$F,ORE!$B:$B,$B162,ORE!$D:$D,$D162))</f>
        <v/>
      </c>
      <c r="U162" s="35" t="str">
        <f t="shared" ref="U162:U193" si="28">IF($A162="","",IFERROR($T162/$N162,0))</f>
        <v/>
      </c>
      <c r="V162" s="36" t="str">
        <f t="shared" ref="V162:V193" si="29">IF($A162="","",IF(AND($U162&gt;$L162+0.2,$N162&gt;0),"ORE SOPRA AVANZAMENTO",IF($Q162="IN RITARDO","IN RITARDO","OK")))</f>
        <v/>
      </c>
    </row>
    <row r="163" spans="1:22" x14ac:dyDescent="0.3">
      <c r="A163" s="42"/>
      <c r="B163" s="42"/>
      <c r="C163" s="48"/>
      <c r="D163" s="42"/>
      <c r="E163" s="42"/>
      <c r="F163" s="42"/>
      <c r="G163" s="43"/>
      <c r="H163" s="43"/>
      <c r="I163" s="43"/>
      <c r="J163" s="42"/>
      <c r="K163" s="42"/>
      <c r="L163" s="49"/>
      <c r="M163" s="49"/>
      <c r="N163" s="33" t="str">
        <f>IF($A163="","",$M163*IFERROR(INDEX(SERVIZI!$M:$M,MATCH($B163,SERVIZI!$A:$A,0)),0))</f>
        <v/>
      </c>
      <c r="O163" s="42"/>
      <c r="P163" s="42"/>
      <c r="Q163" s="36" t="str">
        <f t="shared" ca="1" si="25"/>
        <v/>
      </c>
      <c r="R163" s="33" t="str">
        <f t="shared" ca="1" si="26"/>
        <v/>
      </c>
      <c r="S163" s="33" t="str">
        <f t="shared" si="27"/>
        <v/>
      </c>
      <c r="T163" s="33" t="str">
        <f>IF($A163="","",SUMIFS(ORE!$F:$F,ORE!$B:$B,$B163,ORE!$D:$D,$D163))</f>
        <v/>
      </c>
      <c r="U163" s="35" t="str">
        <f t="shared" si="28"/>
        <v/>
      </c>
      <c r="V163" s="36" t="str">
        <f t="shared" si="29"/>
        <v/>
      </c>
    </row>
    <row r="164" spans="1:22" x14ac:dyDescent="0.3">
      <c r="A164" s="42"/>
      <c r="B164" s="42"/>
      <c r="C164" s="48"/>
      <c r="D164" s="42"/>
      <c r="E164" s="42"/>
      <c r="F164" s="42"/>
      <c r="G164" s="43"/>
      <c r="H164" s="43"/>
      <c r="I164" s="43"/>
      <c r="J164" s="42"/>
      <c r="K164" s="42"/>
      <c r="L164" s="49"/>
      <c r="M164" s="49"/>
      <c r="N164" s="33" t="str">
        <f>IF($A164="","",$M164*IFERROR(INDEX(SERVIZI!$M:$M,MATCH($B164,SERVIZI!$A:$A,0)),0))</f>
        <v/>
      </c>
      <c r="O164" s="42"/>
      <c r="P164" s="42"/>
      <c r="Q164" s="36" t="str">
        <f t="shared" ca="1" si="25"/>
        <v/>
      </c>
      <c r="R164" s="33" t="str">
        <f t="shared" ca="1" si="26"/>
        <v/>
      </c>
      <c r="S164" s="33" t="str">
        <f t="shared" si="27"/>
        <v/>
      </c>
      <c r="T164" s="33" t="str">
        <f>IF($A164="","",SUMIFS(ORE!$F:$F,ORE!$B:$B,$B164,ORE!$D:$D,$D164))</f>
        <v/>
      </c>
      <c r="U164" s="35" t="str">
        <f t="shared" si="28"/>
        <v/>
      </c>
      <c r="V164" s="36" t="str">
        <f t="shared" si="29"/>
        <v/>
      </c>
    </row>
    <row r="165" spans="1:22" x14ac:dyDescent="0.3">
      <c r="A165" s="42"/>
      <c r="B165" s="42"/>
      <c r="C165" s="48"/>
      <c r="D165" s="42"/>
      <c r="E165" s="42"/>
      <c r="F165" s="42"/>
      <c r="G165" s="43"/>
      <c r="H165" s="43"/>
      <c r="I165" s="43"/>
      <c r="J165" s="42"/>
      <c r="K165" s="42"/>
      <c r="L165" s="49"/>
      <c r="M165" s="49"/>
      <c r="N165" s="33" t="str">
        <f>IF($A165="","",$M165*IFERROR(INDEX(SERVIZI!$M:$M,MATCH($B165,SERVIZI!$A:$A,0)),0))</f>
        <v/>
      </c>
      <c r="O165" s="42"/>
      <c r="P165" s="42"/>
      <c r="Q165" s="36" t="str">
        <f t="shared" ca="1" si="25"/>
        <v/>
      </c>
      <c r="R165" s="33" t="str">
        <f t="shared" ca="1" si="26"/>
        <v/>
      </c>
      <c r="S165" s="33" t="str">
        <f t="shared" si="27"/>
        <v/>
      </c>
      <c r="T165" s="33" t="str">
        <f>IF($A165="","",SUMIFS(ORE!$F:$F,ORE!$B:$B,$B165,ORE!$D:$D,$D165))</f>
        <v/>
      </c>
      <c r="U165" s="35" t="str">
        <f t="shared" si="28"/>
        <v/>
      </c>
      <c r="V165" s="36" t="str">
        <f t="shared" si="29"/>
        <v/>
      </c>
    </row>
    <row r="166" spans="1:22" x14ac:dyDescent="0.3">
      <c r="A166" s="42"/>
      <c r="B166" s="42"/>
      <c r="C166" s="48"/>
      <c r="D166" s="42"/>
      <c r="E166" s="42"/>
      <c r="F166" s="42"/>
      <c r="G166" s="43"/>
      <c r="H166" s="43"/>
      <c r="I166" s="43"/>
      <c r="J166" s="42"/>
      <c r="K166" s="42"/>
      <c r="L166" s="49"/>
      <c r="M166" s="49"/>
      <c r="N166" s="33" t="str">
        <f>IF($A166="","",$M166*IFERROR(INDEX(SERVIZI!$M:$M,MATCH($B166,SERVIZI!$A:$A,0)),0))</f>
        <v/>
      </c>
      <c r="O166" s="42"/>
      <c r="P166" s="42"/>
      <c r="Q166" s="36" t="str">
        <f t="shared" ca="1" si="25"/>
        <v/>
      </c>
      <c r="R166" s="33" t="str">
        <f t="shared" ca="1" si="26"/>
        <v/>
      </c>
      <c r="S166" s="33" t="str">
        <f t="shared" si="27"/>
        <v/>
      </c>
      <c r="T166" s="33" t="str">
        <f>IF($A166="","",SUMIFS(ORE!$F:$F,ORE!$B:$B,$B166,ORE!$D:$D,$D166))</f>
        <v/>
      </c>
      <c r="U166" s="35" t="str">
        <f t="shared" si="28"/>
        <v/>
      </c>
      <c r="V166" s="36" t="str">
        <f t="shared" si="29"/>
        <v/>
      </c>
    </row>
    <row r="167" spans="1:22" x14ac:dyDescent="0.3">
      <c r="A167" s="42"/>
      <c r="B167" s="42"/>
      <c r="C167" s="48"/>
      <c r="D167" s="42"/>
      <c r="E167" s="42"/>
      <c r="F167" s="42"/>
      <c r="G167" s="43"/>
      <c r="H167" s="43"/>
      <c r="I167" s="43"/>
      <c r="J167" s="42"/>
      <c r="K167" s="42"/>
      <c r="L167" s="49"/>
      <c r="M167" s="49"/>
      <c r="N167" s="33" t="str">
        <f>IF($A167="","",$M167*IFERROR(INDEX(SERVIZI!$M:$M,MATCH($B167,SERVIZI!$A:$A,0)),0))</f>
        <v/>
      </c>
      <c r="O167" s="42"/>
      <c r="P167" s="42"/>
      <c r="Q167" s="36" t="str">
        <f t="shared" ca="1" si="25"/>
        <v/>
      </c>
      <c r="R167" s="33" t="str">
        <f t="shared" ca="1" si="26"/>
        <v/>
      </c>
      <c r="S167" s="33" t="str">
        <f t="shared" si="27"/>
        <v/>
      </c>
      <c r="T167" s="33" t="str">
        <f>IF($A167="","",SUMIFS(ORE!$F:$F,ORE!$B:$B,$B167,ORE!$D:$D,$D167))</f>
        <v/>
      </c>
      <c r="U167" s="35" t="str">
        <f t="shared" si="28"/>
        <v/>
      </c>
      <c r="V167" s="36" t="str">
        <f t="shared" si="29"/>
        <v/>
      </c>
    </row>
    <row r="168" spans="1:22" x14ac:dyDescent="0.3">
      <c r="A168" s="42"/>
      <c r="B168" s="42"/>
      <c r="C168" s="48"/>
      <c r="D168" s="42"/>
      <c r="E168" s="42"/>
      <c r="F168" s="42"/>
      <c r="G168" s="43"/>
      <c r="H168" s="43"/>
      <c r="I168" s="43"/>
      <c r="J168" s="42"/>
      <c r="K168" s="42"/>
      <c r="L168" s="49"/>
      <c r="M168" s="49"/>
      <c r="N168" s="33" t="str">
        <f>IF($A168="","",$M168*IFERROR(INDEX(SERVIZI!$M:$M,MATCH($B168,SERVIZI!$A:$A,0)),0))</f>
        <v/>
      </c>
      <c r="O168" s="42"/>
      <c r="P168" s="42"/>
      <c r="Q168" s="36" t="str">
        <f t="shared" ca="1" si="25"/>
        <v/>
      </c>
      <c r="R168" s="33" t="str">
        <f t="shared" ca="1" si="26"/>
        <v/>
      </c>
      <c r="S168" s="33" t="str">
        <f t="shared" si="27"/>
        <v/>
      </c>
      <c r="T168" s="33" t="str">
        <f>IF($A168="","",SUMIFS(ORE!$F:$F,ORE!$B:$B,$B168,ORE!$D:$D,$D168))</f>
        <v/>
      </c>
      <c r="U168" s="35" t="str">
        <f t="shared" si="28"/>
        <v/>
      </c>
      <c r="V168" s="36" t="str">
        <f t="shared" si="29"/>
        <v/>
      </c>
    </row>
    <row r="169" spans="1:22" x14ac:dyDescent="0.3">
      <c r="A169" s="42"/>
      <c r="B169" s="42"/>
      <c r="C169" s="48"/>
      <c r="D169" s="42"/>
      <c r="E169" s="42"/>
      <c r="F169" s="42"/>
      <c r="G169" s="43"/>
      <c r="H169" s="43"/>
      <c r="I169" s="43"/>
      <c r="J169" s="42"/>
      <c r="K169" s="42"/>
      <c r="L169" s="49"/>
      <c r="M169" s="49"/>
      <c r="N169" s="33" t="str">
        <f>IF($A169="","",$M169*IFERROR(INDEX(SERVIZI!$M:$M,MATCH($B169,SERVIZI!$A:$A,0)),0))</f>
        <v/>
      </c>
      <c r="O169" s="42"/>
      <c r="P169" s="42"/>
      <c r="Q169" s="36" t="str">
        <f t="shared" ca="1" si="25"/>
        <v/>
      </c>
      <c r="R169" s="33" t="str">
        <f t="shared" ca="1" si="26"/>
        <v/>
      </c>
      <c r="S169" s="33" t="str">
        <f t="shared" si="27"/>
        <v/>
      </c>
      <c r="T169" s="33" t="str">
        <f>IF($A169="","",SUMIFS(ORE!$F:$F,ORE!$B:$B,$B169,ORE!$D:$D,$D169))</f>
        <v/>
      </c>
      <c r="U169" s="35" t="str">
        <f t="shared" si="28"/>
        <v/>
      </c>
      <c r="V169" s="36" t="str">
        <f t="shared" si="29"/>
        <v/>
      </c>
    </row>
    <row r="170" spans="1:22" x14ac:dyDescent="0.3">
      <c r="A170" s="42"/>
      <c r="B170" s="42"/>
      <c r="C170" s="48"/>
      <c r="D170" s="42"/>
      <c r="E170" s="42"/>
      <c r="F170" s="42"/>
      <c r="G170" s="43"/>
      <c r="H170" s="43"/>
      <c r="I170" s="43"/>
      <c r="J170" s="42"/>
      <c r="K170" s="42"/>
      <c r="L170" s="49"/>
      <c r="M170" s="49"/>
      <c r="N170" s="33" t="str">
        <f>IF($A170="","",$M170*IFERROR(INDEX(SERVIZI!$M:$M,MATCH($B170,SERVIZI!$A:$A,0)),0))</f>
        <v/>
      </c>
      <c r="O170" s="42"/>
      <c r="P170" s="42"/>
      <c r="Q170" s="36" t="str">
        <f t="shared" ca="1" si="25"/>
        <v/>
      </c>
      <c r="R170" s="33" t="str">
        <f t="shared" ca="1" si="26"/>
        <v/>
      </c>
      <c r="S170" s="33" t="str">
        <f t="shared" si="27"/>
        <v/>
      </c>
      <c r="T170" s="33" t="str">
        <f>IF($A170="","",SUMIFS(ORE!$F:$F,ORE!$B:$B,$B170,ORE!$D:$D,$D170))</f>
        <v/>
      </c>
      <c r="U170" s="35" t="str">
        <f t="shared" si="28"/>
        <v/>
      </c>
      <c r="V170" s="36" t="str">
        <f t="shared" si="29"/>
        <v/>
      </c>
    </row>
    <row r="171" spans="1:22" x14ac:dyDescent="0.3">
      <c r="A171" s="42"/>
      <c r="B171" s="42"/>
      <c r="C171" s="48"/>
      <c r="D171" s="42"/>
      <c r="E171" s="42"/>
      <c r="F171" s="42"/>
      <c r="G171" s="43"/>
      <c r="H171" s="43"/>
      <c r="I171" s="43"/>
      <c r="J171" s="42"/>
      <c r="K171" s="42"/>
      <c r="L171" s="49"/>
      <c r="M171" s="49"/>
      <c r="N171" s="33" t="str">
        <f>IF($A171="","",$M171*IFERROR(INDEX(SERVIZI!$M:$M,MATCH($B171,SERVIZI!$A:$A,0)),0))</f>
        <v/>
      </c>
      <c r="O171" s="42"/>
      <c r="P171" s="42"/>
      <c r="Q171" s="36" t="str">
        <f t="shared" ca="1" si="25"/>
        <v/>
      </c>
      <c r="R171" s="33" t="str">
        <f t="shared" ca="1" si="26"/>
        <v/>
      </c>
      <c r="S171" s="33" t="str">
        <f t="shared" si="27"/>
        <v/>
      </c>
      <c r="T171" s="33" t="str">
        <f>IF($A171="","",SUMIFS(ORE!$F:$F,ORE!$B:$B,$B171,ORE!$D:$D,$D171))</f>
        <v/>
      </c>
      <c r="U171" s="35" t="str">
        <f t="shared" si="28"/>
        <v/>
      </c>
      <c r="V171" s="36" t="str">
        <f t="shared" si="29"/>
        <v/>
      </c>
    </row>
    <row r="172" spans="1:22" x14ac:dyDescent="0.3">
      <c r="A172" s="42"/>
      <c r="B172" s="42"/>
      <c r="C172" s="48"/>
      <c r="D172" s="42"/>
      <c r="E172" s="42"/>
      <c r="F172" s="42"/>
      <c r="G172" s="43"/>
      <c r="H172" s="43"/>
      <c r="I172" s="43"/>
      <c r="J172" s="42"/>
      <c r="K172" s="42"/>
      <c r="L172" s="49"/>
      <c r="M172" s="49"/>
      <c r="N172" s="33" t="str">
        <f>IF($A172="","",$M172*IFERROR(INDEX(SERVIZI!$M:$M,MATCH($B172,SERVIZI!$A:$A,0)),0))</f>
        <v/>
      </c>
      <c r="O172" s="42"/>
      <c r="P172" s="42"/>
      <c r="Q172" s="36" t="str">
        <f t="shared" ca="1" si="25"/>
        <v/>
      </c>
      <c r="R172" s="33" t="str">
        <f t="shared" ca="1" si="26"/>
        <v/>
      </c>
      <c r="S172" s="33" t="str">
        <f t="shared" si="27"/>
        <v/>
      </c>
      <c r="T172" s="33" t="str">
        <f>IF($A172="","",SUMIFS(ORE!$F:$F,ORE!$B:$B,$B172,ORE!$D:$D,$D172))</f>
        <v/>
      </c>
      <c r="U172" s="35" t="str">
        <f t="shared" si="28"/>
        <v/>
      </c>
      <c r="V172" s="36" t="str">
        <f t="shared" si="29"/>
        <v/>
      </c>
    </row>
    <row r="173" spans="1:22" x14ac:dyDescent="0.3">
      <c r="A173" s="42"/>
      <c r="B173" s="42"/>
      <c r="C173" s="48"/>
      <c r="D173" s="42"/>
      <c r="E173" s="42"/>
      <c r="F173" s="42"/>
      <c r="G173" s="43"/>
      <c r="H173" s="43"/>
      <c r="I173" s="43"/>
      <c r="J173" s="42"/>
      <c r="K173" s="42"/>
      <c r="L173" s="49"/>
      <c r="M173" s="49"/>
      <c r="N173" s="33" t="str">
        <f>IF($A173="","",$M173*IFERROR(INDEX(SERVIZI!$M:$M,MATCH($B173,SERVIZI!$A:$A,0)),0))</f>
        <v/>
      </c>
      <c r="O173" s="42"/>
      <c r="P173" s="42"/>
      <c r="Q173" s="36" t="str">
        <f t="shared" ca="1" si="25"/>
        <v/>
      </c>
      <c r="R173" s="33" t="str">
        <f t="shared" ca="1" si="26"/>
        <v/>
      </c>
      <c r="S173" s="33" t="str">
        <f t="shared" si="27"/>
        <v/>
      </c>
      <c r="T173" s="33" t="str">
        <f>IF($A173="","",SUMIFS(ORE!$F:$F,ORE!$B:$B,$B173,ORE!$D:$D,$D173))</f>
        <v/>
      </c>
      <c r="U173" s="35" t="str">
        <f t="shared" si="28"/>
        <v/>
      </c>
      <c r="V173" s="36" t="str">
        <f t="shared" si="29"/>
        <v/>
      </c>
    </row>
    <row r="174" spans="1:22" x14ac:dyDescent="0.3">
      <c r="A174" s="42"/>
      <c r="B174" s="42"/>
      <c r="C174" s="48"/>
      <c r="D174" s="42"/>
      <c r="E174" s="42"/>
      <c r="F174" s="42"/>
      <c r="G174" s="43"/>
      <c r="H174" s="43"/>
      <c r="I174" s="43"/>
      <c r="J174" s="42"/>
      <c r="K174" s="42"/>
      <c r="L174" s="49"/>
      <c r="M174" s="49"/>
      <c r="N174" s="33" t="str">
        <f>IF($A174="","",$M174*IFERROR(INDEX(SERVIZI!$M:$M,MATCH($B174,SERVIZI!$A:$A,0)),0))</f>
        <v/>
      </c>
      <c r="O174" s="42"/>
      <c r="P174" s="42"/>
      <c r="Q174" s="36" t="str">
        <f t="shared" ca="1" si="25"/>
        <v/>
      </c>
      <c r="R174" s="33" t="str">
        <f t="shared" ca="1" si="26"/>
        <v/>
      </c>
      <c r="S174" s="33" t="str">
        <f t="shared" si="27"/>
        <v/>
      </c>
      <c r="T174" s="33" t="str">
        <f>IF($A174="","",SUMIFS(ORE!$F:$F,ORE!$B:$B,$B174,ORE!$D:$D,$D174))</f>
        <v/>
      </c>
      <c r="U174" s="35" t="str">
        <f t="shared" si="28"/>
        <v/>
      </c>
      <c r="V174" s="36" t="str">
        <f t="shared" si="29"/>
        <v/>
      </c>
    </row>
    <row r="175" spans="1:22" x14ac:dyDescent="0.3">
      <c r="A175" s="42"/>
      <c r="B175" s="42"/>
      <c r="C175" s="48"/>
      <c r="D175" s="42"/>
      <c r="E175" s="42"/>
      <c r="F175" s="42"/>
      <c r="G175" s="43"/>
      <c r="H175" s="43"/>
      <c r="I175" s="43"/>
      <c r="J175" s="42"/>
      <c r="K175" s="42"/>
      <c r="L175" s="49"/>
      <c r="M175" s="49"/>
      <c r="N175" s="33" t="str">
        <f>IF($A175="","",$M175*IFERROR(INDEX(SERVIZI!$M:$M,MATCH($B175,SERVIZI!$A:$A,0)),0))</f>
        <v/>
      </c>
      <c r="O175" s="42"/>
      <c r="P175" s="42"/>
      <c r="Q175" s="36" t="str">
        <f t="shared" ca="1" si="25"/>
        <v/>
      </c>
      <c r="R175" s="33" t="str">
        <f t="shared" ca="1" si="26"/>
        <v/>
      </c>
      <c r="S175" s="33" t="str">
        <f t="shared" si="27"/>
        <v/>
      </c>
      <c r="T175" s="33" t="str">
        <f>IF($A175="","",SUMIFS(ORE!$F:$F,ORE!$B:$B,$B175,ORE!$D:$D,$D175))</f>
        <v/>
      </c>
      <c r="U175" s="35" t="str">
        <f t="shared" si="28"/>
        <v/>
      </c>
      <c r="V175" s="36" t="str">
        <f t="shared" si="29"/>
        <v/>
      </c>
    </row>
    <row r="176" spans="1:22" x14ac:dyDescent="0.3">
      <c r="A176" s="42"/>
      <c r="B176" s="42"/>
      <c r="C176" s="48"/>
      <c r="D176" s="42"/>
      <c r="E176" s="42"/>
      <c r="F176" s="42"/>
      <c r="G176" s="43"/>
      <c r="H176" s="43"/>
      <c r="I176" s="43"/>
      <c r="J176" s="42"/>
      <c r="K176" s="42"/>
      <c r="L176" s="49"/>
      <c r="M176" s="49"/>
      <c r="N176" s="33" t="str">
        <f>IF($A176="","",$M176*IFERROR(INDEX(SERVIZI!$M:$M,MATCH($B176,SERVIZI!$A:$A,0)),0))</f>
        <v/>
      </c>
      <c r="O176" s="42"/>
      <c r="P176" s="42"/>
      <c r="Q176" s="36" t="str">
        <f t="shared" ca="1" si="25"/>
        <v/>
      </c>
      <c r="R176" s="33" t="str">
        <f t="shared" ca="1" si="26"/>
        <v/>
      </c>
      <c r="S176" s="33" t="str">
        <f t="shared" si="27"/>
        <v/>
      </c>
      <c r="T176" s="33" t="str">
        <f>IF($A176="","",SUMIFS(ORE!$F:$F,ORE!$B:$B,$B176,ORE!$D:$D,$D176))</f>
        <v/>
      </c>
      <c r="U176" s="35" t="str">
        <f t="shared" si="28"/>
        <v/>
      </c>
      <c r="V176" s="36" t="str">
        <f t="shared" si="29"/>
        <v/>
      </c>
    </row>
    <row r="177" spans="1:22" x14ac:dyDescent="0.3">
      <c r="A177" s="42"/>
      <c r="B177" s="42"/>
      <c r="C177" s="48"/>
      <c r="D177" s="42"/>
      <c r="E177" s="42"/>
      <c r="F177" s="42"/>
      <c r="G177" s="43"/>
      <c r="H177" s="43"/>
      <c r="I177" s="43"/>
      <c r="J177" s="42"/>
      <c r="K177" s="42"/>
      <c r="L177" s="49"/>
      <c r="M177" s="49"/>
      <c r="N177" s="33" t="str">
        <f>IF($A177="","",$M177*IFERROR(INDEX(SERVIZI!$M:$M,MATCH($B177,SERVIZI!$A:$A,0)),0))</f>
        <v/>
      </c>
      <c r="O177" s="42"/>
      <c r="P177" s="42"/>
      <c r="Q177" s="36" t="str">
        <f t="shared" ca="1" si="25"/>
        <v/>
      </c>
      <c r="R177" s="33" t="str">
        <f t="shared" ca="1" si="26"/>
        <v/>
      </c>
      <c r="S177" s="33" t="str">
        <f t="shared" si="27"/>
        <v/>
      </c>
      <c r="T177" s="33" t="str">
        <f>IF($A177="","",SUMIFS(ORE!$F:$F,ORE!$B:$B,$B177,ORE!$D:$D,$D177))</f>
        <v/>
      </c>
      <c r="U177" s="35" t="str">
        <f t="shared" si="28"/>
        <v/>
      </c>
      <c r="V177" s="36" t="str">
        <f t="shared" si="29"/>
        <v/>
      </c>
    </row>
    <row r="178" spans="1:22" x14ac:dyDescent="0.3">
      <c r="A178" s="42"/>
      <c r="B178" s="42"/>
      <c r="C178" s="48"/>
      <c r="D178" s="42"/>
      <c r="E178" s="42"/>
      <c r="F178" s="42"/>
      <c r="G178" s="43"/>
      <c r="H178" s="43"/>
      <c r="I178" s="43"/>
      <c r="J178" s="42"/>
      <c r="K178" s="42"/>
      <c r="L178" s="49"/>
      <c r="M178" s="49"/>
      <c r="N178" s="33" t="str">
        <f>IF($A178="","",$M178*IFERROR(INDEX(SERVIZI!$M:$M,MATCH($B178,SERVIZI!$A:$A,0)),0))</f>
        <v/>
      </c>
      <c r="O178" s="42"/>
      <c r="P178" s="42"/>
      <c r="Q178" s="36" t="str">
        <f t="shared" ca="1" si="25"/>
        <v/>
      </c>
      <c r="R178" s="33" t="str">
        <f t="shared" ca="1" si="26"/>
        <v/>
      </c>
      <c r="S178" s="33" t="str">
        <f t="shared" si="27"/>
        <v/>
      </c>
      <c r="T178" s="33" t="str">
        <f>IF($A178="","",SUMIFS(ORE!$F:$F,ORE!$B:$B,$B178,ORE!$D:$D,$D178))</f>
        <v/>
      </c>
      <c r="U178" s="35" t="str">
        <f t="shared" si="28"/>
        <v/>
      </c>
      <c r="V178" s="36" t="str">
        <f t="shared" si="29"/>
        <v/>
      </c>
    </row>
    <row r="179" spans="1:22" x14ac:dyDescent="0.3">
      <c r="A179" s="42"/>
      <c r="B179" s="42"/>
      <c r="C179" s="48"/>
      <c r="D179" s="42"/>
      <c r="E179" s="42"/>
      <c r="F179" s="42"/>
      <c r="G179" s="43"/>
      <c r="H179" s="43"/>
      <c r="I179" s="43"/>
      <c r="J179" s="42"/>
      <c r="K179" s="42"/>
      <c r="L179" s="49"/>
      <c r="M179" s="49"/>
      <c r="N179" s="33" t="str">
        <f>IF($A179="","",$M179*IFERROR(INDEX(SERVIZI!$M:$M,MATCH($B179,SERVIZI!$A:$A,0)),0))</f>
        <v/>
      </c>
      <c r="O179" s="42"/>
      <c r="P179" s="42"/>
      <c r="Q179" s="36" t="str">
        <f t="shared" ca="1" si="25"/>
        <v/>
      </c>
      <c r="R179" s="33" t="str">
        <f t="shared" ca="1" si="26"/>
        <v/>
      </c>
      <c r="S179" s="33" t="str">
        <f t="shared" si="27"/>
        <v/>
      </c>
      <c r="T179" s="33" t="str">
        <f>IF($A179="","",SUMIFS(ORE!$F:$F,ORE!$B:$B,$B179,ORE!$D:$D,$D179))</f>
        <v/>
      </c>
      <c r="U179" s="35" t="str">
        <f t="shared" si="28"/>
        <v/>
      </c>
      <c r="V179" s="36" t="str">
        <f t="shared" si="29"/>
        <v/>
      </c>
    </row>
    <row r="180" spans="1:22" x14ac:dyDescent="0.3">
      <c r="A180" s="42"/>
      <c r="B180" s="42"/>
      <c r="C180" s="48"/>
      <c r="D180" s="42"/>
      <c r="E180" s="42"/>
      <c r="F180" s="42"/>
      <c r="G180" s="43"/>
      <c r="H180" s="43"/>
      <c r="I180" s="43"/>
      <c r="J180" s="42"/>
      <c r="K180" s="42"/>
      <c r="L180" s="49"/>
      <c r="M180" s="49"/>
      <c r="N180" s="33" t="str">
        <f>IF($A180="","",$M180*IFERROR(INDEX(SERVIZI!$M:$M,MATCH($B180,SERVIZI!$A:$A,0)),0))</f>
        <v/>
      </c>
      <c r="O180" s="42"/>
      <c r="P180" s="42"/>
      <c r="Q180" s="36" t="str">
        <f t="shared" ca="1" si="25"/>
        <v/>
      </c>
      <c r="R180" s="33" t="str">
        <f t="shared" ca="1" si="26"/>
        <v/>
      </c>
      <c r="S180" s="33" t="str">
        <f t="shared" si="27"/>
        <v/>
      </c>
      <c r="T180" s="33" t="str">
        <f>IF($A180="","",SUMIFS(ORE!$F:$F,ORE!$B:$B,$B180,ORE!$D:$D,$D180))</f>
        <v/>
      </c>
      <c r="U180" s="35" t="str">
        <f t="shared" si="28"/>
        <v/>
      </c>
      <c r="V180" s="36" t="str">
        <f t="shared" si="29"/>
        <v/>
      </c>
    </row>
    <row r="181" spans="1:22" x14ac:dyDescent="0.3">
      <c r="A181" s="42"/>
      <c r="B181" s="42"/>
      <c r="C181" s="48"/>
      <c r="D181" s="42"/>
      <c r="E181" s="42"/>
      <c r="F181" s="42"/>
      <c r="G181" s="43"/>
      <c r="H181" s="43"/>
      <c r="I181" s="43"/>
      <c r="J181" s="42"/>
      <c r="K181" s="42"/>
      <c r="L181" s="49"/>
      <c r="M181" s="49"/>
      <c r="N181" s="33" t="str">
        <f>IF($A181="","",$M181*IFERROR(INDEX(SERVIZI!$M:$M,MATCH($B181,SERVIZI!$A:$A,0)),0))</f>
        <v/>
      </c>
      <c r="O181" s="42"/>
      <c r="P181" s="42"/>
      <c r="Q181" s="36" t="str">
        <f t="shared" ca="1" si="25"/>
        <v/>
      </c>
      <c r="R181" s="33" t="str">
        <f t="shared" ca="1" si="26"/>
        <v/>
      </c>
      <c r="S181" s="33" t="str">
        <f t="shared" si="27"/>
        <v/>
      </c>
      <c r="T181" s="33" t="str">
        <f>IF($A181="","",SUMIFS(ORE!$F:$F,ORE!$B:$B,$B181,ORE!$D:$D,$D181))</f>
        <v/>
      </c>
      <c r="U181" s="35" t="str">
        <f t="shared" si="28"/>
        <v/>
      </c>
      <c r="V181" s="36" t="str">
        <f t="shared" si="29"/>
        <v/>
      </c>
    </row>
    <row r="182" spans="1:22" x14ac:dyDescent="0.3">
      <c r="A182" s="42"/>
      <c r="B182" s="42"/>
      <c r="C182" s="48"/>
      <c r="D182" s="42"/>
      <c r="E182" s="42"/>
      <c r="F182" s="42"/>
      <c r="G182" s="43"/>
      <c r="H182" s="43"/>
      <c r="I182" s="43"/>
      <c r="J182" s="42"/>
      <c r="K182" s="42"/>
      <c r="L182" s="49"/>
      <c r="M182" s="49"/>
      <c r="N182" s="33" t="str">
        <f>IF($A182="","",$M182*IFERROR(INDEX(SERVIZI!$M:$M,MATCH($B182,SERVIZI!$A:$A,0)),0))</f>
        <v/>
      </c>
      <c r="O182" s="42"/>
      <c r="P182" s="42"/>
      <c r="Q182" s="36" t="str">
        <f t="shared" ca="1" si="25"/>
        <v/>
      </c>
      <c r="R182" s="33" t="str">
        <f t="shared" ca="1" si="26"/>
        <v/>
      </c>
      <c r="S182" s="33" t="str">
        <f t="shared" si="27"/>
        <v/>
      </c>
      <c r="T182" s="33" t="str">
        <f>IF($A182="","",SUMIFS(ORE!$F:$F,ORE!$B:$B,$B182,ORE!$D:$D,$D182))</f>
        <v/>
      </c>
      <c r="U182" s="35" t="str">
        <f t="shared" si="28"/>
        <v/>
      </c>
      <c r="V182" s="36" t="str">
        <f t="shared" si="29"/>
        <v/>
      </c>
    </row>
    <row r="183" spans="1:22" x14ac:dyDescent="0.3">
      <c r="A183" s="42"/>
      <c r="B183" s="42"/>
      <c r="C183" s="48"/>
      <c r="D183" s="42"/>
      <c r="E183" s="42"/>
      <c r="F183" s="42"/>
      <c r="G183" s="43"/>
      <c r="H183" s="43"/>
      <c r="I183" s="43"/>
      <c r="J183" s="42"/>
      <c r="K183" s="42"/>
      <c r="L183" s="49"/>
      <c r="M183" s="49"/>
      <c r="N183" s="33" t="str">
        <f>IF($A183="","",$M183*IFERROR(INDEX(SERVIZI!$M:$M,MATCH($B183,SERVIZI!$A:$A,0)),0))</f>
        <v/>
      </c>
      <c r="O183" s="42"/>
      <c r="P183" s="42"/>
      <c r="Q183" s="36" t="str">
        <f t="shared" ca="1" si="25"/>
        <v/>
      </c>
      <c r="R183" s="33" t="str">
        <f t="shared" ca="1" si="26"/>
        <v/>
      </c>
      <c r="S183" s="33" t="str">
        <f t="shared" si="27"/>
        <v/>
      </c>
      <c r="T183" s="33" t="str">
        <f>IF($A183="","",SUMIFS(ORE!$F:$F,ORE!$B:$B,$B183,ORE!$D:$D,$D183))</f>
        <v/>
      </c>
      <c r="U183" s="35" t="str">
        <f t="shared" si="28"/>
        <v/>
      </c>
      <c r="V183" s="36" t="str">
        <f t="shared" si="29"/>
        <v/>
      </c>
    </row>
    <row r="184" spans="1:22" x14ac:dyDescent="0.3">
      <c r="A184" s="42"/>
      <c r="B184" s="42"/>
      <c r="C184" s="48"/>
      <c r="D184" s="42"/>
      <c r="E184" s="42"/>
      <c r="F184" s="42"/>
      <c r="G184" s="43"/>
      <c r="H184" s="43"/>
      <c r="I184" s="43"/>
      <c r="J184" s="42"/>
      <c r="K184" s="42"/>
      <c r="L184" s="49"/>
      <c r="M184" s="49"/>
      <c r="N184" s="33" t="str">
        <f>IF($A184="","",$M184*IFERROR(INDEX(SERVIZI!$M:$M,MATCH($B184,SERVIZI!$A:$A,0)),0))</f>
        <v/>
      </c>
      <c r="O184" s="42"/>
      <c r="P184" s="42"/>
      <c r="Q184" s="36" t="str">
        <f t="shared" ca="1" si="25"/>
        <v/>
      </c>
      <c r="R184" s="33" t="str">
        <f t="shared" ca="1" si="26"/>
        <v/>
      </c>
      <c r="S184" s="33" t="str">
        <f t="shared" si="27"/>
        <v/>
      </c>
      <c r="T184" s="33" t="str">
        <f>IF($A184="","",SUMIFS(ORE!$F:$F,ORE!$B:$B,$B184,ORE!$D:$D,$D184))</f>
        <v/>
      </c>
      <c r="U184" s="35" t="str">
        <f t="shared" si="28"/>
        <v/>
      </c>
      <c r="V184" s="36" t="str">
        <f t="shared" si="29"/>
        <v/>
      </c>
    </row>
    <row r="185" spans="1:22" x14ac:dyDescent="0.3">
      <c r="A185" s="42"/>
      <c r="B185" s="42"/>
      <c r="C185" s="48"/>
      <c r="D185" s="42"/>
      <c r="E185" s="42"/>
      <c r="F185" s="42"/>
      <c r="G185" s="43"/>
      <c r="H185" s="43"/>
      <c r="I185" s="43"/>
      <c r="J185" s="42"/>
      <c r="K185" s="42"/>
      <c r="L185" s="49"/>
      <c r="M185" s="49"/>
      <c r="N185" s="33" t="str">
        <f>IF($A185="","",$M185*IFERROR(INDEX(SERVIZI!$M:$M,MATCH($B185,SERVIZI!$A:$A,0)),0))</f>
        <v/>
      </c>
      <c r="O185" s="42"/>
      <c r="P185" s="42"/>
      <c r="Q185" s="36" t="str">
        <f t="shared" ca="1" si="25"/>
        <v/>
      </c>
      <c r="R185" s="33" t="str">
        <f t="shared" ca="1" si="26"/>
        <v/>
      </c>
      <c r="S185" s="33" t="str">
        <f t="shared" si="27"/>
        <v/>
      </c>
      <c r="T185" s="33" t="str">
        <f>IF($A185="","",SUMIFS(ORE!$F:$F,ORE!$B:$B,$B185,ORE!$D:$D,$D185))</f>
        <v/>
      </c>
      <c r="U185" s="35" t="str">
        <f t="shared" si="28"/>
        <v/>
      </c>
      <c r="V185" s="36" t="str">
        <f t="shared" si="29"/>
        <v/>
      </c>
    </row>
    <row r="186" spans="1:22" x14ac:dyDescent="0.3">
      <c r="A186" s="42"/>
      <c r="B186" s="42"/>
      <c r="C186" s="48"/>
      <c r="D186" s="42"/>
      <c r="E186" s="42"/>
      <c r="F186" s="42"/>
      <c r="G186" s="43"/>
      <c r="H186" s="43"/>
      <c r="I186" s="43"/>
      <c r="J186" s="42"/>
      <c r="K186" s="42"/>
      <c r="L186" s="49"/>
      <c r="M186" s="49"/>
      <c r="N186" s="33" t="str">
        <f>IF($A186="","",$M186*IFERROR(INDEX(SERVIZI!$M:$M,MATCH($B186,SERVIZI!$A:$A,0)),0))</f>
        <v/>
      </c>
      <c r="O186" s="42"/>
      <c r="P186" s="42"/>
      <c r="Q186" s="36" t="str">
        <f t="shared" ca="1" si="25"/>
        <v/>
      </c>
      <c r="R186" s="33" t="str">
        <f t="shared" ca="1" si="26"/>
        <v/>
      </c>
      <c r="S186" s="33" t="str">
        <f t="shared" si="27"/>
        <v/>
      </c>
      <c r="T186" s="33" t="str">
        <f>IF($A186="","",SUMIFS(ORE!$F:$F,ORE!$B:$B,$B186,ORE!$D:$D,$D186))</f>
        <v/>
      </c>
      <c r="U186" s="35" t="str">
        <f t="shared" si="28"/>
        <v/>
      </c>
      <c r="V186" s="36" t="str">
        <f t="shared" si="29"/>
        <v/>
      </c>
    </row>
    <row r="187" spans="1:22" x14ac:dyDescent="0.3">
      <c r="A187" s="42"/>
      <c r="B187" s="42"/>
      <c r="C187" s="48"/>
      <c r="D187" s="42"/>
      <c r="E187" s="42"/>
      <c r="F187" s="42"/>
      <c r="G187" s="43"/>
      <c r="H187" s="43"/>
      <c r="I187" s="43"/>
      <c r="J187" s="42"/>
      <c r="K187" s="42"/>
      <c r="L187" s="49"/>
      <c r="M187" s="49"/>
      <c r="N187" s="33" t="str">
        <f>IF($A187="","",$M187*IFERROR(INDEX(SERVIZI!$M:$M,MATCH($B187,SERVIZI!$A:$A,0)),0))</f>
        <v/>
      </c>
      <c r="O187" s="42"/>
      <c r="P187" s="42"/>
      <c r="Q187" s="36" t="str">
        <f t="shared" ca="1" si="25"/>
        <v/>
      </c>
      <c r="R187" s="33" t="str">
        <f t="shared" ca="1" si="26"/>
        <v/>
      </c>
      <c r="S187" s="33" t="str">
        <f t="shared" si="27"/>
        <v/>
      </c>
      <c r="T187" s="33" t="str">
        <f>IF($A187="","",SUMIFS(ORE!$F:$F,ORE!$B:$B,$B187,ORE!$D:$D,$D187))</f>
        <v/>
      </c>
      <c r="U187" s="35" t="str">
        <f t="shared" si="28"/>
        <v/>
      </c>
      <c r="V187" s="36" t="str">
        <f t="shared" si="29"/>
        <v/>
      </c>
    </row>
    <row r="188" spans="1:22" x14ac:dyDescent="0.3">
      <c r="A188" s="42"/>
      <c r="B188" s="42"/>
      <c r="C188" s="48"/>
      <c r="D188" s="42"/>
      <c r="E188" s="42"/>
      <c r="F188" s="42"/>
      <c r="G188" s="43"/>
      <c r="H188" s="43"/>
      <c r="I188" s="43"/>
      <c r="J188" s="42"/>
      <c r="K188" s="42"/>
      <c r="L188" s="49"/>
      <c r="M188" s="49"/>
      <c r="N188" s="33" t="str">
        <f>IF($A188="","",$M188*IFERROR(INDEX(SERVIZI!$M:$M,MATCH($B188,SERVIZI!$A:$A,0)),0))</f>
        <v/>
      </c>
      <c r="O188" s="42"/>
      <c r="P188" s="42"/>
      <c r="Q188" s="36" t="str">
        <f t="shared" ca="1" si="25"/>
        <v/>
      </c>
      <c r="R188" s="33" t="str">
        <f t="shared" ca="1" si="26"/>
        <v/>
      </c>
      <c r="S188" s="33" t="str">
        <f t="shared" si="27"/>
        <v/>
      </c>
      <c r="T188" s="33" t="str">
        <f>IF($A188="","",SUMIFS(ORE!$F:$F,ORE!$B:$B,$B188,ORE!$D:$D,$D188))</f>
        <v/>
      </c>
      <c r="U188" s="35" t="str">
        <f t="shared" si="28"/>
        <v/>
      </c>
      <c r="V188" s="36" t="str">
        <f t="shared" si="29"/>
        <v/>
      </c>
    </row>
    <row r="189" spans="1:22" x14ac:dyDescent="0.3">
      <c r="A189" s="42"/>
      <c r="B189" s="42"/>
      <c r="C189" s="48"/>
      <c r="D189" s="42"/>
      <c r="E189" s="42"/>
      <c r="F189" s="42"/>
      <c r="G189" s="43"/>
      <c r="H189" s="43"/>
      <c r="I189" s="43"/>
      <c r="J189" s="42"/>
      <c r="K189" s="42"/>
      <c r="L189" s="49"/>
      <c r="M189" s="49"/>
      <c r="N189" s="33" t="str">
        <f>IF($A189="","",$M189*IFERROR(INDEX(SERVIZI!$M:$M,MATCH($B189,SERVIZI!$A:$A,0)),0))</f>
        <v/>
      </c>
      <c r="O189" s="42"/>
      <c r="P189" s="42"/>
      <c r="Q189" s="36" t="str">
        <f t="shared" ca="1" si="25"/>
        <v/>
      </c>
      <c r="R189" s="33" t="str">
        <f t="shared" ca="1" si="26"/>
        <v/>
      </c>
      <c r="S189" s="33" t="str">
        <f t="shared" si="27"/>
        <v/>
      </c>
      <c r="T189" s="33" t="str">
        <f>IF($A189="","",SUMIFS(ORE!$F:$F,ORE!$B:$B,$B189,ORE!$D:$D,$D189))</f>
        <v/>
      </c>
      <c r="U189" s="35" t="str">
        <f t="shared" si="28"/>
        <v/>
      </c>
      <c r="V189" s="36" t="str">
        <f t="shared" si="29"/>
        <v/>
      </c>
    </row>
    <row r="190" spans="1:22" x14ac:dyDescent="0.3">
      <c r="A190" s="42"/>
      <c r="B190" s="42"/>
      <c r="C190" s="48"/>
      <c r="D190" s="42"/>
      <c r="E190" s="42"/>
      <c r="F190" s="42"/>
      <c r="G190" s="43"/>
      <c r="H190" s="43"/>
      <c r="I190" s="43"/>
      <c r="J190" s="42"/>
      <c r="K190" s="42"/>
      <c r="L190" s="49"/>
      <c r="M190" s="49"/>
      <c r="N190" s="33" t="str">
        <f>IF($A190="","",$M190*IFERROR(INDEX(SERVIZI!$M:$M,MATCH($B190,SERVIZI!$A:$A,0)),0))</f>
        <v/>
      </c>
      <c r="O190" s="42"/>
      <c r="P190" s="42"/>
      <c r="Q190" s="36" t="str">
        <f t="shared" ca="1" si="25"/>
        <v/>
      </c>
      <c r="R190" s="33" t="str">
        <f t="shared" ca="1" si="26"/>
        <v/>
      </c>
      <c r="S190" s="33" t="str">
        <f t="shared" si="27"/>
        <v/>
      </c>
      <c r="T190" s="33" t="str">
        <f>IF($A190="","",SUMIFS(ORE!$F:$F,ORE!$B:$B,$B190,ORE!$D:$D,$D190))</f>
        <v/>
      </c>
      <c r="U190" s="35" t="str">
        <f t="shared" si="28"/>
        <v/>
      </c>
      <c r="V190" s="36" t="str">
        <f t="shared" si="29"/>
        <v/>
      </c>
    </row>
    <row r="191" spans="1:22" x14ac:dyDescent="0.3">
      <c r="A191" s="42"/>
      <c r="B191" s="42"/>
      <c r="C191" s="48"/>
      <c r="D191" s="42"/>
      <c r="E191" s="42"/>
      <c r="F191" s="42"/>
      <c r="G191" s="43"/>
      <c r="H191" s="43"/>
      <c r="I191" s="43"/>
      <c r="J191" s="42"/>
      <c r="K191" s="42"/>
      <c r="L191" s="49"/>
      <c r="M191" s="49"/>
      <c r="N191" s="33" t="str">
        <f>IF($A191="","",$M191*IFERROR(INDEX(SERVIZI!$M:$M,MATCH($B191,SERVIZI!$A:$A,0)),0))</f>
        <v/>
      </c>
      <c r="O191" s="42"/>
      <c r="P191" s="42"/>
      <c r="Q191" s="36" t="str">
        <f t="shared" ca="1" si="25"/>
        <v/>
      </c>
      <c r="R191" s="33" t="str">
        <f t="shared" ca="1" si="26"/>
        <v/>
      </c>
      <c r="S191" s="33" t="str">
        <f t="shared" si="27"/>
        <v/>
      </c>
      <c r="T191" s="33" t="str">
        <f>IF($A191="","",SUMIFS(ORE!$F:$F,ORE!$B:$B,$B191,ORE!$D:$D,$D191))</f>
        <v/>
      </c>
      <c r="U191" s="35" t="str">
        <f t="shared" si="28"/>
        <v/>
      </c>
      <c r="V191" s="36" t="str">
        <f t="shared" si="29"/>
        <v/>
      </c>
    </row>
    <row r="192" spans="1:22" x14ac:dyDescent="0.3">
      <c r="A192" s="42"/>
      <c r="B192" s="42"/>
      <c r="C192" s="48"/>
      <c r="D192" s="42"/>
      <c r="E192" s="42"/>
      <c r="F192" s="42"/>
      <c r="G192" s="43"/>
      <c r="H192" s="43"/>
      <c r="I192" s="43"/>
      <c r="J192" s="42"/>
      <c r="K192" s="42"/>
      <c r="L192" s="49"/>
      <c r="M192" s="49"/>
      <c r="N192" s="33" t="str">
        <f>IF($A192="","",$M192*IFERROR(INDEX(SERVIZI!$M:$M,MATCH($B192,SERVIZI!$A:$A,0)),0))</f>
        <v/>
      </c>
      <c r="O192" s="42"/>
      <c r="P192" s="42"/>
      <c r="Q192" s="36" t="str">
        <f t="shared" ca="1" si="25"/>
        <v/>
      </c>
      <c r="R192" s="33" t="str">
        <f t="shared" ca="1" si="26"/>
        <v/>
      </c>
      <c r="S192" s="33" t="str">
        <f t="shared" si="27"/>
        <v/>
      </c>
      <c r="T192" s="33" t="str">
        <f>IF($A192="","",SUMIFS(ORE!$F:$F,ORE!$B:$B,$B192,ORE!$D:$D,$D192))</f>
        <v/>
      </c>
      <c r="U192" s="35" t="str">
        <f t="shared" si="28"/>
        <v/>
      </c>
      <c r="V192" s="36" t="str">
        <f t="shared" si="29"/>
        <v/>
      </c>
    </row>
    <row r="193" spans="1:22" x14ac:dyDescent="0.3">
      <c r="A193" s="42"/>
      <c r="B193" s="42"/>
      <c r="C193" s="48"/>
      <c r="D193" s="42"/>
      <c r="E193" s="42"/>
      <c r="F193" s="42"/>
      <c r="G193" s="43"/>
      <c r="H193" s="43"/>
      <c r="I193" s="43"/>
      <c r="J193" s="42"/>
      <c r="K193" s="42"/>
      <c r="L193" s="49"/>
      <c r="M193" s="49"/>
      <c r="N193" s="33" t="str">
        <f>IF($A193="","",$M193*IFERROR(INDEX(SERVIZI!$M:$M,MATCH($B193,SERVIZI!$A:$A,0)),0))</f>
        <v/>
      </c>
      <c r="O193" s="42"/>
      <c r="P193" s="42"/>
      <c r="Q193" s="36" t="str">
        <f t="shared" ca="1" si="25"/>
        <v/>
      </c>
      <c r="R193" s="33" t="str">
        <f t="shared" ca="1" si="26"/>
        <v/>
      </c>
      <c r="S193" s="33" t="str">
        <f t="shared" si="27"/>
        <v/>
      </c>
      <c r="T193" s="33" t="str">
        <f>IF($A193="","",SUMIFS(ORE!$F:$F,ORE!$B:$B,$B193,ORE!$D:$D,$D193))</f>
        <v/>
      </c>
      <c r="U193" s="35" t="str">
        <f t="shared" si="28"/>
        <v/>
      </c>
      <c r="V193" s="36" t="str">
        <f t="shared" si="29"/>
        <v/>
      </c>
    </row>
    <row r="194" spans="1:22" x14ac:dyDescent="0.3">
      <c r="A194" s="42"/>
      <c r="B194" s="42"/>
      <c r="C194" s="48"/>
      <c r="D194" s="42"/>
      <c r="E194" s="42"/>
      <c r="F194" s="42"/>
      <c r="G194" s="43"/>
      <c r="H194" s="43"/>
      <c r="I194" s="43"/>
      <c r="J194" s="42"/>
      <c r="K194" s="42"/>
      <c r="L194" s="49"/>
      <c r="M194" s="49"/>
      <c r="N194" s="33" t="str">
        <f>IF($A194="","",$M194*IFERROR(INDEX(SERVIZI!$M:$M,MATCH($B194,SERVIZI!$A:$A,0)),0))</f>
        <v/>
      </c>
      <c r="O194" s="42"/>
      <c r="P194" s="42"/>
      <c r="Q194" s="36" t="str">
        <f t="shared" ref="Q194:Q201" ca="1" si="30">IF($A194="","",IF($L194&gt;=1,"Completata",IF(AND($H194&lt;&gt;"",$H194&lt;TODAY()),"IN RITARDO",IF($L194&gt;0,"In corso","Da avviare"))))</f>
        <v/>
      </c>
      <c r="R194" s="33" t="str">
        <f t="shared" ref="R194:R201" ca="1" si="31">IF($A194="","",IF(AND($H194&lt;&gt;"",$L194&lt;1,$H194&lt;TODAY()),TODAY()-$H194,0))</f>
        <v/>
      </c>
      <c r="S194" s="33" t="str">
        <f t="shared" ref="S194:S201" si="32">IF($A194="","",IF(AND($G194&lt;&gt;"",$H194&lt;&gt;""),$H194-$G194,0))</f>
        <v/>
      </c>
      <c r="T194" s="33" t="str">
        <f>IF($A194="","",SUMIFS(ORE!$F:$F,ORE!$B:$B,$B194,ORE!$D:$D,$D194))</f>
        <v/>
      </c>
      <c r="U194" s="35" t="str">
        <f t="shared" ref="U194:U201" si="33">IF($A194="","",IFERROR($T194/$N194,0))</f>
        <v/>
      </c>
      <c r="V194" s="36" t="str">
        <f t="shared" ref="V194:V201" si="34">IF($A194="","",IF(AND($U194&gt;$L194+0.2,$N194&gt;0),"ORE SOPRA AVANZAMENTO",IF($Q194="IN RITARDO","IN RITARDO","OK")))</f>
        <v/>
      </c>
    </row>
    <row r="195" spans="1:22" x14ac:dyDescent="0.3">
      <c r="A195" s="42"/>
      <c r="B195" s="42"/>
      <c r="C195" s="48"/>
      <c r="D195" s="42"/>
      <c r="E195" s="42"/>
      <c r="F195" s="42"/>
      <c r="G195" s="43"/>
      <c r="H195" s="43"/>
      <c r="I195" s="43"/>
      <c r="J195" s="42"/>
      <c r="K195" s="42"/>
      <c r="L195" s="49"/>
      <c r="M195" s="49"/>
      <c r="N195" s="33" t="str">
        <f>IF($A195="","",$M195*IFERROR(INDEX(SERVIZI!$M:$M,MATCH($B195,SERVIZI!$A:$A,0)),0))</f>
        <v/>
      </c>
      <c r="O195" s="42"/>
      <c r="P195" s="42"/>
      <c r="Q195" s="36" t="str">
        <f t="shared" ca="1" si="30"/>
        <v/>
      </c>
      <c r="R195" s="33" t="str">
        <f t="shared" ca="1" si="31"/>
        <v/>
      </c>
      <c r="S195" s="33" t="str">
        <f t="shared" si="32"/>
        <v/>
      </c>
      <c r="T195" s="33" t="str">
        <f>IF($A195="","",SUMIFS(ORE!$F:$F,ORE!$B:$B,$B195,ORE!$D:$D,$D195))</f>
        <v/>
      </c>
      <c r="U195" s="35" t="str">
        <f t="shared" si="33"/>
        <v/>
      </c>
      <c r="V195" s="36" t="str">
        <f t="shared" si="34"/>
        <v/>
      </c>
    </row>
    <row r="196" spans="1:22" x14ac:dyDescent="0.3">
      <c r="A196" s="42"/>
      <c r="B196" s="42"/>
      <c r="C196" s="48"/>
      <c r="D196" s="42"/>
      <c r="E196" s="42"/>
      <c r="F196" s="42"/>
      <c r="G196" s="43"/>
      <c r="H196" s="43"/>
      <c r="I196" s="43"/>
      <c r="J196" s="42"/>
      <c r="K196" s="42"/>
      <c r="L196" s="49"/>
      <c r="M196" s="49"/>
      <c r="N196" s="33" t="str">
        <f>IF($A196="","",$M196*IFERROR(INDEX(SERVIZI!$M:$M,MATCH($B196,SERVIZI!$A:$A,0)),0))</f>
        <v/>
      </c>
      <c r="O196" s="42"/>
      <c r="P196" s="42"/>
      <c r="Q196" s="36" t="str">
        <f t="shared" ca="1" si="30"/>
        <v/>
      </c>
      <c r="R196" s="33" t="str">
        <f t="shared" ca="1" si="31"/>
        <v/>
      </c>
      <c r="S196" s="33" t="str">
        <f t="shared" si="32"/>
        <v/>
      </c>
      <c r="T196" s="33" t="str">
        <f>IF($A196="","",SUMIFS(ORE!$F:$F,ORE!$B:$B,$B196,ORE!$D:$D,$D196))</f>
        <v/>
      </c>
      <c r="U196" s="35" t="str">
        <f t="shared" si="33"/>
        <v/>
      </c>
      <c r="V196" s="36" t="str">
        <f t="shared" si="34"/>
        <v/>
      </c>
    </row>
    <row r="197" spans="1:22" x14ac:dyDescent="0.3">
      <c r="A197" s="42"/>
      <c r="B197" s="42"/>
      <c r="C197" s="48"/>
      <c r="D197" s="42"/>
      <c r="E197" s="42"/>
      <c r="F197" s="42"/>
      <c r="G197" s="43"/>
      <c r="H197" s="43"/>
      <c r="I197" s="43"/>
      <c r="J197" s="42"/>
      <c r="K197" s="42"/>
      <c r="L197" s="49"/>
      <c r="M197" s="49"/>
      <c r="N197" s="33" t="str">
        <f>IF($A197="","",$M197*IFERROR(INDEX(SERVIZI!$M:$M,MATCH($B197,SERVIZI!$A:$A,0)),0))</f>
        <v/>
      </c>
      <c r="O197" s="42"/>
      <c r="P197" s="42"/>
      <c r="Q197" s="36" t="str">
        <f t="shared" ca="1" si="30"/>
        <v/>
      </c>
      <c r="R197" s="33" t="str">
        <f t="shared" ca="1" si="31"/>
        <v/>
      </c>
      <c r="S197" s="33" t="str">
        <f t="shared" si="32"/>
        <v/>
      </c>
      <c r="T197" s="33" t="str">
        <f>IF($A197="","",SUMIFS(ORE!$F:$F,ORE!$B:$B,$B197,ORE!$D:$D,$D197))</f>
        <v/>
      </c>
      <c r="U197" s="35" t="str">
        <f t="shared" si="33"/>
        <v/>
      </c>
      <c r="V197" s="36" t="str">
        <f t="shared" si="34"/>
        <v/>
      </c>
    </row>
    <row r="198" spans="1:22" x14ac:dyDescent="0.3">
      <c r="A198" s="42"/>
      <c r="B198" s="42"/>
      <c r="C198" s="48"/>
      <c r="D198" s="42"/>
      <c r="E198" s="42"/>
      <c r="F198" s="42"/>
      <c r="G198" s="43"/>
      <c r="H198" s="43"/>
      <c r="I198" s="43"/>
      <c r="J198" s="42"/>
      <c r="K198" s="42"/>
      <c r="L198" s="49"/>
      <c r="M198" s="49"/>
      <c r="N198" s="33" t="str">
        <f>IF($A198="","",$M198*IFERROR(INDEX(SERVIZI!$M:$M,MATCH($B198,SERVIZI!$A:$A,0)),0))</f>
        <v/>
      </c>
      <c r="O198" s="42"/>
      <c r="P198" s="42"/>
      <c r="Q198" s="36" t="str">
        <f t="shared" ca="1" si="30"/>
        <v/>
      </c>
      <c r="R198" s="33" t="str">
        <f t="shared" ca="1" si="31"/>
        <v/>
      </c>
      <c r="S198" s="33" t="str">
        <f t="shared" si="32"/>
        <v/>
      </c>
      <c r="T198" s="33" t="str">
        <f>IF($A198="","",SUMIFS(ORE!$F:$F,ORE!$B:$B,$B198,ORE!$D:$D,$D198))</f>
        <v/>
      </c>
      <c r="U198" s="35" t="str">
        <f t="shared" si="33"/>
        <v/>
      </c>
      <c r="V198" s="36" t="str">
        <f t="shared" si="34"/>
        <v/>
      </c>
    </row>
    <row r="199" spans="1:22" x14ac:dyDescent="0.3">
      <c r="A199" s="42"/>
      <c r="B199" s="42"/>
      <c r="C199" s="48"/>
      <c r="D199" s="42"/>
      <c r="E199" s="42"/>
      <c r="F199" s="42"/>
      <c r="G199" s="43"/>
      <c r="H199" s="43"/>
      <c r="I199" s="43"/>
      <c r="J199" s="42"/>
      <c r="K199" s="42"/>
      <c r="L199" s="49"/>
      <c r="M199" s="49"/>
      <c r="N199" s="33" t="str">
        <f>IF($A199="","",$M199*IFERROR(INDEX(SERVIZI!$M:$M,MATCH($B199,SERVIZI!$A:$A,0)),0))</f>
        <v/>
      </c>
      <c r="O199" s="42"/>
      <c r="P199" s="42"/>
      <c r="Q199" s="36" t="str">
        <f t="shared" ca="1" si="30"/>
        <v/>
      </c>
      <c r="R199" s="33" t="str">
        <f t="shared" ca="1" si="31"/>
        <v/>
      </c>
      <c r="S199" s="33" t="str">
        <f t="shared" si="32"/>
        <v/>
      </c>
      <c r="T199" s="33" t="str">
        <f>IF($A199="","",SUMIFS(ORE!$F:$F,ORE!$B:$B,$B199,ORE!$D:$D,$D199))</f>
        <v/>
      </c>
      <c r="U199" s="35" t="str">
        <f t="shared" si="33"/>
        <v/>
      </c>
      <c r="V199" s="36" t="str">
        <f t="shared" si="34"/>
        <v/>
      </c>
    </row>
    <row r="200" spans="1:22" x14ac:dyDescent="0.3">
      <c r="A200" s="42"/>
      <c r="B200" s="42"/>
      <c r="C200" s="48"/>
      <c r="D200" s="42"/>
      <c r="E200" s="42"/>
      <c r="F200" s="42"/>
      <c r="G200" s="43"/>
      <c r="H200" s="43"/>
      <c r="I200" s="43"/>
      <c r="J200" s="42"/>
      <c r="K200" s="42"/>
      <c r="L200" s="49"/>
      <c r="M200" s="49"/>
      <c r="N200" s="33" t="str">
        <f>IF($A200="","",$M200*IFERROR(INDEX(SERVIZI!$M:$M,MATCH($B200,SERVIZI!$A:$A,0)),0))</f>
        <v/>
      </c>
      <c r="O200" s="42"/>
      <c r="P200" s="42"/>
      <c r="Q200" s="36" t="str">
        <f t="shared" ca="1" si="30"/>
        <v/>
      </c>
      <c r="R200" s="33" t="str">
        <f t="shared" ca="1" si="31"/>
        <v/>
      </c>
      <c r="S200" s="33" t="str">
        <f t="shared" si="32"/>
        <v/>
      </c>
      <c r="T200" s="33" t="str">
        <f>IF($A200="","",SUMIFS(ORE!$F:$F,ORE!$B:$B,$B200,ORE!$D:$D,$D200))</f>
        <v/>
      </c>
      <c r="U200" s="35" t="str">
        <f t="shared" si="33"/>
        <v/>
      </c>
      <c r="V200" s="36" t="str">
        <f t="shared" si="34"/>
        <v/>
      </c>
    </row>
    <row r="201" spans="1:22" x14ac:dyDescent="0.3">
      <c r="A201" s="42"/>
      <c r="B201" s="42"/>
      <c r="C201" s="48"/>
      <c r="D201" s="42"/>
      <c r="E201" s="42"/>
      <c r="F201" s="42"/>
      <c r="G201" s="43"/>
      <c r="H201" s="43"/>
      <c r="I201" s="43"/>
      <c r="J201" s="42"/>
      <c r="K201" s="42"/>
      <c r="L201" s="49"/>
      <c r="M201" s="49"/>
      <c r="N201" s="33" t="str">
        <f>IF($A201="","",$M201*IFERROR(INDEX(SERVIZI!$M:$M,MATCH($B201,SERVIZI!$A:$A,0)),0))</f>
        <v/>
      </c>
      <c r="O201" s="42"/>
      <c r="P201" s="42"/>
      <c r="Q201" s="36" t="str">
        <f t="shared" ca="1" si="30"/>
        <v/>
      </c>
      <c r="R201" s="33" t="str">
        <f t="shared" ca="1" si="31"/>
        <v/>
      </c>
      <c r="S201" s="33" t="str">
        <f t="shared" si="32"/>
        <v/>
      </c>
      <c r="T201" s="33" t="str">
        <f>IF($A201="","",SUMIFS(ORE!$F:$F,ORE!$B:$B,$B201,ORE!$D:$D,$D201))</f>
        <v/>
      </c>
      <c r="U201" s="35" t="str">
        <f t="shared" si="33"/>
        <v/>
      </c>
      <c r="V201" s="36" t="str">
        <f t="shared" si="34"/>
        <v/>
      </c>
    </row>
  </sheetData>
  <dataValidations count="2">
    <dataValidation type="list" allowBlank="1" sqref="F2:F201" xr:uid="{00000000-0002-0000-0700-000001000000}">
      <formula1>L_PERSONA</formula1>
    </dataValidation>
    <dataValidation type="list" allowBlank="1" sqref="J2:J201" xr:uid="{00000000-0002-0000-0700-000003000000}">
      <formula1>$D$2:$D$201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700-000000000000}">
          <x14:formula1>
            <xm:f>SERVIZI!$A$2:$A$201</xm:f>
          </x14:formula1>
          <x14:formula2>
            <xm:f>0</xm:f>
          </x14:formula2>
          <xm:sqref>B2:B201</xm:sqref>
        </x14:dataValidation>
        <x14:dataValidation type="list" allowBlank="1" xr:uid="{00000000-0002-0000-0700-000002000000}">
          <x14:formula1>
            <xm:f>LISTE!$H$2:$H$3</xm:f>
          </x14:formula1>
          <x14:formula2>
            <xm:f>0</xm:f>
          </x14:formula2>
          <xm:sqref>K2:K201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>
    <tabColor rgb="FFBF8F00"/>
  </sheetPr>
  <dimension ref="A1:R201"/>
  <sheetViews>
    <sheetView showGridLines="0" zoomScaleNormal="100" workbookViewId="0">
      <pane ySplit="1" topLeftCell="A2" activePane="bottomLeft" state="frozen"/>
      <selection pane="bottomLeft" activeCell="O201" sqref="O2:O201"/>
    </sheetView>
  </sheetViews>
  <sheetFormatPr defaultColWidth="8.6640625" defaultRowHeight="14.4" x14ac:dyDescent="0.3"/>
  <cols>
    <col min="1" max="1" width="12" customWidth="1"/>
    <col min="2" max="2" width="17" customWidth="1"/>
    <col min="3" max="3" width="16" customWidth="1"/>
    <col min="4" max="4" width="30" customWidth="1"/>
    <col min="5" max="5" width="15" customWidth="1"/>
    <col min="6" max="6" width="13" customWidth="1"/>
    <col min="7" max="8" width="14" customWidth="1"/>
    <col min="9" max="9" width="36" customWidth="1"/>
    <col min="10" max="10" width="18" customWidth="1"/>
    <col min="11" max="11" width="17" customWidth="1"/>
    <col min="12" max="14" width="15" customWidth="1"/>
    <col min="15" max="15" width="16" customWidth="1"/>
    <col min="16" max="17" width="14" customWidth="1"/>
    <col min="18" max="18" width="24" customWidth="1"/>
  </cols>
  <sheetData>
    <row r="1" spans="1:18" ht="36" customHeight="1" x14ac:dyDescent="0.3">
      <c r="A1" s="41" t="s">
        <v>391</v>
      </c>
      <c r="B1" s="41" t="s">
        <v>278</v>
      </c>
      <c r="C1" s="41" t="s">
        <v>392</v>
      </c>
      <c r="D1" s="41" t="s">
        <v>393</v>
      </c>
      <c r="E1" s="41" t="s">
        <v>394</v>
      </c>
      <c r="F1" s="41" t="s">
        <v>395</v>
      </c>
      <c r="G1" s="41" t="s">
        <v>396</v>
      </c>
      <c r="H1" s="41" t="s">
        <v>397</v>
      </c>
      <c r="I1" s="41" t="s">
        <v>398</v>
      </c>
      <c r="J1" s="41" t="s">
        <v>399</v>
      </c>
      <c r="K1" s="41" t="s">
        <v>400</v>
      </c>
      <c r="L1" s="41" t="s">
        <v>401</v>
      </c>
      <c r="M1" s="41" t="s">
        <v>402</v>
      </c>
      <c r="N1" s="41" t="s">
        <v>403</v>
      </c>
      <c r="O1" s="41" t="s">
        <v>404</v>
      </c>
      <c r="P1" s="41" t="s">
        <v>405</v>
      </c>
      <c r="Q1" s="41" t="s">
        <v>406</v>
      </c>
      <c r="R1" s="41" t="s">
        <v>157</v>
      </c>
    </row>
    <row r="2" spans="1:18" x14ac:dyDescent="0.3">
      <c r="A2" s="42"/>
      <c r="B2" s="42"/>
      <c r="C2" s="42"/>
      <c r="D2" s="42"/>
      <c r="E2" s="42"/>
      <c r="F2" s="49"/>
      <c r="G2" s="50"/>
      <c r="H2" s="34" t="str">
        <f>IF($A2="","",IF($E2="Percentuale",$F2*IFERROR(INDEX(SERVIZI!$Q:$Q,MATCH($B2,SERVIZI!$A:$A,0)),0),$G2))</f>
        <v/>
      </c>
      <c r="I2" s="51"/>
      <c r="J2" s="35" t="str">
        <f>IF($A2="","",IF($I2="",0,IFERROR(AVERAGEIFS(FASI!$L:$L,FASI!$B:$B,$B2,FASI!$D:$D,$I2),0)))</f>
        <v/>
      </c>
      <c r="K2" s="36" t="str">
        <f t="shared" ref="K2:K33" si="0">IF($A2="","",IF($M2&lt;&gt;"","Fattura emessa",IF(AND($I2&lt;&gt;"",$J2&gt;=1),"EMETTIBILE","In attesa")))</f>
        <v/>
      </c>
      <c r="L2" s="43"/>
      <c r="M2" s="43"/>
      <c r="N2" s="42"/>
      <c r="O2" s="42"/>
      <c r="P2" s="43"/>
      <c r="Q2" s="33" t="str">
        <f t="shared" ref="Q2:Q33" ca="1" si="1">IF($A2="","",IF(AND($M2&lt;&gt;"",$P2="",$M2+GIORNI_PAG&lt;TODAY()),TODAY()-$M2,0))</f>
        <v/>
      </c>
      <c r="R2" s="51"/>
    </row>
    <row r="3" spans="1:18" x14ac:dyDescent="0.3">
      <c r="A3" s="42"/>
      <c r="B3" s="42"/>
      <c r="C3" s="42"/>
      <c r="D3" s="42"/>
      <c r="E3" s="42"/>
      <c r="F3" s="49"/>
      <c r="G3" s="44"/>
      <c r="H3" s="34" t="str">
        <f>IF($A3="","",IF($E3="Percentuale",$F3*IFERROR(INDEX(SERVIZI!$Q:$Q,MATCH($B3,SERVIZI!$A:$A,0)),0),$G3))</f>
        <v/>
      </c>
      <c r="I3" s="42"/>
      <c r="J3" s="35" t="str">
        <f>IF($A3="","",IF($I3="",0,IFERROR(AVERAGEIFS(FASI!$L:$L,FASI!$B:$B,$B3,FASI!$D:$D,$I3),0)))</f>
        <v/>
      </c>
      <c r="K3" s="36" t="str">
        <f t="shared" si="0"/>
        <v/>
      </c>
      <c r="L3" s="43"/>
      <c r="M3" s="43"/>
      <c r="N3" s="42"/>
      <c r="O3" s="42"/>
      <c r="P3" s="43"/>
      <c r="Q3" s="33" t="str">
        <f t="shared" ca="1" si="1"/>
        <v/>
      </c>
      <c r="R3" s="42"/>
    </row>
    <row r="4" spans="1:18" x14ac:dyDescent="0.3">
      <c r="A4" s="42"/>
      <c r="B4" s="42"/>
      <c r="C4" s="42"/>
      <c r="D4" s="42"/>
      <c r="E4" s="42"/>
      <c r="F4" s="49"/>
      <c r="G4" s="44"/>
      <c r="H4" s="34" t="str">
        <f>IF($A4="","",IF($E4="Percentuale",$F4*IFERROR(INDEX(SERVIZI!$Q:$Q,MATCH($B4,SERVIZI!$A:$A,0)),0),$G4))</f>
        <v/>
      </c>
      <c r="I4" s="42"/>
      <c r="J4" s="35" t="str">
        <f>IF($A4="","",IF($I4="",0,IFERROR(AVERAGEIFS(FASI!$L:$L,FASI!$B:$B,$B4,FASI!$D:$D,$I4),0)))</f>
        <v/>
      </c>
      <c r="K4" s="36" t="str">
        <f t="shared" si="0"/>
        <v/>
      </c>
      <c r="L4" s="43"/>
      <c r="M4" s="43"/>
      <c r="N4" s="42"/>
      <c r="O4" s="42"/>
      <c r="P4" s="43"/>
      <c r="Q4" s="33" t="str">
        <f t="shared" ca="1" si="1"/>
        <v/>
      </c>
      <c r="R4" s="42"/>
    </row>
    <row r="5" spans="1:18" x14ac:dyDescent="0.3">
      <c r="A5" s="42"/>
      <c r="B5" s="42"/>
      <c r="C5" s="42"/>
      <c r="D5" s="42"/>
      <c r="E5" s="42"/>
      <c r="F5" s="49"/>
      <c r="G5" s="44"/>
      <c r="H5" s="34" t="str">
        <f>IF($A5="","",IF($E5="Percentuale",$F5*IFERROR(INDEX(SERVIZI!$Q:$Q,MATCH($B5,SERVIZI!$A:$A,0)),0),$G5))</f>
        <v/>
      </c>
      <c r="I5" s="42"/>
      <c r="J5" s="35" t="str">
        <f>IF($A5="","",IF($I5="",0,IFERROR(AVERAGEIFS(FASI!$L:$L,FASI!$B:$B,$B5,FASI!$D:$D,$I5),0)))</f>
        <v/>
      </c>
      <c r="K5" s="36" t="str">
        <f t="shared" si="0"/>
        <v/>
      </c>
      <c r="L5" s="43"/>
      <c r="M5" s="43"/>
      <c r="N5" s="42"/>
      <c r="O5" s="42"/>
      <c r="P5" s="43"/>
      <c r="Q5" s="33" t="str">
        <f t="shared" ca="1" si="1"/>
        <v/>
      </c>
      <c r="R5" s="42"/>
    </row>
    <row r="6" spans="1:18" x14ac:dyDescent="0.3">
      <c r="A6" s="42"/>
      <c r="B6" s="42"/>
      <c r="C6" s="42"/>
      <c r="D6" s="42"/>
      <c r="E6" s="42"/>
      <c r="F6" s="49"/>
      <c r="G6" s="44"/>
      <c r="H6" s="34" t="str">
        <f>IF($A6="","",IF($E6="Percentuale",$F6*IFERROR(INDEX(SERVIZI!$Q:$Q,MATCH($B6,SERVIZI!$A:$A,0)),0),$G6))</f>
        <v/>
      </c>
      <c r="I6" s="42"/>
      <c r="J6" s="35" t="str">
        <f>IF($A6="","",IF($I6="",0,IFERROR(AVERAGEIFS(FASI!$L:$L,FASI!$B:$B,$B6,FASI!$D:$D,$I6),0)))</f>
        <v/>
      </c>
      <c r="K6" s="36" t="str">
        <f t="shared" si="0"/>
        <v/>
      </c>
      <c r="L6" s="43"/>
      <c r="M6" s="43"/>
      <c r="N6" s="42"/>
      <c r="O6" s="42"/>
      <c r="P6" s="43"/>
      <c r="Q6" s="33" t="str">
        <f t="shared" ca="1" si="1"/>
        <v/>
      </c>
      <c r="R6" s="42"/>
    </row>
    <row r="7" spans="1:18" x14ac:dyDescent="0.3">
      <c r="A7" s="42"/>
      <c r="B7" s="42"/>
      <c r="C7" s="42"/>
      <c r="D7" s="42"/>
      <c r="E7" s="42"/>
      <c r="F7" s="49"/>
      <c r="G7" s="44"/>
      <c r="H7" s="34" t="str">
        <f>IF($A7="","",IF($E7="Percentuale",$F7*IFERROR(INDEX(SERVIZI!$Q:$Q,MATCH($B7,SERVIZI!$A:$A,0)),0),$G7))</f>
        <v/>
      </c>
      <c r="I7" s="42"/>
      <c r="J7" s="35" t="str">
        <f>IF($A7="","",IF($I7="",0,IFERROR(AVERAGEIFS(FASI!$L:$L,FASI!$B:$B,$B7,FASI!$D:$D,$I7),0)))</f>
        <v/>
      </c>
      <c r="K7" s="36" t="str">
        <f t="shared" si="0"/>
        <v/>
      </c>
      <c r="L7" s="43"/>
      <c r="M7" s="43"/>
      <c r="N7" s="42"/>
      <c r="O7" s="42"/>
      <c r="P7" s="43"/>
      <c r="Q7" s="33" t="str">
        <f t="shared" ca="1" si="1"/>
        <v/>
      </c>
      <c r="R7" s="42"/>
    </row>
    <row r="8" spans="1:18" x14ac:dyDescent="0.3">
      <c r="A8" s="42"/>
      <c r="B8" s="42"/>
      <c r="C8" s="42"/>
      <c r="D8" s="42"/>
      <c r="E8" s="42"/>
      <c r="F8" s="49"/>
      <c r="G8" s="44"/>
      <c r="H8" s="34" t="str">
        <f>IF($A8="","",IF($E8="Percentuale",$F8*IFERROR(INDEX(SERVIZI!$Q:$Q,MATCH($B8,SERVIZI!$A:$A,0)),0),$G8))</f>
        <v/>
      </c>
      <c r="I8" s="42"/>
      <c r="J8" s="35" t="str">
        <f>IF($A8="","",IF($I8="",0,IFERROR(AVERAGEIFS(FASI!$L:$L,FASI!$B:$B,$B8,FASI!$D:$D,$I8),0)))</f>
        <v/>
      </c>
      <c r="K8" s="36" t="str">
        <f t="shared" si="0"/>
        <v/>
      </c>
      <c r="L8" s="43"/>
      <c r="M8" s="43"/>
      <c r="N8" s="42"/>
      <c r="O8" s="42"/>
      <c r="P8" s="43"/>
      <c r="Q8" s="33" t="str">
        <f t="shared" ca="1" si="1"/>
        <v/>
      </c>
      <c r="R8" s="42"/>
    </row>
    <row r="9" spans="1:18" x14ac:dyDescent="0.3">
      <c r="A9" s="42"/>
      <c r="B9" s="42"/>
      <c r="C9" s="42"/>
      <c r="D9" s="42"/>
      <c r="E9" s="42"/>
      <c r="F9" s="49"/>
      <c r="G9" s="44"/>
      <c r="H9" s="34" t="str">
        <f>IF($A9="","",IF($E9="Percentuale",$F9*IFERROR(INDEX(SERVIZI!$Q:$Q,MATCH($B9,SERVIZI!$A:$A,0)),0),$G9))</f>
        <v/>
      </c>
      <c r="I9" s="42"/>
      <c r="J9" s="35" t="str">
        <f>IF($A9="","",IF($I9="",0,IFERROR(AVERAGEIFS(FASI!$L:$L,FASI!$B:$B,$B9,FASI!$D:$D,$I9),0)))</f>
        <v/>
      </c>
      <c r="K9" s="36" t="str">
        <f t="shared" si="0"/>
        <v/>
      </c>
      <c r="L9" s="43"/>
      <c r="M9" s="43"/>
      <c r="N9" s="42"/>
      <c r="O9" s="42"/>
      <c r="P9" s="43"/>
      <c r="Q9" s="33" t="str">
        <f t="shared" ca="1" si="1"/>
        <v/>
      </c>
      <c r="R9" s="42"/>
    </row>
    <row r="10" spans="1:18" x14ac:dyDescent="0.3">
      <c r="A10" s="42"/>
      <c r="B10" s="42"/>
      <c r="C10" s="42"/>
      <c r="D10" s="42"/>
      <c r="E10" s="42"/>
      <c r="F10" s="49"/>
      <c r="G10" s="44"/>
      <c r="H10" s="34" t="str">
        <f>IF($A10="","",IF($E10="Percentuale",$F10*IFERROR(INDEX(SERVIZI!$Q:$Q,MATCH($B10,SERVIZI!$A:$A,0)),0),$G10))</f>
        <v/>
      </c>
      <c r="I10" s="42"/>
      <c r="J10" s="35" t="str">
        <f>IF($A10="","",IF($I10="",0,IFERROR(AVERAGEIFS(FASI!$L:$L,FASI!$B:$B,$B10,FASI!$D:$D,$I10),0)))</f>
        <v/>
      </c>
      <c r="K10" s="36" t="str">
        <f t="shared" si="0"/>
        <v/>
      </c>
      <c r="L10" s="43"/>
      <c r="M10" s="43"/>
      <c r="N10" s="42"/>
      <c r="O10" s="42"/>
      <c r="P10" s="43"/>
      <c r="Q10" s="33" t="str">
        <f t="shared" ca="1" si="1"/>
        <v/>
      </c>
      <c r="R10" s="42"/>
    </row>
    <row r="11" spans="1:18" x14ac:dyDescent="0.3">
      <c r="A11" s="42"/>
      <c r="B11" s="42"/>
      <c r="C11" s="42"/>
      <c r="D11" s="42"/>
      <c r="E11" s="42"/>
      <c r="F11" s="49"/>
      <c r="G11" s="44"/>
      <c r="H11" s="34" t="str">
        <f>IF($A11="","",IF($E11="Percentuale",$F11*IFERROR(INDEX(SERVIZI!$Q:$Q,MATCH($B11,SERVIZI!$A:$A,0)),0),$G11))</f>
        <v/>
      </c>
      <c r="I11" s="42"/>
      <c r="J11" s="35" t="str">
        <f>IF($A11="","",IF($I11="",0,IFERROR(AVERAGEIFS(FASI!$L:$L,FASI!$B:$B,$B11,FASI!$D:$D,$I11),0)))</f>
        <v/>
      </c>
      <c r="K11" s="36" t="str">
        <f t="shared" si="0"/>
        <v/>
      </c>
      <c r="L11" s="43"/>
      <c r="M11" s="43"/>
      <c r="N11" s="42"/>
      <c r="O11" s="42"/>
      <c r="P11" s="43"/>
      <c r="Q11" s="33" t="str">
        <f t="shared" ca="1" si="1"/>
        <v/>
      </c>
      <c r="R11" s="42"/>
    </row>
    <row r="12" spans="1:18" x14ac:dyDescent="0.3">
      <c r="A12" s="42"/>
      <c r="B12" s="42"/>
      <c r="C12" s="42"/>
      <c r="D12" s="42"/>
      <c r="E12" s="42"/>
      <c r="F12" s="49"/>
      <c r="G12" s="44"/>
      <c r="H12" s="34" t="str">
        <f>IF($A12="","",IF($E12="Percentuale",$F12*IFERROR(INDEX(SERVIZI!$Q:$Q,MATCH($B12,SERVIZI!$A:$A,0)),0),$G12))</f>
        <v/>
      </c>
      <c r="I12" s="42"/>
      <c r="J12" s="35" t="str">
        <f>IF($A12="","",IF($I12="",0,IFERROR(AVERAGEIFS(FASI!$L:$L,FASI!$B:$B,$B12,FASI!$D:$D,$I12),0)))</f>
        <v/>
      </c>
      <c r="K12" s="36" t="str">
        <f t="shared" si="0"/>
        <v/>
      </c>
      <c r="L12" s="43"/>
      <c r="M12" s="43"/>
      <c r="N12" s="42"/>
      <c r="O12" s="42"/>
      <c r="P12" s="43"/>
      <c r="Q12" s="33" t="str">
        <f t="shared" ca="1" si="1"/>
        <v/>
      </c>
      <c r="R12" s="42"/>
    </row>
    <row r="13" spans="1:18" x14ac:dyDescent="0.3">
      <c r="A13" s="42"/>
      <c r="B13" s="42"/>
      <c r="C13" s="42"/>
      <c r="D13" s="42"/>
      <c r="E13" s="42"/>
      <c r="F13" s="49"/>
      <c r="G13" s="44"/>
      <c r="H13" s="34" t="str">
        <f>IF($A13="","",IF($E13="Percentuale",$F13*IFERROR(INDEX(SERVIZI!$Q:$Q,MATCH($B13,SERVIZI!$A:$A,0)),0),$G13))</f>
        <v/>
      </c>
      <c r="I13" s="42"/>
      <c r="J13" s="35" t="str">
        <f>IF($A13="","",IF($I13="",0,IFERROR(AVERAGEIFS(FASI!$L:$L,FASI!$B:$B,$B13,FASI!$D:$D,$I13),0)))</f>
        <v/>
      </c>
      <c r="K13" s="36" t="str">
        <f t="shared" si="0"/>
        <v/>
      </c>
      <c r="L13" s="43"/>
      <c r="M13" s="43"/>
      <c r="N13" s="42"/>
      <c r="O13" s="42"/>
      <c r="P13" s="43"/>
      <c r="Q13" s="33" t="str">
        <f t="shared" ca="1" si="1"/>
        <v/>
      </c>
      <c r="R13" s="42"/>
    </row>
    <row r="14" spans="1:18" x14ac:dyDescent="0.3">
      <c r="A14" s="42"/>
      <c r="B14" s="42"/>
      <c r="C14" s="42"/>
      <c r="D14" s="42"/>
      <c r="E14" s="42"/>
      <c r="F14" s="49"/>
      <c r="G14" s="44"/>
      <c r="H14" s="34" t="str">
        <f>IF($A14="","",IF($E14="Percentuale",$F14*IFERROR(INDEX(SERVIZI!$Q:$Q,MATCH($B14,SERVIZI!$A:$A,0)),0),$G14))</f>
        <v/>
      </c>
      <c r="I14" s="42"/>
      <c r="J14" s="35" t="str">
        <f>IF($A14="","",IF($I14="",0,IFERROR(AVERAGEIFS(FASI!$L:$L,FASI!$B:$B,$B14,FASI!$D:$D,$I14),0)))</f>
        <v/>
      </c>
      <c r="K14" s="36" t="str">
        <f t="shared" si="0"/>
        <v/>
      </c>
      <c r="L14" s="43"/>
      <c r="M14" s="43"/>
      <c r="N14" s="42"/>
      <c r="O14" s="42"/>
      <c r="P14" s="43"/>
      <c r="Q14" s="33" t="str">
        <f t="shared" ca="1" si="1"/>
        <v/>
      </c>
      <c r="R14" s="42"/>
    </row>
    <row r="15" spans="1:18" x14ac:dyDescent="0.3">
      <c r="A15" s="42"/>
      <c r="B15" s="42"/>
      <c r="C15" s="42"/>
      <c r="D15" s="42"/>
      <c r="E15" s="42"/>
      <c r="F15" s="49"/>
      <c r="G15" s="44"/>
      <c r="H15" s="34" t="str">
        <f>IF($A15="","",IF($E15="Percentuale",$F15*IFERROR(INDEX(SERVIZI!$Q:$Q,MATCH($B15,SERVIZI!$A:$A,0)),0),$G15))</f>
        <v/>
      </c>
      <c r="I15" s="42"/>
      <c r="J15" s="35" t="str">
        <f>IF($A15="","",IF($I15="",0,IFERROR(AVERAGEIFS(FASI!$L:$L,FASI!$B:$B,$B15,FASI!$D:$D,$I15),0)))</f>
        <v/>
      </c>
      <c r="K15" s="36" t="str">
        <f t="shared" si="0"/>
        <v/>
      </c>
      <c r="L15" s="43"/>
      <c r="M15" s="43"/>
      <c r="N15" s="42"/>
      <c r="O15" s="42"/>
      <c r="P15" s="43"/>
      <c r="Q15" s="33" t="str">
        <f t="shared" ca="1" si="1"/>
        <v/>
      </c>
      <c r="R15" s="42"/>
    </row>
    <row r="16" spans="1:18" x14ac:dyDescent="0.3">
      <c r="A16" s="42"/>
      <c r="B16" s="42"/>
      <c r="C16" s="42"/>
      <c r="D16" s="42"/>
      <c r="E16" s="42"/>
      <c r="F16" s="49"/>
      <c r="G16" s="44"/>
      <c r="H16" s="34" t="str">
        <f>IF($A16="","",IF($E16="Percentuale",$F16*IFERROR(INDEX(SERVIZI!$Q:$Q,MATCH($B16,SERVIZI!$A:$A,0)),0),$G16))</f>
        <v/>
      </c>
      <c r="I16" s="42"/>
      <c r="J16" s="35" t="str">
        <f>IF($A16="","",IF($I16="",0,IFERROR(AVERAGEIFS(FASI!$L:$L,FASI!$B:$B,$B16,FASI!$D:$D,$I16),0)))</f>
        <v/>
      </c>
      <c r="K16" s="36" t="str">
        <f t="shared" si="0"/>
        <v/>
      </c>
      <c r="L16" s="43"/>
      <c r="M16" s="43"/>
      <c r="N16" s="42"/>
      <c r="O16" s="42"/>
      <c r="P16" s="43"/>
      <c r="Q16" s="33" t="str">
        <f t="shared" ca="1" si="1"/>
        <v/>
      </c>
      <c r="R16" s="42"/>
    </row>
    <row r="17" spans="1:18" x14ac:dyDescent="0.3">
      <c r="A17" s="42"/>
      <c r="B17" s="42"/>
      <c r="C17" s="42"/>
      <c r="D17" s="42"/>
      <c r="E17" s="42"/>
      <c r="F17" s="49"/>
      <c r="G17" s="44"/>
      <c r="H17" s="34" t="str">
        <f>IF($A17="","",IF($E17="Percentuale",$F17*IFERROR(INDEX(SERVIZI!$Q:$Q,MATCH($B17,SERVIZI!$A:$A,0)),0),$G17))</f>
        <v/>
      </c>
      <c r="I17" s="42"/>
      <c r="J17" s="35" t="str">
        <f>IF($A17="","",IF($I17="",0,IFERROR(AVERAGEIFS(FASI!$L:$L,FASI!$B:$B,$B17,FASI!$D:$D,$I17),0)))</f>
        <v/>
      </c>
      <c r="K17" s="36" t="str">
        <f t="shared" si="0"/>
        <v/>
      </c>
      <c r="L17" s="43"/>
      <c r="M17" s="43"/>
      <c r="N17" s="42"/>
      <c r="O17" s="42"/>
      <c r="P17" s="43"/>
      <c r="Q17" s="33" t="str">
        <f t="shared" ca="1" si="1"/>
        <v/>
      </c>
      <c r="R17" s="42"/>
    </row>
    <row r="18" spans="1:18" x14ac:dyDescent="0.3">
      <c r="A18" s="42"/>
      <c r="B18" s="42"/>
      <c r="C18" s="42"/>
      <c r="D18" s="42"/>
      <c r="E18" s="42"/>
      <c r="F18" s="49"/>
      <c r="G18" s="44"/>
      <c r="H18" s="34" t="str">
        <f>IF($A18="","",IF($E18="Percentuale",$F18*IFERROR(INDEX(SERVIZI!$Q:$Q,MATCH($B18,SERVIZI!$A:$A,0)),0),$G18))</f>
        <v/>
      </c>
      <c r="I18" s="42"/>
      <c r="J18" s="35" t="str">
        <f>IF($A18="","",IF($I18="",0,IFERROR(AVERAGEIFS(FASI!$L:$L,FASI!$B:$B,$B18,FASI!$D:$D,$I18),0)))</f>
        <v/>
      </c>
      <c r="K18" s="36" t="str">
        <f t="shared" si="0"/>
        <v/>
      </c>
      <c r="L18" s="43"/>
      <c r="M18" s="43"/>
      <c r="N18" s="42"/>
      <c r="O18" s="42"/>
      <c r="P18" s="43"/>
      <c r="Q18" s="33" t="str">
        <f t="shared" ca="1" si="1"/>
        <v/>
      </c>
      <c r="R18" s="42"/>
    </row>
    <row r="19" spans="1:18" x14ac:dyDescent="0.3">
      <c r="A19" s="42"/>
      <c r="B19" s="42"/>
      <c r="C19" s="42"/>
      <c r="D19" s="42"/>
      <c r="E19" s="42"/>
      <c r="F19" s="49"/>
      <c r="G19" s="44"/>
      <c r="H19" s="34" t="str">
        <f>IF($A19="","",IF($E19="Percentuale",$F19*IFERROR(INDEX(SERVIZI!$Q:$Q,MATCH($B19,SERVIZI!$A:$A,0)),0),$G19))</f>
        <v/>
      </c>
      <c r="I19" s="42"/>
      <c r="J19" s="35" t="str">
        <f>IF($A19="","",IF($I19="",0,IFERROR(AVERAGEIFS(FASI!$L:$L,FASI!$B:$B,$B19,FASI!$D:$D,$I19),0)))</f>
        <v/>
      </c>
      <c r="K19" s="36" t="str">
        <f t="shared" si="0"/>
        <v/>
      </c>
      <c r="L19" s="43"/>
      <c r="M19" s="43"/>
      <c r="N19" s="42"/>
      <c r="O19" s="42"/>
      <c r="P19" s="43"/>
      <c r="Q19" s="33" t="str">
        <f t="shared" ca="1" si="1"/>
        <v/>
      </c>
      <c r="R19" s="42"/>
    </row>
    <row r="20" spans="1:18" x14ac:dyDescent="0.3">
      <c r="A20" s="42"/>
      <c r="B20" s="42"/>
      <c r="C20" s="42"/>
      <c r="D20" s="42"/>
      <c r="E20" s="42"/>
      <c r="F20" s="49"/>
      <c r="G20" s="44"/>
      <c r="H20" s="34" t="str">
        <f>IF($A20="","",IF($E20="Percentuale",$F20*IFERROR(INDEX(SERVIZI!$Q:$Q,MATCH($B20,SERVIZI!$A:$A,0)),0),$G20))</f>
        <v/>
      </c>
      <c r="I20" s="42"/>
      <c r="J20" s="35" t="str">
        <f>IF($A20="","",IF($I20="",0,IFERROR(AVERAGEIFS(FASI!$L:$L,FASI!$B:$B,$B20,FASI!$D:$D,$I20),0)))</f>
        <v/>
      </c>
      <c r="K20" s="36" t="str">
        <f t="shared" si="0"/>
        <v/>
      </c>
      <c r="L20" s="43"/>
      <c r="M20" s="43"/>
      <c r="N20" s="42"/>
      <c r="O20" s="42"/>
      <c r="P20" s="43"/>
      <c r="Q20" s="33" t="str">
        <f t="shared" ca="1" si="1"/>
        <v/>
      </c>
      <c r="R20" s="42"/>
    </row>
    <row r="21" spans="1:18" x14ac:dyDescent="0.3">
      <c r="A21" s="42"/>
      <c r="B21" s="42"/>
      <c r="C21" s="42"/>
      <c r="D21" s="42"/>
      <c r="E21" s="42"/>
      <c r="F21" s="49"/>
      <c r="G21" s="44"/>
      <c r="H21" s="34" t="str">
        <f>IF($A21="","",IF($E21="Percentuale",$F21*IFERROR(INDEX(SERVIZI!$Q:$Q,MATCH($B21,SERVIZI!$A:$A,0)),0),$G21))</f>
        <v/>
      </c>
      <c r="I21" s="42"/>
      <c r="J21" s="35" t="str">
        <f>IF($A21="","",IF($I21="",0,IFERROR(AVERAGEIFS(FASI!$L:$L,FASI!$B:$B,$B21,FASI!$D:$D,$I21),0)))</f>
        <v/>
      </c>
      <c r="K21" s="36" t="str">
        <f t="shared" si="0"/>
        <v/>
      </c>
      <c r="L21" s="43"/>
      <c r="M21" s="43"/>
      <c r="N21" s="42"/>
      <c r="O21" s="42"/>
      <c r="P21" s="43"/>
      <c r="Q21" s="33" t="str">
        <f t="shared" ca="1" si="1"/>
        <v/>
      </c>
      <c r="R21" s="42"/>
    </row>
    <row r="22" spans="1:18" x14ac:dyDescent="0.3">
      <c r="A22" s="42"/>
      <c r="B22" s="42"/>
      <c r="C22" s="42"/>
      <c r="D22" s="42"/>
      <c r="E22" s="42"/>
      <c r="F22" s="49"/>
      <c r="G22" s="44"/>
      <c r="H22" s="34" t="str">
        <f>IF($A22="","",IF($E22="Percentuale",$F22*IFERROR(INDEX(SERVIZI!$Q:$Q,MATCH($B22,SERVIZI!$A:$A,0)),0),$G22))</f>
        <v/>
      </c>
      <c r="I22" s="42"/>
      <c r="J22" s="35" t="str">
        <f>IF($A22="","",IF($I22="",0,IFERROR(AVERAGEIFS(FASI!$L:$L,FASI!$B:$B,$B22,FASI!$D:$D,$I22),0)))</f>
        <v/>
      </c>
      <c r="K22" s="36" t="str">
        <f t="shared" si="0"/>
        <v/>
      </c>
      <c r="L22" s="43"/>
      <c r="M22" s="43"/>
      <c r="N22" s="42"/>
      <c r="O22" s="42"/>
      <c r="P22" s="43"/>
      <c r="Q22" s="33" t="str">
        <f t="shared" ca="1" si="1"/>
        <v/>
      </c>
      <c r="R22" s="42"/>
    </row>
    <row r="23" spans="1:18" x14ac:dyDescent="0.3">
      <c r="A23" s="42"/>
      <c r="B23" s="42"/>
      <c r="C23" s="42"/>
      <c r="D23" s="42"/>
      <c r="E23" s="42"/>
      <c r="F23" s="49"/>
      <c r="G23" s="44"/>
      <c r="H23" s="34" t="str">
        <f>IF($A23="","",IF($E23="Percentuale",$F23*IFERROR(INDEX(SERVIZI!$Q:$Q,MATCH($B23,SERVIZI!$A:$A,0)),0),$G23))</f>
        <v/>
      </c>
      <c r="I23" s="42"/>
      <c r="J23" s="35" t="str">
        <f>IF($A23="","",IF($I23="",0,IFERROR(AVERAGEIFS(FASI!$L:$L,FASI!$B:$B,$B23,FASI!$D:$D,$I23),0)))</f>
        <v/>
      </c>
      <c r="K23" s="36" t="str">
        <f t="shared" si="0"/>
        <v/>
      </c>
      <c r="L23" s="43"/>
      <c r="M23" s="43"/>
      <c r="N23" s="42"/>
      <c r="O23" s="42"/>
      <c r="P23" s="43"/>
      <c r="Q23" s="33" t="str">
        <f t="shared" ca="1" si="1"/>
        <v/>
      </c>
      <c r="R23" s="42"/>
    </row>
    <row r="24" spans="1:18" x14ac:dyDescent="0.3">
      <c r="A24" s="42"/>
      <c r="B24" s="42"/>
      <c r="C24" s="42"/>
      <c r="D24" s="42"/>
      <c r="E24" s="42"/>
      <c r="F24" s="49"/>
      <c r="G24" s="44"/>
      <c r="H24" s="34" t="str">
        <f>IF($A24="","",IF($E24="Percentuale",$F24*IFERROR(INDEX(SERVIZI!$Q:$Q,MATCH($B24,SERVIZI!$A:$A,0)),0),$G24))</f>
        <v/>
      </c>
      <c r="I24" s="42"/>
      <c r="J24" s="35" t="str">
        <f>IF($A24="","",IF($I24="",0,IFERROR(AVERAGEIFS(FASI!$L:$L,FASI!$B:$B,$B24,FASI!$D:$D,$I24),0)))</f>
        <v/>
      </c>
      <c r="K24" s="36" t="str">
        <f t="shared" si="0"/>
        <v/>
      </c>
      <c r="L24" s="43"/>
      <c r="M24" s="43"/>
      <c r="N24" s="42"/>
      <c r="O24" s="42"/>
      <c r="P24" s="43"/>
      <c r="Q24" s="33" t="str">
        <f t="shared" ca="1" si="1"/>
        <v/>
      </c>
      <c r="R24" s="42"/>
    </row>
    <row r="25" spans="1:18" x14ac:dyDescent="0.3">
      <c r="A25" s="42"/>
      <c r="B25" s="42"/>
      <c r="C25" s="42"/>
      <c r="D25" s="42"/>
      <c r="E25" s="42"/>
      <c r="F25" s="49"/>
      <c r="G25" s="44"/>
      <c r="H25" s="34" t="str">
        <f>IF($A25="","",IF($E25="Percentuale",$F25*IFERROR(INDEX(SERVIZI!$Q:$Q,MATCH($B25,SERVIZI!$A:$A,0)),0),$G25))</f>
        <v/>
      </c>
      <c r="I25" s="42"/>
      <c r="J25" s="35" t="str">
        <f>IF($A25="","",IF($I25="",0,IFERROR(AVERAGEIFS(FASI!$L:$L,FASI!$B:$B,$B25,FASI!$D:$D,$I25),0)))</f>
        <v/>
      </c>
      <c r="K25" s="36" t="str">
        <f t="shared" si="0"/>
        <v/>
      </c>
      <c r="L25" s="43"/>
      <c r="M25" s="43"/>
      <c r="N25" s="42"/>
      <c r="O25" s="42"/>
      <c r="P25" s="43"/>
      <c r="Q25" s="33" t="str">
        <f t="shared" ca="1" si="1"/>
        <v/>
      </c>
      <c r="R25" s="42"/>
    </row>
    <row r="26" spans="1:18" x14ac:dyDescent="0.3">
      <c r="A26" s="42"/>
      <c r="B26" s="42"/>
      <c r="C26" s="42"/>
      <c r="D26" s="42"/>
      <c r="E26" s="42"/>
      <c r="F26" s="49"/>
      <c r="G26" s="44"/>
      <c r="H26" s="34" t="str">
        <f>IF($A26="","",IF($E26="Percentuale",$F26*IFERROR(INDEX(SERVIZI!$Q:$Q,MATCH($B26,SERVIZI!$A:$A,0)),0),$G26))</f>
        <v/>
      </c>
      <c r="I26" s="42"/>
      <c r="J26" s="35" t="str">
        <f>IF($A26="","",IF($I26="",0,IFERROR(AVERAGEIFS(FASI!$L:$L,FASI!$B:$B,$B26,FASI!$D:$D,$I26),0)))</f>
        <v/>
      </c>
      <c r="K26" s="36" t="str">
        <f t="shared" si="0"/>
        <v/>
      </c>
      <c r="L26" s="43"/>
      <c r="M26" s="43"/>
      <c r="N26" s="42"/>
      <c r="O26" s="42"/>
      <c r="P26" s="43"/>
      <c r="Q26" s="33" t="str">
        <f t="shared" ca="1" si="1"/>
        <v/>
      </c>
      <c r="R26" s="42"/>
    </row>
    <row r="27" spans="1:18" x14ac:dyDescent="0.3">
      <c r="A27" s="42"/>
      <c r="B27" s="42"/>
      <c r="C27" s="42"/>
      <c r="D27" s="42"/>
      <c r="E27" s="42"/>
      <c r="F27" s="49"/>
      <c r="G27" s="44"/>
      <c r="H27" s="34" t="str">
        <f>IF($A27="","",IF($E27="Percentuale",$F27*IFERROR(INDEX(SERVIZI!$Q:$Q,MATCH($B27,SERVIZI!$A:$A,0)),0),$G27))</f>
        <v/>
      </c>
      <c r="I27" s="42"/>
      <c r="J27" s="35" t="str">
        <f>IF($A27="","",IF($I27="",0,IFERROR(AVERAGEIFS(FASI!$L:$L,FASI!$B:$B,$B27,FASI!$D:$D,$I27),0)))</f>
        <v/>
      </c>
      <c r="K27" s="36" t="str">
        <f t="shared" si="0"/>
        <v/>
      </c>
      <c r="L27" s="43"/>
      <c r="M27" s="43"/>
      <c r="N27" s="42"/>
      <c r="O27" s="42"/>
      <c r="P27" s="43"/>
      <c r="Q27" s="33" t="str">
        <f t="shared" ca="1" si="1"/>
        <v/>
      </c>
      <c r="R27" s="42"/>
    </row>
    <row r="28" spans="1:18" x14ac:dyDescent="0.3">
      <c r="A28" s="42"/>
      <c r="B28" s="42"/>
      <c r="C28" s="42"/>
      <c r="D28" s="42"/>
      <c r="E28" s="42"/>
      <c r="F28" s="49"/>
      <c r="G28" s="44"/>
      <c r="H28" s="34" t="str">
        <f>IF($A28="","",IF($E28="Percentuale",$F28*IFERROR(INDEX(SERVIZI!$Q:$Q,MATCH($B28,SERVIZI!$A:$A,0)),0),$G28))</f>
        <v/>
      </c>
      <c r="I28" s="42"/>
      <c r="J28" s="35" t="str">
        <f>IF($A28="","",IF($I28="",0,IFERROR(AVERAGEIFS(FASI!$L:$L,FASI!$B:$B,$B28,FASI!$D:$D,$I28),0)))</f>
        <v/>
      </c>
      <c r="K28" s="36" t="str">
        <f t="shared" si="0"/>
        <v/>
      </c>
      <c r="L28" s="43"/>
      <c r="M28" s="43"/>
      <c r="N28" s="42"/>
      <c r="O28" s="42"/>
      <c r="P28" s="43"/>
      <c r="Q28" s="33" t="str">
        <f t="shared" ca="1" si="1"/>
        <v/>
      </c>
      <c r="R28" s="42"/>
    </row>
    <row r="29" spans="1:18" x14ac:dyDescent="0.3">
      <c r="A29" s="42"/>
      <c r="B29" s="42"/>
      <c r="C29" s="42"/>
      <c r="D29" s="42"/>
      <c r="E29" s="42"/>
      <c r="F29" s="49"/>
      <c r="G29" s="44"/>
      <c r="H29" s="34" t="str">
        <f>IF($A29="","",IF($E29="Percentuale",$F29*IFERROR(INDEX(SERVIZI!$Q:$Q,MATCH($B29,SERVIZI!$A:$A,0)),0),$G29))</f>
        <v/>
      </c>
      <c r="I29" s="42"/>
      <c r="J29" s="35" t="str">
        <f>IF($A29="","",IF($I29="",0,IFERROR(AVERAGEIFS(FASI!$L:$L,FASI!$B:$B,$B29,FASI!$D:$D,$I29),0)))</f>
        <v/>
      </c>
      <c r="K29" s="36" t="str">
        <f t="shared" si="0"/>
        <v/>
      </c>
      <c r="L29" s="43"/>
      <c r="M29" s="43"/>
      <c r="N29" s="42"/>
      <c r="O29" s="42"/>
      <c r="P29" s="43"/>
      <c r="Q29" s="33" t="str">
        <f t="shared" ca="1" si="1"/>
        <v/>
      </c>
      <c r="R29" s="42"/>
    </row>
    <row r="30" spans="1:18" x14ac:dyDescent="0.3">
      <c r="A30" s="42"/>
      <c r="B30" s="42"/>
      <c r="C30" s="42"/>
      <c r="D30" s="42"/>
      <c r="E30" s="42"/>
      <c r="F30" s="49"/>
      <c r="G30" s="44"/>
      <c r="H30" s="34" t="str">
        <f>IF($A30="","",IF($E30="Percentuale",$F30*IFERROR(INDEX(SERVIZI!$Q:$Q,MATCH($B30,SERVIZI!$A:$A,0)),0),$G30))</f>
        <v/>
      </c>
      <c r="I30" s="42"/>
      <c r="J30" s="35" t="str">
        <f>IF($A30="","",IF($I30="",0,IFERROR(AVERAGEIFS(FASI!$L:$L,FASI!$B:$B,$B30,FASI!$D:$D,$I30),0)))</f>
        <v/>
      </c>
      <c r="K30" s="36" t="str">
        <f t="shared" si="0"/>
        <v/>
      </c>
      <c r="L30" s="43"/>
      <c r="M30" s="43"/>
      <c r="N30" s="42"/>
      <c r="O30" s="42"/>
      <c r="P30" s="43"/>
      <c r="Q30" s="33" t="str">
        <f t="shared" ca="1" si="1"/>
        <v/>
      </c>
      <c r="R30" s="42"/>
    </row>
    <row r="31" spans="1:18" x14ac:dyDescent="0.3">
      <c r="A31" s="42"/>
      <c r="B31" s="42"/>
      <c r="C31" s="42"/>
      <c r="D31" s="42"/>
      <c r="E31" s="42"/>
      <c r="F31" s="49"/>
      <c r="G31" s="44"/>
      <c r="H31" s="34" t="str">
        <f>IF($A31="","",IF($E31="Percentuale",$F31*IFERROR(INDEX(SERVIZI!$Q:$Q,MATCH($B31,SERVIZI!$A:$A,0)),0),$G31))</f>
        <v/>
      </c>
      <c r="I31" s="42"/>
      <c r="J31" s="35" t="str">
        <f>IF($A31="","",IF($I31="",0,IFERROR(AVERAGEIFS(FASI!$L:$L,FASI!$B:$B,$B31,FASI!$D:$D,$I31),0)))</f>
        <v/>
      </c>
      <c r="K31" s="36" t="str">
        <f t="shared" si="0"/>
        <v/>
      </c>
      <c r="L31" s="43"/>
      <c r="M31" s="43"/>
      <c r="N31" s="42"/>
      <c r="O31" s="42"/>
      <c r="P31" s="43"/>
      <c r="Q31" s="33" t="str">
        <f t="shared" ca="1" si="1"/>
        <v/>
      </c>
      <c r="R31" s="42"/>
    </row>
    <row r="32" spans="1:18" x14ac:dyDescent="0.3">
      <c r="A32" s="42"/>
      <c r="B32" s="42"/>
      <c r="C32" s="42"/>
      <c r="D32" s="42"/>
      <c r="E32" s="42"/>
      <c r="F32" s="49"/>
      <c r="G32" s="44"/>
      <c r="H32" s="34" t="str">
        <f>IF($A32="","",IF($E32="Percentuale",$F32*IFERROR(INDEX(SERVIZI!$Q:$Q,MATCH($B32,SERVIZI!$A:$A,0)),0),$G32))</f>
        <v/>
      </c>
      <c r="I32" s="42"/>
      <c r="J32" s="35" t="str">
        <f>IF($A32="","",IF($I32="",0,IFERROR(AVERAGEIFS(FASI!$L:$L,FASI!$B:$B,$B32,FASI!$D:$D,$I32),0)))</f>
        <v/>
      </c>
      <c r="K32" s="36" t="str">
        <f t="shared" si="0"/>
        <v/>
      </c>
      <c r="L32" s="43"/>
      <c r="M32" s="43"/>
      <c r="N32" s="42"/>
      <c r="O32" s="42"/>
      <c r="P32" s="43"/>
      <c r="Q32" s="33" t="str">
        <f t="shared" ca="1" si="1"/>
        <v/>
      </c>
      <c r="R32" s="42"/>
    </row>
    <row r="33" spans="1:18" x14ac:dyDescent="0.3">
      <c r="A33" s="42"/>
      <c r="B33" s="42"/>
      <c r="C33" s="42"/>
      <c r="D33" s="42"/>
      <c r="E33" s="42"/>
      <c r="F33" s="49"/>
      <c r="G33" s="44"/>
      <c r="H33" s="34" t="str">
        <f>IF($A33="","",IF($E33="Percentuale",$F33*IFERROR(INDEX(SERVIZI!$Q:$Q,MATCH($B33,SERVIZI!$A:$A,0)),0),$G33))</f>
        <v/>
      </c>
      <c r="I33" s="42"/>
      <c r="J33" s="35" t="str">
        <f>IF($A33="","",IF($I33="",0,IFERROR(AVERAGEIFS(FASI!$L:$L,FASI!$B:$B,$B33,FASI!$D:$D,$I33),0)))</f>
        <v/>
      </c>
      <c r="K33" s="36" t="str">
        <f t="shared" si="0"/>
        <v/>
      </c>
      <c r="L33" s="43"/>
      <c r="M33" s="43"/>
      <c r="N33" s="42"/>
      <c r="O33" s="42"/>
      <c r="P33" s="43"/>
      <c r="Q33" s="33" t="str">
        <f t="shared" ca="1" si="1"/>
        <v/>
      </c>
      <c r="R33" s="42"/>
    </row>
    <row r="34" spans="1:18" x14ac:dyDescent="0.3">
      <c r="A34" s="42"/>
      <c r="B34" s="42"/>
      <c r="C34" s="42"/>
      <c r="D34" s="42"/>
      <c r="E34" s="42"/>
      <c r="F34" s="49"/>
      <c r="G34" s="44"/>
      <c r="H34" s="34" t="str">
        <f>IF($A34="","",IF($E34="Percentuale",$F34*IFERROR(INDEX(SERVIZI!$Q:$Q,MATCH($B34,SERVIZI!$A:$A,0)),0),$G34))</f>
        <v/>
      </c>
      <c r="I34" s="42"/>
      <c r="J34" s="35" t="str">
        <f>IF($A34="","",IF($I34="",0,IFERROR(AVERAGEIFS(FASI!$L:$L,FASI!$B:$B,$B34,FASI!$D:$D,$I34),0)))</f>
        <v/>
      </c>
      <c r="K34" s="36" t="str">
        <f t="shared" ref="K34:K65" si="2">IF($A34="","",IF($M34&lt;&gt;"","Fattura emessa",IF(AND($I34&lt;&gt;"",$J34&gt;=1),"EMETTIBILE","In attesa")))</f>
        <v/>
      </c>
      <c r="L34" s="43"/>
      <c r="M34" s="43"/>
      <c r="N34" s="42"/>
      <c r="O34" s="42"/>
      <c r="P34" s="43"/>
      <c r="Q34" s="33" t="str">
        <f t="shared" ref="Q34:Q65" ca="1" si="3">IF($A34="","",IF(AND($M34&lt;&gt;"",$P34="",$M34+GIORNI_PAG&lt;TODAY()),TODAY()-$M34,0))</f>
        <v/>
      </c>
      <c r="R34" s="42"/>
    </row>
    <row r="35" spans="1:18" x14ac:dyDescent="0.3">
      <c r="A35" s="42"/>
      <c r="B35" s="42"/>
      <c r="C35" s="42"/>
      <c r="D35" s="42"/>
      <c r="E35" s="42"/>
      <c r="F35" s="49"/>
      <c r="G35" s="44"/>
      <c r="H35" s="34" t="str">
        <f>IF($A35="","",IF($E35="Percentuale",$F35*IFERROR(INDEX(SERVIZI!$Q:$Q,MATCH($B35,SERVIZI!$A:$A,0)),0),$G35))</f>
        <v/>
      </c>
      <c r="I35" s="42"/>
      <c r="J35" s="35" t="str">
        <f>IF($A35="","",IF($I35="",0,IFERROR(AVERAGEIFS(FASI!$L:$L,FASI!$B:$B,$B35,FASI!$D:$D,$I35),0)))</f>
        <v/>
      </c>
      <c r="K35" s="36" t="str">
        <f t="shared" si="2"/>
        <v/>
      </c>
      <c r="L35" s="43"/>
      <c r="M35" s="43"/>
      <c r="N35" s="42"/>
      <c r="O35" s="42"/>
      <c r="P35" s="43"/>
      <c r="Q35" s="33" t="str">
        <f t="shared" ca="1" si="3"/>
        <v/>
      </c>
      <c r="R35" s="42"/>
    </row>
    <row r="36" spans="1:18" x14ac:dyDescent="0.3">
      <c r="A36" s="42"/>
      <c r="B36" s="42"/>
      <c r="C36" s="42"/>
      <c r="D36" s="42"/>
      <c r="E36" s="42"/>
      <c r="F36" s="49"/>
      <c r="G36" s="44"/>
      <c r="H36" s="34" t="str">
        <f>IF($A36="","",IF($E36="Percentuale",$F36*IFERROR(INDEX(SERVIZI!$Q:$Q,MATCH($B36,SERVIZI!$A:$A,0)),0),$G36))</f>
        <v/>
      </c>
      <c r="I36" s="42"/>
      <c r="J36" s="35" t="str">
        <f>IF($A36="","",IF($I36="",0,IFERROR(AVERAGEIFS(FASI!$L:$L,FASI!$B:$B,$B36,FASI!$D:$D,$I36),0)))</f>
        <v/>
      </c>
      <c r="K36" s="36" t="str">
        <f t="shared" si="2"/>
        <v/>
      </c>
      <c r="L36" s="43"/>
      <c r="M36" s="43"/>
      <c r="N36" s="42"/>
      <c r="O36" s="42"/>
      <c r="P36" s="43"/>
      <c r="Q36" s="33" t="str">
        <f t="shared" ca="1" si="3"/>
        <v/>
      </c>
      <c r="R36" s="42"/>
    </row>
    <row r="37" spans="1:18" x14ac:dyDescent="0.3">
      <c r="A37" s="42"/>
      <c r="B37" s="42"/>
      <c r="C37" s="42"/>
      <c r="D37" s="42"/>
      <c r="E37" s="42"/>
      <c r="F37" s="49"/>
      <c r="G37" s="44"/>
      <c r="H37" s="34" t="str">
        <f>IF($A37="","",IF($E37="Percentuale",$F37*IFERROR(INDEX(SERVIZI!$Q:$Q,MATCH($B37,SERVIZI!$A:$A,0)),0),$G37))</f>
        <v/>
      </c>
      <c r="I37" s="42"/>
      <c r="J37" s="35" t="str">
        <f>IF($A37="","",IF($I37="",0,IFERROR(AVERAGEIFS(FASI!$L:$L,FASI!$B:$B,$B37,FASI!$D:$D,$I37),0)))</f>
        <v/>
      </c>
      <c r="K37" s="36" t="str">
        <f t="shared" si="2"/>
        <v/>
      </c>
      <c r="L37" s="43"/>
      <c r="M37" s="43"/>
      <c r="N37" s="42"/>
      <c r="O37" s="42"/>
      <c r="P37" s="43"/>
      <c r="Q37" s="33" t="str">
        <f t="shared" ca="1" si="3"/>
        <v/>
      </c>
      <c r="R37" s="42"/>
    </row>
    <row r="38" spans="1:18" x14ac:dyDescent="0.3">
      <c r="A38" s="42"/>
      <c r="B38" s="42"/>
      <c r="C38" s="42"/>
      <c r="D38" s="42"/>
      <c r="E38" s="42"/>
      <c r="F38" s="49"/>
      <c r="G38" s="44"/>
      <c r="H38" s="34" t="str">
        <f>IF($A38="","",IF($E38="Percentuale",$F38*IFERROR(INDEX(SERVIZI!$Q:$Q,MATCH($B38,SERVIZI!$A:$A,0)),0),$G38))</f>
        <v/>
      </c>
      <c r="I38" s="42"/>
      <c r="J38" s="35" t="str">
        <f>IF($A38="","",IF($I38="",0,IFERROR(AVERAGEIFS(FASI!$L:$L,FASI!$B:$B,$B38,FASI!$D:$D,$I38),0)))</f>
        <v/>
      </c>
      <c r="K38" s="36" t="str">
        <f t="shared" si="2"/>
        <v/>
      </c>
      <c r="L38" s="43"/>
      <c r="M38" s="43"/>
      <c r="N38" s="42"/>
      <c r="O38" s="42"/>
      <c r="P38" s="43"/>
      <c r="Q38" s="33" t="str">
        <f t="shared" ca="1" si="3"/>
        <v/>
      </c>
      <c r="R38" s="42"/>
    </row>
    <row r="39" spans="1:18" x14ac:dyDescent="0.3">
      <c r="A39" s="42"/>
      <c r="B39" s="42"/>
      <c r="C39" s="42"/>
      <c r="D39" s="42"/>
      <c r="E39" s="42"/>
      <c r="F39" s="49"/>
      <c r="G39" s="44"/>
      <c r="H39" s="34" t="str">
        <f>IF($A39="","",IF($E39="Percentuale",$F39*IFERROR(INDEX(SERVIZI!$Q:$Q,MATCH($B39,SERVIZI!$A:$A,0)),0),$G39))</f>
        <v/>
      </c>
      <c r="I39" s="42"/>
      <c r="J39" s="35" t="str">
        <f>IF($A39="","",IF($I39="",0,IFERROR(AVERAGEIFS(FASI!$L:$L,FASI!$B:$B,$B39,FASI!$D:$D,$I39),0)))</f>
        <v/>
      </c>
      <c r="K39" s="36" t="str">
        <f t="shared" si="2"/>
        <v/>
      </c>
      <c r="L39" s="43"/>
      <c r="M39" s="43"/>
      <c r="N39" s="42"/>
      <c r="O39" s="42"/>
      <c r="P39" s="43"/>
      <c r="Q39" s="33" t="str">
        <f t="shared" ca="1" si="3"/>
        <v/>
      </c>
      <c r="R39" s="42"/>
    </row>
    <row r="40" spans="1:18" x14ac:dyDescent="0.3">
      <c r="A40" s="42"/>
      <c r="B40" s="42"/>
      <c r="C40" s="42"/>
      <c r="D40" s="42"/>
      <c r="E40" s="42"/>
      <c r="F40" s="49"/>
      <c r="G40" s="44"/>
      <c r="H40" s="34" t="str">
        <f>IF($A40="","",IF($E40="Percentuale",$F40*IFERROR(INDEX(SERVIZI!$Q:$Q,MATCH($B40,SERVIZI!$A:$A,0)),0),$G40))</f>
        <v/>
      </c>
      <c r="I40" s="42"/>
      <c r="J40" s="35" t="str">
        <f>IF($A40="","",IF($I40="",0,IFERROR(AVERAGEIFS(FASI!$L:$L,FASI!$B:$B,$B40,FASI!$D:$D,$I40),0)))</f>
        <v/>
      </c>
      <c r="K40" s="36" t="str">
        <f t="shared" si="2"/>
        <v/>
      </c>
      <c r="L40" s="43"/>
      <c r="M40" s="43"/>
      <c r="N40" s="42"/>
      <c r="O40" s="42"/>
      <c r="P40" s="43"/>
      <c r="Q40" s="33" t="str">
        <f t="shared" ca="1" si="3"/>
        <v/>
      </c>
      <c r="R40" s="42"/>
    </row>
    <row r="41" spans="1:18" x14ac:dyDescent="0.3">
      <c r="A41" s="42"/>
      <c r="B41" s="42"/>
      <c r="C41" s="42"/>
      <c r="D41" s="42"/>
      <c r="E41" s="42"/>
      <c r="F41" s="49"/>
      <c r="G41" s="44"/>
      <c r="H41" s="34" t="str">
        <f>IF($A41="","",IF($E41="Percentuale",$F41*IFERROR(INDEX(SERVIZI!$Q:$Q,MATCH($B41,SERVIZI!$A:$A,0)),0),$G41))</f>
        <v/>
      </c>
      <c r="I41" s="42"/>
      <c r="J41" s="35" t="str">
        <f>IF($A41="","",IF($I41="",0,IFERROR(AVERAGEIFS(FASI!$L:$L,FASI!$B:$B,$B41,FASI!$D:$D,$I41),0)))</f>
        <v/>
      </c>
      <c r="K41" s="36" t="str">
        <f t="shared" si="2"/>
        <v/>
      </c>
      <c r="L41" s="43"/>
      <c r="M41" s="43"/>
      <c r="N41" s="42"/>
      <c r="O41" s="42"/>
      <c r="P41" s="43"/>
      <c r="Q41" s="33" t="str">
        <f t="shared" ca="1" si="3"/>
        <v/>
      </c>
      <c r="R41" s="42"/>
    </row>
    <row r="42" spans="1:18" x14ac:dyDescent="0.3">
      <c r="A42" s="42"/>
      <c r="B42" s="42"/>
      <c r="C42" s="42"/>
      <c r="D42" s="42"/>
      <c r="E42" s="42"/>
      <c r="F42" s="49"/>
      <c r="G42" s="44"/>
      <c r="H42" s="34" t="str">
        <f>IF($A42="","",IF($E42="Percentuale",$F42*IFERROR(INDEX(SERVIZI!$Q:$Q,MATCH($B42,SERVIZI!$A:$A,0)),0),$G42))</f>
        <v/>
      </c>
      <c r="I42" s="42"/>
      <c r="J42" s="35" t="str">
        <f>IF($A42="","",IF($I42="",0,IFERROR(AVERAGEIFS(FASI!$L:$L,FASI!$B:$B,$B42,FASI!$D:$D,$I42),0)))</f>
        <v/>
      </c>
      <c r="K42" s="36" t="str">
        <f t="shared" si="2"/>
        <v/>
      </c>
      <c r="L42" s="43"/>
      <c r="M42" s="43"/>
      <c r="N42" s="42"/>
      <c r="O42" s="42"/>
      <c r="P42" s="43"/>
      <c r="Q42" s="33" t="str">
        <f t="shared" ca="1" si="3"/>
        <v/>
      </c>
      <c r="R42" s="42"/>
    </row>
    <row r="43" spans="1:18" x14ac:dyDescent="0.3">
      <c r="A43" s="42"/>
      <c r="B43" s="42"/>
      <c r="C43" s="42"/>
      <c r="D43" s="42"/>
      <c r="E43" s="42"/>
      <c r="F43" s="49"/>
      <c r="G43" s="44"/>
      <c r="H43" s="34" t="str">
        <f>IF($A43="","",IF($E43="Percentuale",$F43*IFERROR(INDEX(SERVIZI!$Q:$Q,MATCH($B43,SERVIZI!$A:$A,0)),0),$G43))</f>
        <v/>
      </c>
      <c r="I43" s="42"/>
      <c r="J43" s="35" t="str">
        <f>IF($A43="","",IF($I43="",0,IFERROR(AVERAGEIFS(FASI!$L:$L,FASI!$B:$B,$B43,FASI!$D:$D,$I43),0)))</f>
        <v/>
      </c>
      <c r="K43" s="36" t="str">
        <f t="shared" si="2"/>
        <v/>
      </c>
      <c r="L43" s="43"/>
      <c r="M43" s="43"/>
      <c r="N43" s="42"/>
      <c r="O43" s="42"/>
      <c r="P43" s="43"/>
      <c r="Q43" s="33" t="str">
        <f t="shared" ca="1" si="3"/>
        <v/>
      </c>
      <c r="R43" s="42"/>
    </row>
    <row r="44" spans="1:18" x14ac:dyDescent="0.3">
      <c r="A44" s="42"/>
      <c r="B44" s="42"/>
      <c r="C44" s="42"/>
      <c r="D44" s="42"/>
      <c r="E44" s="42"/>
      <c r="F44" s="49"/>
      <c r="G44" s="44"/>
      <c r="H44" s="34" t="str">
        <f>IF($A44="","",IF($E44="Percentuale",$F44*IFERROR(INDEX(SERVIZI!$Q:$Q,MATCH($B44,SERVIZI!$A:$A,0)),0),$G44))</f>
        <v/>
      </c>
      <c r="I44" s="42"/>
      <c r="J44" s="35" t="str">
        <f>IF($A44="","",IF($I44="",0,IFERROR(AVERAGEIFS(FASI!$L:$L,FASI!$B:$B,$B44,FASI!$D:$D,$I44),0)))</f>
        <v/>
      </c>
      <c r="K44" s="36" t="str">
        <f t="shared" si="2"/>
        <v/>
      </c>
      <c r="L44" s="43"/>
      <c r="M44" s="43"/>
      <c r="N44" s="42"/>
      <c r="O44" s="42"/>
      <c r="P44" s="43"/>
      <c r="Q44" s="33" t="str">
        <f t="shared" ca="1" si="3"/>
        <v/>
      </c>
      <c r="R44" s="42"/>
    </row>
    <row r="45" spans="1:18" x14ac:dyDescent="0.3">
      <c r="A45" s="42"/>
      <c r="B45" s="42"/>
      <c r="C45" s="42"/>
      <c r="D45" s="42"/>
      <c r="E45" s="42"/>
      <c r="F45" s="49"/>
      <c r="G45" s="44"/>
      <c r="H45" s="34" t="str">
        <f>IF($A45="","",IF($E45="Percentuale",$F45*IFERROR(INDEX(SERVIZI!$Q:$Q,MATCH($B45,SERVIZI!$A:$A,0)),0),$G45))</f>
        <v/>
      </c>
      <c r="I45" s="42"/>
      <c r="J45" s="35" t="str">
        <f>IF($A45="","",IF($I45="",0,IFERROR(AVERAGEIFS(FASI!$L:$L,FASI!$B:$B,$B45,FASI!$D:$D,$I45),0)))</f>
        <v/>
      </c>
      <c r="K45" s="36" t="str">
        <f t="shared" si="2"/>
        <v/>
      </c>
      <c r="L45" s="43"/>
      <c r="M45" s="43"/>
      <c r="N45" s="42"/>
      <c r="O45" s="42"/>
      <c r="P45" s="43"/>
      <c r="Q45" s="33" t="str">
        <f t="shared" ca="1" si="3"/>
        <v/>
      </c>
      <c r="R45" s="42"/>
    </row>
    <row r="46" spans="1:18" x14ac:dyDescent="0.3">
      <c r="A46" s="42"/>
      <c r="B46" s="42"/>
      <c r="C46" s="42"/>
      <c r="D46" s="42"/>
      <c r="E46" s="42"/>
      <c r="F46" s="49"/>
      <c r="G46" s="44"/>
      <c r="H46" s="34" t="str">
        <f>IF($A46="","",IF($E46="Percentuale",$F46*IFERROR(INDEX(SERVIZI!$Q:$Q,MATCH($B46,SERVIZI!$A:$A,0)),0),$G46))</f>
        <v/>
      </c>
      <c r="I46" s="42"/>
      <c r="J46" s="35" t="str">
        <f>IF($A46="","",IF($I46="",0,IFERROR(AVERAGEIFS(FASI!$L:$L,FASI!$B:$B,$B46,FASI!$D:$D,$I46),0)))</f>
        <v/>
      </c>
      <c r="K46" s="36" t="str">
        <f t="shared" si="2"/>
        <v/>
      </c>
      <c r="L46" s="43"/>
      <c r="M46" s="43"/>
      <c r="N46" s="42"/>
      <c r="O46" s="42"/>
      <c r="P46" s="43"/>
      <c r="Q46" s="33" t="str">
        <f t="shared" ca="1" si="3"/>
        <v/>
      </c>
      <c r="R46" s="42"/>
    </row>
    <row r="47" spans="1:18" x14ac:dyDescent="0.3">
      <c r="A47" s="42"/>
      <c r="B47" s="42"/>
      <c r="C47" s="42"/>
      <c r="D47" s="42"/>
      <c r="E47" s="42"/>
      <c r="F47" s="49"/>
      <c r="G47" s="44"/>
      <c r="H47" s="34" t="str">
        <f>IF($A47="","",IF($E47="Percentuale",$F47*IFERROR(INDEX(SERVIZI!$Q:$Q,MATCH($B47,SERVIZI!$A:$A,0)),0),$G47))</f>
        <v/>
      </c>
      <c r="I47" s="42"/>
      <c r="J47" s="35" t="str">
        <f>IF($A47="","",IF($I47="",0,IFERROR(AVERAGEIFS(FASI!$L:$L,FASI!$B:$B,$B47,FASI!$D:$D,$I47),0)))</f>
        <v/>
      </c>
      <c r="K47" s="36" t="str">
        <f t="shared" si="2"/>
        <v/>
      </c>
      <c r="L47" s="43"/>
      <c r="M47" s="43"/>
      <c r="N47" s="42"/>
      <c r="O47" s="42"/>
      <c r="P47" s="43"/>
      <c r="Q47" s="33" t="str">
        <f t="shared" ca="1" si="3"/>
        <v/>
      </c>
      <c r="R47" s="42"/>
    </row>
    <row r="48" spans="1:18" x14ac:dyDescent="0.3">
      <c r="A48" s="42"/>
      <c r="B48" s="42"/>
      <c r="C48" s="42"/>
      <c r="D48" s="42"/>
      <c r="E48" s="42"/>
      <c r="F48" s="49"/>
      <c r="G48" s="44"/>
      <c r="H48" s="34" t="str">
        <f>IF($A48="","",IF($E48="Percentuale",$F48*IFERROR(INDEX(SERVIZI!$Q:$Q,MATCH($B48,SERVIZI!$A:$A,0)),0),$G48))</f>
        <v/>
      </c>
      <c r="I48" s="42"/>
      <c r="J48" s="35" t="str">
        <f>IF($A48="","",IF($I48="",0,IFERROR(AVERAGEIFS(FASI!$L:$L,FASI!$B:$B,$B48,FASI!$D:$D,$I48),0)))</f>
        <v/>
      </c>
      <c r="K48" s="36" t="str">
        <f t="shared" si="2"/>
        <v/>
      </c>
      <c r="L48" s="43"/>
      <c r="M48" s="43"/>
      <c r="N48" s="42"/>
      <c r="O48" s="42"/>
      <c r="P48" s="43"/>
      <c r="Q48" s="33" t="str">
        <f t="shared" ca="1" si="3"/>
        <v/>
      </c>
      <c r="R48" s="42"/>
    </row>
    <row r="49" spans="1:18" x14ac:dyDescent="0.3">
      <c r="A49" s="42"/>
      <c r="B49" s="42"/>
      <c r="C49" s="42"/>
      <c r="D49" s="42"/>
      <c r="E49" s="42"/>
      <c r="F49" s="49"/>
      <c r="G49" s="44"/>
      <c r="H49" s="34" t="str">
        <f>IF($A49="","",IF($E49="Percentuale",$F49*IFERROR(INDEX(SERVIZI!$Q:$Q,MATCH($B49,SERVIZI!$A:$A,0)),0),$G49))</f>
        <v/>
      </c>
      <c r="I49" s="42"/>
      <c r="J49" s="35" t="str">
        <f>IF($A49="","",IF($I49="",0,IFERROR(AVERAGEIFS(FASI!$L:$L,FASI!$B:$B,$B49,FASI!$D:$D,$I49),0)))</f>
        <v/>
      </c>
      <c r="K49" s="36" t="str">
        <f t="shared" si="2"/>
        <v/>
      </c>
      <c r="L49" s="43"/>
      <c r="M49" s="43"/>
      <c r="N49" s="42"/>
      <c r="O49" s="42"/>
      <c r="P49" s="43"/>
      <c r="Q49" s="33" t="str">
        <f t="shared" ca="1" si="3"/>
        <v/>
      </c>
      <c r="R49" s="42"/>
    </row>
    <row r="50" spans="1:18" x14ac:dyDescent="0.3">
      <c r="A50" s="42"/>
      <c r="B50" s="42"/>
      <c r="C50" s="42"/>
      <c r="D50" s="42"/>
      <c r="E50" s="42"/>
      <c r="F50" s="49"/>
      <c r="G50" s="44"/>
      <c r="H50" s="34" t="str">
        <f>IF($A50="","",IF($E50="Percentuale",$F50*IFERROR(INDEX(SERVIZI!$Q:$Q,MATCH($B50,SERVIZI!$A:$A,0)),0),$G50))</f>
        <v/>
      </c>
      <c r="I50" s="42"/>
      <c r="J50" s="35" t="str">
        <f>IF($A50="","",IF($I50="",0,IFERROR(AVERAGEIFS(FASI!$L:$L,FASI!$B:$B,$B50,FASI!$D:$D,$I50),0)))</f>
        <v/>
      </c>
      <c r="K50" s="36" t="str">
        <f t="shared" si="2"/>
        <v/>
      </c>
      <c r="L50" s="43"/>
      <c r="M50" s="43"/>
      <c r="N50" s="42"/>
      <c r="O50" s="42"/>
      <c r="P50" s="43"/>
      <c r="Q50" s="33" t="str">
        <f t="shared" ca="1" si="3"/>
        <v/>
      </c>
      <c r="R50" s="42"/>
    </row>
    <row r="51" spans="1:18" x14ac:dyDescent="0.3">
      <c r="A51" s="42"/>
      <c r="B51" s="42"/>
      <c r="C51" s="42"/>
      <c r="D51" s="42"/>
      <c r="E51" s="42"/>
      <c r="F51" s="49"/>
      <c r="G51" s="44"/>
      <c r="H51" s="34" t="str">
        <f>IF($A51="","",IF($E51="Percentuale",$F51*IFERROR(INDEX(SERVIZI!$Q:$Q,MATCH($B51,SERVIZI!$A:$A,0)),0),$G51))</f>
        <v/>
      </c>
      <c r="I51" s="42"/>
      <c r="J51" s="35" t="str">
        <f>IF($A51="","",IF($I51="",0,IFERROR(AVERAGEIFS(FASI!$L:$L,FASI!$B:$B,$B51,FASI!$D:$D,$I51),0)))</f>
        <v/>
      </c>
      <c r="K51" s="36" t="str">
        <f t="shared" si="2"/>
        <v/>
      </c>
      <c r="L51" s="43"/>
      <c r="M51" s="43"/>
      <c r="N51" s="42"/>
      <c r="O51" s="42"/>
      <c r="P51" s="43"/>
      <c r="Q51" s="33" t="str">
        <f t="shared" ca="1" si="3"/>
        <v/>
      </c>
      <c r="R51" s="42"/>
    </row>
    <row r="52" spans="1:18" x14ac:dyDescent="0.3">
      <c r="A52" s="42"/>
      <c r="B52" s="42"/>
      <c r="C52" s="42"/>
      <c r="D52" s="42"/>
      <c r="E52" s="42"/>
      <c r="F52" s="49"/>
      <c r="G52" s="44"/>
      <c r="H52" s="34" t="str">
        <f>IF($A52="","",IF($E52="Percentuale",$F52*IFERROR(INDEX(SERVIZI!$Q:$Q,MATCH($B52,SERVIZI!$A:$A,0)),0),$G52))</f>
        <v/>
      </c>
      <c r="I52" s="42"/>
      <c r="J52" s="35" t="str">
        <f>IF($A52="","",IF($I52="",0,IFERROR(AVERAGEIFS(FASI!$L:$L,FASI!$B:$B,$B52,FASI!$D:$D,$I52),0)))</f>
        <v/>
      </c>
      <c r="K52" s="36" t="str">
        <f t="shared" si="2"/>
        <v/>
      </c>
      <c r="L52" s="43"/>
      <c r="M52" s="43"/>
      <c r="N52" s="42"/>
      <c r="O52" s="42"/>
      <c r="P52" s="43"/>
      <c r="Q52" s="33" t="str">
        <f t="shared" ca="1" si="3"/>
        <v/>
      </c>
      <c r="R52" s="42"/>
    </row>
    <row r="53" spans="1:18" x14ac:dyDescent="0.3">
      <c r="A53" s="42"/>
      <c r="B53" s="42"/>
      <c r="C53" s="42"/>
      <c r="D53" s="42"/>
      <c r="E53" s="42"/>
      <c r="F53" s="49"/>
      <c r="G53" s="44"/>
      <c r="H53" s="34" t="str">
        <f>IF($A53="","",IF($E53="Percentuale",$F53*IFERROR(INDEX(SERVIZI!$Q:$Q,MATCH($B53,SERVIZI!$A:$A,0)),0),$G53))</f>
        <v/>
      </c>
      <c r="I53" s="42"/>
      <c r="J53" s="35" t="str">
        <f>IF($A53="","",IF($I53="",0,IFERROR(AVERAGEIFS(FASI!$L:$L,FASI!$B:$B,$B53,FASI!$D:$D,$I53),0)))</f>
        <v/>
      </c>
      <c r="K53" s="36" t="str">
        <f t="shared" si="2"/>
        <v/>
      </c>
      <c r="L53" s="43"/>
      <c r="M53" s="43"/>
      <c r="N53" s="42"/>
      <c r="O53" s="42"/>
      <c r="P53" s="43"/>
      <c r="Q53" s="33" t="str">
        <f t="shared" ca="1" si="3"/>
        <v/>
      </c>
      <c r="R53" s="42"/>
    </row>
    <row r="54" spans="1:18" x14ac:dyDescent="0.3">
      <c r="A54" s="42"/>
      <c r="B54" s="42"/>
      <c r="C54" s="42"/>
      <c r="D54" s="42"/>
      <c r="E54" s="42"/>
      <c r="F54" s="49"/>
      <c r="G54" s="44"/>
      <c r="H54" s="34" t="str">
        <f>IF($A54="","",IF($E54="Percentuale",$F54*IFERROR(INDEX(SERVIZI!$Q:$Q,MATCH($B54,SERVIZI!$A:$A,0)),0),$G54))</f>
        <v/>
      </c>
      <c r="I54" s="42"/>
      <c r="J54" s="35" t="str">
        <f>IF($A54="","",IF($I54="",0,IFERROR(AVERAGEIFS(FASI!$L:$L,FASI!$B:$B,$B54,FASI!$D:$D,$I54),0)))</f>
        <v/>
      </c>
      <c r="K54" s="36" t="str">
        <f t="shared" si="2"/>
        <v/>
      </c>
      <c r="L54" s="43"/>
      <c r="M54" s="43"/>
      <c r="N54" s="42"/>
      <c r="O54" s="42"/>
      <c r="P54" s="43"/>
      <c r="Q54" s="33" t="str">
        <f t="shared" ca="1" si="3"/>
        <v/>
      </c>
      <c r="R54" s="42"/>
    </row>
    <row r="55" spans="1:18" x14ac:dyDescent="0.3">
      <c r="A55" s="42"/>
      <c r="B55" s="42"/>
      <c r="C55" s="42"/>
      <c r="D55" s="42"/>
      <c r="E55" s="42"/>
      <c r="F55" s="49"/>
      <c r="G55" s="44"/>
      <c r="H55" s="34" t="str">
        <f>IF($A55="","",IF($E55="Percentuale",$F55*IFERROR(INDEX(SERVIZI!$Q:$Q,MATCH($B55,SERVIZI!$A:$A,0)),0),$G55))</f>
        <v/>
      </c>
      <c r="I55" s="42"/>
      <c r="J55" s="35" t="str">
        <f>IF($A55="","",IF($I55="",0,IFERROR(AVERAGEIFS(FASI!$L:$L,FASI!$B:$B,$B55,FASI!$D:$D,$I55),0)))</f>
        <v/>
      </c>
      <c r="K55" s="36" t="str">
        <f t="shared" si="2"/>
        <v/>
      </c>
      <c r="L55" s="43"/>
      <c r="M55" s="43"/>
      <c r="N55" s="42"/>
      <c r="O55" s="42"/>
      <c r="P55" s="43"/>
      <c r="Q55" s="33" t="str">
        <f t="shared" ca="1" si="3"/>
        <v/>
      </c>
      <c r="R55" s="42"/>
    </row>
    <row r="56" spans="1:18" x14ac:dyDescent="0.3">
      <c r="A56" s="42"/>
      <c r="B56" s="42"/>
      <c r="C56" s="42"/>
      <c r="D56" s="42"/>
      <c r="E56" s="42"/>
      <c r="F56" s="49"/>
      <c r="G56" s="44"/>
      <c r="H56" s="34" t="str">
        <f>IF($A56="","",IF($E56="Percentuale",$F56*IFERROR(INDEX(SERVIZI!$Q:$Q,MATCH($B56,SERVIZI!$A:$A,0)),0),$G56))</f>
        <v/>
      </c>
      <c r="I56" s="42"/>
      <c r="J56" s="35" t="str">
        <f>IF($A56="","",IF($I56="",0,IFERROR(AVERAGEIFS(FASI!$L:$L,FASI!$B:$B,$B56,FASI!$D:$D,$I56),0)))</f>
        <v/>
      </c>
      <c r="K56" s="36" t="str">
        <f t="shared" si="2"/>
        <v/>
      </c>
      <c r="L56" s="43"/>
      <c r="M56" s="43"/>
      <c r="N56" s="42"/>
      <c r="O56" s="42"/>
      <c r="P56" s="43"/>
      <c r="Q56" s="33" t="str">
        <f t="shared" ca="1" si="3"/>
        <v/>
      </c>
      <c r="R56" s="42"/>
    </row>
    <row r="57" spans="1:18" x14ac:dyDescent="0.3">
      <c r="A57" s="42"/>
      <c r="B57" s="42"/>
      <c r="C57" s="42"/>
      <c r="D57" s="42"/>
      <c r="E57" s="42"/>
      <c r="F57" s="49"/>
      <c r="G57" s="44"/>
      <c r="H57" s="34" t="str">
        <f>IF($A57="","",IF($E57="Percentuale",$F57*IFERROR(INDEX(SERVIZI!$Q:$Q,MATCH($B57,SERVIZI!$A:$A,0)),0),$G57))</f>
        <v/>
      </c>
      <c r="I57" s="42"/>
      <c r="J57" s="35" t="str">
        <f>IF($A57="","",IF($I57="",0,IFERROR(AVERAGEIFS(FASI!$L:$L,FASI!$B:$B,$B57,FASI!$D:$D,$I57),0)))</f>
        <v/>
      </c>
      <c r="K57" s="36" t="str">
        <f t="shared" si="2"/>
        <v/>
      </c>
      <c r="L57" s="43"/>
      <c r="M57" s="43"/>
      <c r="N57" s="42"/>
      <c r="O57" s="42"/>
      <c r="P57" s="43"/>
      <c r="Q57" s="33" t="str">
        <f t="shared" ca="1" si="3"/>
        <v/>
      </c>
      <c r="R57" s="42"/>
    </row>
    <row r="58" spans="1:18" x14ac:dyDescent="0.3">
      <c r="A58" s="42"/>
      <c r="B58" s="42"/>
      <c r="C58" s="42"/>
      <c r="D58" s="42"/>
      <c r="E58" s="42"/>
      <c r="F58" s="49"/>
      <c r="G58" s="44"/>
      <c r="H58" s="34" t="str">
        <f>IF($A58="","",IF($E58="Percentuale",$F58*IFERROR(INDEX(SERVIZI!$Q:$Q,MATCH($B58,SERVIZI!$A:$A,0)),0),$G58))</f>
        <v/>
      </c>
      <c r="I58" s="42"/>
      <c r="J58" s="35" t="str">
        <f>IF($A58="","",IF($I58="",0,IFERROR(AVERAGEIFS(FASI!$L:$L,FASI!$B:$B,$B58,FASI!$D:$D,$I58),0)))</f>
        <v/>
      </c>
      <c r="K58" s="36" t="str">
        <f t="shared" si="2"/>
        <v/>
      </c>
      <c r="L58" s="43"/>
      <c r="M58" s="43"/>
      <c r="N58" s="42"/>
      <c r="O58" s="42"/>
      <c r="P58" s="43"/>
      <c r="Q58" s="33" t="str">
        <f t="shared" ca="1" si="3"/>
        <v/>
      </c>
      <c r="R58" s="42"/>
    </row>
    <row r="59" spans="1:18" x14ac:dyDescent="0.3">
      <c r="A59" s="42"/>
      <c r="B59" s="42"/>
      <c r="C59" s="42"/>
      <c r="D59" s="42"/>
      <c r="E59" s="42"/>
      <c r="F59" s="49"/>
      <c r="G59" s="44"/>
      <c r="H59" s="34" t="str">
        <f>IF($A59="","",IF($E59="Percentuale",$F59*IFERROR(INDEX(SERVIZI!$Q:$Q,MATCH($B59,SERVIZI!$A:$A,0)),0),$G59))</f>
        <v/>
      </c>
      <c r="I59" s="42"/>
      <c r="J59" s="35" t="str">
        <f>IF($A59="","",IF($I59="",0,IFERROR(AVERAGEIFS(FASI!$L:$L,FASI!$B:$B,$B59,FASI!$D:$D,$I59),0)))</f>
        <v/>
      </c>
      <c r="K59" s="36" t="str">
        <f t="shared" si="2"/>
        <v/>
      </c>
      <c r="L59" s="43"/>
      <c r="M59" s="43"/>
      <c r="N59" s="42"/>
      <c r="O59" s="42"/>
      <c r="P59" s="43"/>
      <c r="Q59" s="33" t="str">
        <f t="shared" ca="1" si="3"/>
        <v/>
      </c>
      <c r="R59" s="42"/>
    </row>
    <row r="60" spans="1:18" x14ac:dyDescent="0.3">
      <c r="A60" s="42"/>
      <c r="B60" s="42"/>
      <c r="C60" s="42"/>
      <c r="D60" s="42"/>
      <c r="E60" s="42"/>
      <c r="F60" s="49"/>
      <c r="G60" s="44"/>
      <c r="H60" s="34" t="str">
        <f>IF($A60="","",IF($E60="Percentuale",$F60*IFERROR(INDEX(SERVIZI!$Q:$Q,MATCH($B60,SERVIZI!$A:$A,0)),0),$G60))</f>
        <v/>
      </c>
      <c r="I60" s="42"/>
      <c r="J60" s="35" t="str">
        <f>IF($A60="","",IF($I60="",0,IFERROR(AVERAGEIFS(FASI!$L:$L,FASI!$B:$B,$B60,FASI!$D:$D,$I60),0)))</f>
        <v/>
      </c>
      <c r="K60" s="36" t="str">
        <f t="shared" si="2"/>
        <v/>
      </c>
      <c r="L60" s="43"/>
      <c r="M60" s="43"/>
      <c r="N60" s="42"/>
      <c r="O60" s="42"/>
      <c r="P60" s="43"/>
      <c r="Q60" s="33" t="str">
        <f t="shared" ca="1" si="3"/>
        <v/>
      </c>
      <c r="R60" s="42"/>
    </row>
    <row r="61" spans="1:18" x14ac:dyDescent="0.3">
      <c r="A61" s="42"/>
      <c r="B61" s="42"/>
      <c r="C61" s="42"/>
      <c r="D61" s="42"/>
      <c r="E61" s="42"/>
      <c r="F61" s="49"/>
      <c r="G61" s="44"/>
      <c r="H61" s="34" t="str">
        <f>IF($A61="","",IF($E61="Percentuale",$F61*IFERROR(INDEX(SERVIZI!$Q:$Q,MATCH($B61,SERVIZI!$A:$A,0)),0),$G61))</f>
        <v/>
      </c>
      <c r="I61" s="42"/>
      <c r="J61" s="35" t="str">
        <f>IF($A61="","",IF($I61="",0,IFERROR(AVERAGEIFS(FASI!$L:$L,FASI!$B:$B,$B61,FASI!$D:$D,$I61),0)))</f>
        <v/>
      </c>
      <c r="K61" s="36" t="str">
        <f t="shared" si="2"/>
        <v/>
      </c>
      <c r="L61" s="43"/>
      <c r="M61" s="43"/>
      <c r="N61" s="42"/>
      <c r="O61" s="42"/>
      <c r="P61" s="43"/>
      <c r="Q61" s="33" t="str">
        <f t="shared" ca="1" si="3"/>
        <v/>
      </c>
      <c r="R61" s="42"/>
    </row>
    <row r="62" spans="1:18" x14ac:dyDescent="0.3">
      <c r="A62" s="42"/>
      <c r="B62" s="42"/>
      <c r="C62" s="42"/>
      <c r="D62" s="42"/>
      <c r="E62" s="42"/>
      <c r="F62" s="49"/>
      <c r="G62" s="44"/>
      <c r="H62" s="34" t="str">
        <f>IF($A62="","",IF($E62="Percentuale",$F62*IFERROR(INDEX(SERVIZI!$Q:$Q,MATCH($B62,SERVIZI!$A:$A,0)),0),$G62))</f>
        <v/>
      </c>
      <c r="I62" s="42"/>
      <c r="J62" s="35" t="str">
        <f>IF($A62="","",IF($I62="",0,IFERROR(AVERAGEIFS(FASI!$L:$L,FASI!$B:$B,$B62,FASI!$D:$D,$I62),0)))</f>
        <v/>
      </c>
      <c r="K62" s="36" t="str">
        <f t="shared" si="2"/>
        <v/>
      </c>
      <c r="L62" s="43"/>
      <c r="M62" s="43"/>
      <c r="N62" s="42"/>
      <c r="O62" s="42"/>
      <c r="P62" s="43"/>
      <c r="Q62" s="33" t="str">
        <f t="shared" ca="1" si="3"/>
        <v/>
      </c>
      <c r="R62" s="42"/>
    </row>
    <row r="63" spans="1:18" x14ac:dyDescent="0.3">
      <c r="A63" s="42"/>
      <c r="B63" s="42"/>
      <c r="C63" s="42"/>
      <c r="D63" s="42"/>
      <c r="E63" s="42"/>
      <c r="F63" s="49"/>
      <c r="G63" s="44"/>
      <c r="H63" s="34" t="str">
        <f>IF($A63="","",IF($E63="Percentuale",$F63*IFERROR(INDEX(SERVIZI!$Q:$Q,MATCH($B63,SERVIZI!$A:$A,0)),0),$G63))</f>
        <v/>
      </c>
      <c r="I63" s="42"/>
      <c r="J63" s="35" t="str">
        <f>IF($A63="","",IF($I63="",0,IFERROR(AVERAGEIFS(FASI!$L:$L,FASI!$B:$B,$B63,FASI!$D:$D,$I63),0)))</f>
        <v/>
      </c>
      <c r="K63" s="36" t="str">
        <f t="shared" si="2"/>
        <v/>
      </c>
      <c r="L63" s="43"/>
      <c r="M63" s="43"/>
      <c r="N63" s="42"/>
      <c r="O63" s="42"/>
      <c r="P63" s="43"/>
      <c r="Q63" s="33" t="str">
        <f t="shared" ca="1" si="3"/>
        <v/>
      </c>
      <c r="R63" s="42"/>
    </row>
    <row r="64" spans="1:18" x14ac:dyDescent="0.3">
      <c r="A64" s="42"/>
      <c r="B64" s="42"/>
      <c r="C64" s="42"/>
      <c r="D64" s="42"/>
      <c r="E64" s="42"/>
      <c r="F64" s="49"/>
      <c r="G64" s="44"/>
      <c r="H64" s="34" t="str">
        <f>IF($A64="","",IF($E64="Percentuale",$F64*IFERROR(INDEX(SERVIZI!$Q:$Q,MATCH($B64,SERVIZI!$A:$A,0)),0),$G64))</f>
        <v/>
      </c>
      <c r="I64" s="42"/>
      <c r="J64" s="35" t="str">
        <f>IF($A64="","",IF($I64="",0,IFERROR(AVERAGEIFS(FASI!$L:$L,FASI!$B:$B,$B64,FASI!$D:$D,$I64),0)))</f>
        <v/>
      </c>
      <c r="K64" s="36" t="str">
        <f t="shared" si="2"/>
        <v/>
      </c>
      <c r="L64" s="43"/>
      <c r="M64" s="43"/>
      <c r="N64" s="42"/>
      <c r="O64" s="42"/>
      <c r="P64" s="43"/>
      <c r="Q64" s="33" t="str">
        <f t="shared" ca="1" si="3"/>
        <v/>
      </c>
      <c r="R64" s="42"/>
    </row>
    <row r="65" spans="1:18" x14ac:dyDescent="0.3">
      <c r="A65" s="42"/>
      <c r="B65" s="42"/>
      <c r="C65" s="42"/>
      <c r="D65" s="42"/>
      <c r="E65" s="42"/>
      <c r="F65" s="49"/>
      <c r="G65" s="44"/>
      <c r="H65" s="34" t="str">
        <f>IF($A65="","",IF($E65="Percentuale",$F65*IFERROR(INDEX(SERVIZI!$Q:$Q,MATCH($B65,SERVIZI!$A:$A,0)),0),$G65))</f>
        <v/>
      </c>
      <c r="I65" s="42"/>
      <c r="J65" s="35" t="str">
        <f>IF($A65="","",IF($I65="",0,IFERROR(AVERAGEIFS(FASI!$L:$L,FASI!$B:$B,$B65,FASI!$D:$D,$I65),0)))</f>
        <v/>
      </c>
      <c r="K65" s="36" t="str">
        <f t="shared" si="2"/>
        <v/>
      </c>
      <c r="L65" s="43"/>
      <c r="M65" s="43"/>
      <c r="N65" s="42"/>
      <c r="O65" s="42"/>
      <c r="P65" s="43"/>
      <c r="Q65" s="33" t="str">
        <f t="shared" ca="1" si="3"/>
        <v/>
      </c>
      <c r="R65" s="42"/>
    </row>
    <row r="66" spans="1:18" x14ac:dyDescent="0.3">
      <c r="A66" s="42"/>
      <c r="B66" s="42"/>
      <c r="C66" s="42"/>
      <c r="D66" s="42"/>
      <c r="E66" s="42"/>
      <c r="F66" s="49"/>
      <c r="G66" s="44"/>
      <c r="H66" s="34" t="str">
        <f>IF($A66="","",IF($E66="Percentuale",$F66*IFERROR(INDEX(SERVIZI!$Q:$Q,MATCH($B66,SERVIZI!$A:$A,0)),0),$G66))</f>
        <v/>
      </c>
      <c r="I66" s="42"/>
      <c r="J66" s="35" t="str">
        <f>IF($A66="","",IF($I66="",0,IFERROR(AVERAGEIFS(FASI!$L:$L,FASI!$B:$B,$B66,FASI!$D:$D,$I66),0)))</f>
        <v/>
      </c>
      <c r="K66" s="36" t="str">
        <f t="shared" ref="K66:K97" si="4">IF($A66="","",IF($M66&lt;&gt;"","Fattura emessa",IF(AND($I66&lt;&gt;"",$J66&gt;=1),"EMETTIBILE","In attesa")))</f>
        <v/>
      </c>
      <c r="L66" s="43"/>
      <c r="M66" s="43"/>
      <c r="N66" s="42"/>
      <c r="O66" s="42"/>
      <c r="P66" s="43"/>
      <c r="Q66" s="33" t="str">
        <f t="shared" ref="Q66:Q97" ca="1" si="5">IF($A66="","",IF(AND($M66&lt;&gt;"",$P66="",$M66+GIORNI_PAG&lt;TODAY()),TODAY()-$M66,0))</f>
        <v/>
      </c>
      <c r="R66" s="42"/>
    </row>
    <row r="67" spans="1:18" x14ac:dyDescent="0.3">
      <c r="A67" s="42"/>
      <c r="B67" s="42"/>
      <c r="C67" s="42"/>
      <c r="D67" s="42"/>
      <c r="E67" s="42"/>
      <c r="F67" s="49"/>
      <c r="G67" s="44"/>
      <c r="H67" s="34" t="str">
        <f>IF($A67="","",IF($E67="Percentuale",$F67*IFERROR(INDEX(SERVIZI!$Q:$Q,MATCH($B67,SERVIZI!$A:$A,0)),0),$G67))</f>
        <v/>
      </c>
      <c r="I67" s="42"/>
      <c r="J67" s="35" t="str">
        <f>IF($A67="","",IF($I67="",0,IFERROR(AVERAGEIFS(FASI!$L:$L,FASI!$B:$B,$B67,FASI!$D:$D,$I67),0)))</f>
        <v/>
      </c>
      <c r="K67" s="36" t="str">
        <f t="shared" si="4"/>
        <v/>
      </c>
      <c r="L67" s="43"/>
      <c r="M67" s="43"/>
      <c r="N67" s="42"/>
      <c r="O67" s="42"/>
      <c r="P67" s="43"/>
      <c r="Q67" s="33" t="str">
        <f t="shared" ca="1" si="5"/>
        <v/>
      </c>
      <c r="R67" s="42"/>
    </row>
    <row r="68" spans="1:18" x14ac:dyDescent="0.3">
      <c r="A68" s="42"/>
      <c r="B68" s="42"/>
      <c r="C68" s="42"/>
      <c r="D68" s="42"/>
      <c r="E68" s="42"/>
      <c r="F68" s="49"/>
      <c r="G68" s="44"/>
      <c r="H68" s="34" t="str">
        <f>IF($A68="","",IF($E68="Percentuale",$F68*IFERROR(INDEX(SERVIZI!$Q:$Q,MATCH($B68,SERVIZI!$A:$A,0)),0),$G68))</f>
        <v/>
      </c>
      <c r="I68" s="42"/>
      <c r="J68" s="35" t="str">
        <f>IF($A68="","",IF($I68="",0,IFERROR(AVERAGEIFS(FASI!$L:$L,FASI!$B:$B,$B68,FASI!$D:$D,$I68),0)))</f>
        <v/>
      </c>
      <c r="K68" s="36" t="str">
        <f t="shared" si="4"/>
        <v/>
      </c>
      <c r="L68" s="43"/>
      <c r="M68" s="43"/>
      <c r="N68" s="42"/>
      <c r="O68" s="42"/>
      <c r="P68" s="43"/>
      <c r="Q68" s="33" t="str">
        <f t="shared" ca="1" si="5"/>
        <v/>
      </c>
      <c r="R68" s="42"/>
    </row>
    <row r="69" spans="1:18" x14ac:dyDescent="0.3">
      <c r="A69" s="42"/>
      <c r="B69" s="42"/>
      <c r="C69" s="42"/>
      <c r="D69" s="42"/>
      <c r="E69" s="42"/>
      <c r="F69" s="49"/>
      <c r="G69" s="44"/>
      <c r="H69" s="34" t="str">
        <f>IF($A69="","",IF($E69="Percentuale",$F69*IFERROR(INDEX(SERVIZI!$Q:$Q,MATCH($B69,SERVIZI!$A:$A,0)),0),$G69))</f>
        <v/>
      </c>
      <c r="I69" s="42"/>
      <c r="J69" s="35" t="str">
        <f>IF($A69="","",IF($I69="",0,IFERROR(AVERAGEIFS(FASI!$L:$L,FASI!$B:$B,$B69,FASI!$D:$D,$I69),0)))</f>
        <v/>
      </c>
      <c r="K69" s="36" t="str">
        <f t="shared" si="4"/>
        <v/>
      </c>
      <c r="L69" s="43"/>
      <c r="M69" s="43"/>
      <c r="N69" s="42"/>
      <c r="O69" s="42"/>
      <c r="P69" s="43"/>
      <c r="Q69" s="33" t="str">
        <f t="shared" ca="1" si="5"/>
        <v/>
      </c>
      <c r="R69" s="42"/>
    </row>
    <row r="70" spans="1:18" x14ac:dyDescent="0.3">
      <c r="A70" s="42"/>
      <c r="B70" s="42"/>
      <c r="C70" s="42"/>
      <c r="D70" s="42"/>
      <c r="E70" s="42"/>
      <c r="F70" s="49"/>
      <c r="G70" s="44"/>
      <c r="H70" s="34" t="str">
        <f>IF($A70="","",IF($E70="Percentuale",$F70*IFERROR(INDEX(SERVIZI!$Q:$Q,MATCH($B70,SERVIZI!$A:$A,0)),0),$G70))</f>
        <v/>
      </c>
      <c r="I70" s="42"/>
      <c r="J70" s="35" t="str">
        <f>IF($A70="","",IF($I70="",0,IFERROR(AVERAGEIFS(FASI!$L:$L,FASI!$B:$B,$B70,FASI!$D:$D,$I70),0)))</f>
        <v/>
      </c>
      <c r="K70" s="36" t="str">
        <f t="shared" si="4"/>
        <v/>
      </c>
      <c r="L70" s="43"/>
      <c r="M70" s="43"/>
      <c r="N70" s="42"/>
      <c r="O70" s="42"/>
      <c r="P70" s="43"/>
      <c r="Q70" s="33" t="str">
        <f t="shared" ca="1" si="5"/>
        <v/>
      </c>
      <c r="R70" s="42"/>
    </row>
    <row r="71" spans="1:18" x14ac:dyDescent="0.3">
      <c r="A71" s="42"/>
      <c r="B71" s="42"/>
      <c r="C71" s="42"/>
      <c r="D71" s="42"/>
      <c r="E71" s="42"/>
      <c r="F71" s="49"/>
      <c r="G71" s="44"/>
      <c r="H71" s="34" t="str">
        <f>IF($A71="","",IF($E71="Percentuale",$F71*IFERROR(INDEX(SERVIZI!$Q:$Q,MATCH($B71,SERVIZI!$A:$A,0)),0),$G71))</f>
        <v/>
      </c>
      <c r="I71" s="42"/>
      <c r="J71" s="35" t="str">
        <f>IF($A71="","",IF($I71="",0,IFERROR(AVERAGEIFS(FASI!$L:$L,FASI!$B:$B,$B71,FASI!$D:$D,$I71),0)))</f>
        <v/>
      </c>
      <c r="K71" s="36" t="str">
        <f t="shared" si="4"/>
        <v/>
      </c>
      <c r="L71" s="43"/>
      <c r="M71" s="43"/>
      <c r="N71" s="42"/>
      <c r="O71" s="42"/>
      <c r="P71" s="43"/>
      <c r="Q71" s="33" t="str">
        <f t="shared" ca="1" si="5"/>
        <v/>
      </c>
      <c r="R71" s="42"/>
    </row>
    <row r="72" spans="1:18" x14ac:dyDescent="0.3">
      <c r="A72" s="42"/>
      <c r="B72" s="42"/>
      <c r="C72" s="42"/>
      <c r="D72" s="42"/>
      <c r="E72" s="42"/>
      <c r="F72" s="49"/>
      <c r="G72" s="44"/>
      <c r="H72" s="34" t="str">
        <f>IF($A72="","",IF($E72="Percentuale",$F72*IFERROR(INDEX(SERVIZI!$Q:$Q,MATCH($B72,SERVIZI!$A:$A,0)),0),$G72))</f>
        <v/>
      </c>
      <c r="I72" s="42"/>
      <c r="J72" s="35" t="str">
        <f>IF($A72="","",IF($I72="",0,IFERROR(AVERAGEIFS(FASI!$L:$L,FASI!$B:$B,$B72,FASI!$D:$D,$I72),0)))</f>
        <v/>
      </c>
      <c r="K72" s="36" t="str">
        <f t="shared" si="4"/>
        <v/>
      </c>
      <c r="L72" s="43"/>
      <c r="M72" s="43"/>
      <c r="N72" s="42"/>
      <c r="O72" s="42"/>
      <c r="P72" s="43"/>
      <c r="Q72" s="33" t="str">
        <f t="shared" ca="1" si="5"/>
        <v/>
      </c>
      <c r="R72" s="42"/>
    </row>
    <row r="73" spans="1:18" x14ac:dyDescent="0.3">
      <c r="A73" s="42"/>
      <c r="B73" s="42"/>
      <c r="C73" s="42"/>
      <c r="D73" s="42"/>
      <c r="E73" s="42"/>
      <c r="F73" s="49"/>
      <c r="G73" s="44"/>
      <c r="H73" s="34" t="str">
        <f>IF($A73="","",IF($E73="Percentuale",$F73*IFERROR(INDEX(SERVIZI!$Q:$Q,MATCH($B73,SERVIZI!$A:$A,0)),0),$G73))</f>
        <v/>
      </c>
      <c r="I73" s="42"/>
      <c r="J73" s="35" t="str">
        <f>IF($A73="","",IF($I73="",0,IFERROR(AVERAGEIFS(FASI!$L:$L,FASI!$B:$B,$B73,FASI!$D:$D,$I73),0)))</f>
        <v/>
      </c>
      <c r="K73" s="36" t="str">
        <f t="shared" si="4"/>
        <v/>
      </c>
      <c r="L73" s="43"/>
      <c r="M73" s="43"/>
      <c r="N73" s="42"/>
      <c r="O73" s="42"/>
      <c r="P73" s="43"/>
      <c r="Q73" s="33" t="str">
        <f t="shared" ca="1" si="5"/>
        <v/>
      </c>
      <c r="R73" s="42"/>
    </row>
    <row r="74" spans="1:18" x14ac:dyDescent="0.3">
      <c r="A74" s="42"/>
      <c r="B74" s="42"/>
      <c r="C74" s="42"/>
      <c r="D74" s="42"/>
      <c r="E74" s="42"/>
      <c r="F74" s="49"/>
      <c r="G74" s="44"/>
      <c r="H74" s="34" t="str">
        <f>IF($A74="","",IF($E74="Percentuale",$F74*IFERROR(INDEX(SERVIZI!$Q:$Q,MATCH($B74,SERVIZI!$A:$A,0)),0),$G74))</f>
        <v/>
      </c>
      <c r="I74" s="42"/>
      <c r="J74" s="35" t="str">
        <f>IF($A74="","",IF($I74="",0,IFERROR(AVERAGEIFS(FASI!$L:$L,FASI!$B:$B,$B74,FASI!$D:$D,$I74),0)))</f>
        <v/>
      </c>
      <c r="K74" s="36" t="str">
        <f t="shared" si="4"/>
        <v/>
      </c>
      <c r="L74" s="43"/>
      <c r="M74" s="43"/>
      <c r="N74" s="42"/>
      <c r="O74" s="42"/>
      <c r="P74" s="43"/>
      <c r="Q74" s="33" t="str">
        <f t="shared" ca="1" si="5"/>
        <v/>
      </c>
      <c r="R74" s="42"/>
    </row>
    <row r="75" spans="1:18" x14ac:dyDescent="0.3">
      <c r="A75" s="42"/>
      <c r="B75" s="42"/>
      <c r="C75" s="42"/>
      <c r="D75" s="42"/>
      <c r="E75" s="42"/>
      <c r="F75" s="49"/>
      <c r="G75" s="44"/>
      <c r="H75" s="34" t="str">
        <f>IF($A75="","",IF($E75="Percentuale",$F75*IFERROR(INDEX(SERVIZI!$Q:$Q,MATCH($B75,SERVIZI!$A:$A,0)),0),$G75))</f>
        <v/>
      </c>
      <c r="I75" s="42"/>
      <c r="J75" s="35" t="str">
        <f>IF($A75="","",IF($I75="",0,IFERROR(AVERAGEIFS(FASI!$L:$L,FASI!$B:$B,$B75,FASI!$D:$D,$I75),0)))</f>
        <v/>
      </c>
      <c r="K75" s="36" t="str">
        <f t="shared" si="4"/>
        <v/>
      </c>
      <c r="L75" s="43"/>
      <c r="M75" s="43"/>
      <c r="N75" s="42"/>
      <c r="O75" s="42"/>
      <c r="P75" s="43"/>
      <c r="Q75" s="33" t="str">
        <f t="shared" ca="1" si="5"/>
        <v/>
      </c>
      <c r="R75" s="42"/>
    </row>
    <row r="76" spans="1:18" x14ac:dyDescent="0.3">
      <c r="A76" s="42"/>
      <c r="B76" s="42"/>
      <c r="C76" s="42"/>
      <c r="D76" s="42"/>
      <c r="E76" s="42"/>
      <c r="F76" s="49"/>
      <c r="G76" s="44"/>
      <c r="H76" s="34" t="str">
        <f>IF($A76="","",IF($E76="Percentuale",$F76*IFERROR(INDEX(SERVIZI!$Q:$Q,MATCH($B76,SERVIZI!$A:$A,0)),0),$G76))</f>
        <v/>
      </c>
      <c r="I76" s="42"/>
      <c r="J76" s="35" t="str">
        <f>IF($A76="","",IF($I76="",0,IFERROR(AVERAGEIFS(FASI!$L:$L,FASI!$B:$B,$B76,FASI!$D:$D,$I76),0)))</f>
        <v/>
      </c>
      <c r="K76" s="36" t="str">
        <f t="shared" si="4"/>
        <v/>
      </c>
      <c r="L76" s="43"/>
      <c r="M76" s="43"/>
      <c r="N76" s="42"/>
      <c r="O76" s="42"/>
      <c r="P76" s="43"/>
      <c r="Q76" s="33" t="str">
        <f t="shared" ca="1" si="5"/>
        <v/>
      </c>
      <c r="R76" s="42"/>
    </row>
    <row r="77" spans="1:18" x14ac:dyDescent="0.3">
      <c r="A77" s="42"/>
      <c r="B77" s="42"/>
      <c r="C77" s="42"/>
      <c r="D77" s="42"/>
      <c r="E77" s="42"/>
      <c r="F77" s="49"/>
      <c r="G77" s="44"/>
      <c r="H77" s="34" t="str">
        <f>IF($A77="","",IF($E77="Percentuale",$F77*IFERROR(INDEX(SERVIZI!$Q:$Q,MATCH($B77,SERVIZI!$A:$A,0)),0),$G77))</f>
        <v/>
      </c>
      <c r="I77" s="42"/>
      <c r="J77" s="35" t="str">
        <f>IF($A77="","",IF($I77="",0,IFERROR(AVERAGEIFS(FASI!$L:$L,FASI!$B:$B,$B77,FASI!$D:$D,$I77),0)))</f>
        <v/>
      </c>
      <c r="K77" s="36" t="str">
        <f t="shared" si="4"/>
        <v/>
      </c>
      <c r="L77" s="43"/>
      <c r="M77" s="43"/>
      <c r="N77" s="42"/>
      <c r="O77" s="42"/>
      <c r="P77" s="43"/>
      <c r="Q77" s="33" t="str">
        <f t="shared" ca="1" si="5"/>
        <v/>
      </c>
      <c r="R77" s="42"/>
    </row>
    <row r="78" spans="1:18" x14ac:dyDescent="0.3">
      <c r="A78" s="42"/>
      <c r="B78" s="42"/>
      <c r="C78" s="42"/>
      <c r="D78" s="42"/>
      <c r="E78" s="42"/>
      <c r="F78" s="49"/>
      <c r="G78" s="44"/>
      <c r="H78" s="34" t="str">
        <f>IF($A78="","",IF($E78="Percentuale",$F78*IFERROR(INDEX(SERVIZI!$Q:$Q,MATCH($B78,SERVIZI!$A:$A,0)),0),$G78))</f>
        <v/>
      </c>
      <c r="I78" s="42"/>
      <c r="J78" s="35" t="str">
        <f>IF($A78="","",IF($I78="",0,IFERROR(AVERAGEIFS(FASI!$L:$L,FASI!$B:$B,$B78,FASI!$D:$D,$I78),0)))</f>
        <v/>
      </c>
      <c r="K78" s="36" t="str">
        <f t="shared" si="4"/>
        <v/>
      </c>
      <c r="L78" s="43"/>
      <c r="M78" s="43"/>
      <c r="N78" s="42"/>
      <c r="O78" s="42"/>
      <c r="P78" s="43"/>
      <c r="Q78" s="33" t="str">
        <f t="shared" ca="1" si="5"/>
        <v/>
      </c>
      <c r="R78" s="42"/>
    </row>
    <row r="79" spans="1:18" x14ac:dyDescent="0.3">
      <c r="A79" s="42"/>
      <c r="B79" s="42"/>
      <c r="C79" s="42"/>
      <c r="D79" s="42"/>
      <c r="E79" s="42"/>
      <c r="F79" s="49"/>
      <c r="G79" s="44"/>
      <c r="H79" s="34" t="str">
        <f>IF($A79="","",IF($E79="Percentuale",$F79*IFERROR(INDEX(SERVIZI!$Q:$Q,MATCH($B79,SERVIZI!$A:$A,0)),0),$G79))</f>
        <v/>
      </c>
      <c r="I79" s="42"/>
      <c r="J79" s="35" t="str">
        <f>IF($A79="","",IF($I79="",0,IFERROR(AVERAGEIFS(FASI!$L:$L,FASI!$B:$B,$B79,FASI!$D:$D,$I79),0)))</f>
        <v/>
      </c>
      <c r="K79" s="36" t="str">
        <f t="shared" si="4"/>
        <v/>
      </c>
      <c r="L79" s="43"/>
      <c r="M79" s="43"/>
      <c r="N79" s="42"/>
      <c r="O79" s="42"/>
      <c r="P79" s="43"/>
      <c r="Q79" s="33" t="str">
        <f t="shared" ca="1" si="5"/>
        <v/>
      </c>
      <c r="R79" s="42"/>
    </row>
    <row r="80" spans="1:18" x14ac:dyDescent="0.3">
      <c r="A80" s="42"/>
      <c r="B80" s="42"/>
      <c r="C80" s="42"/>
      <c r="D80" s="42"/>
      <c r="E80" s="42"/>
      <c r="F80" s="49"/>
      <c r="G80" s="44"/>
      <c r="H80" s="34" t="str">
        <f>IF($A80="","",IF($E80="Percentuale",$F80*IFERROR(INDEX(SERVIZI!$Q:$Q,MATCH($B80,SERVIZI!$A:$A,0)),0),$G80))</f>
        <v/>
      </c>
      <c r="I80" s="42"/>
      <c r="J80" s="35" t="str">
        <f>IF($A80="","",IF($I80="",0,IFERROR(AVERAGEIFS(FASI!$L:$L,FASI!$B:$B,$B80,FASI!$D:$D,$I80),0)))</f>
        <v/>
      </c>
      <c r="K80" s="36" t="str">
        <f t="shared" si="4"/>
        <v/>
      </c>
      <c r="L80" s="43"/>
      <c r="M80" s="43"/>
      <c r="N80" s="42"/>
      <c r="O80" s="42"/>
      <c r="P80" s="43"/>
      <c r="Q80" s="33" t="str">
        <f t="shared" ca="1" si="5"/>
        <v/>
      </c>
      <c r="R80" s="42"/>
    </row>
    <row r="81" spans="1:18" x14ac:dyDescent="0.3">
      <c r="A81" s="42"/>
      <c r="B81" s="42"/>
      <c r="C81" s="42"/>
      <c r="D81" s="42"/>
      <c r="E81" s="42"/>
      <c r="F81" s="49"/>
      <c r="G81" s="44"/>
      <c r="H81" s="34" t="str">
        <f>IF($A81="","",IF($E81="Percentuale",$F81*IFERROR(INDEX(SERVIZI!$Q:$Q,MATCH($B81,SERVIZI!$A:$A,0)),0),$G81))</f>
        <v/>
      </c>
      <c r="I81" s="42"/>
      <c r="J81" s="35" t="str">
        <f>IF($A81="","",IF($I81="",0,IFERROR(AVERAGEIFS(FASI!$L:$L,FASI!$B:$B,$B81,FASI!$D:$D,$I81),0)))</f>
        <v/>
      </c>
      <c r="K81" s="36" t="str">
        <f t="shared" si="4"/>
        <v/>
      </c>
      <c r="L81" s="43"/>
      <c r="M81" s="43"/>
      <c r="N81" s="42"/>
      <c r="O81" s="42"/>
      <c r="P81" s="43"/>
      <c r="Q81" s="33" t="str">
        <f t="shared" ca="1" si="5"/>
        <v/>
      </c>
      <c r="R81" s="42"/>
    </row>
    <row r="82" spans="1:18" x14ac:dyDescent="0.3">
      <c r="A82" s="42"/>
      <c r="B82" s="42"/>
      <c r="C82" s="42"/>
      <c r="D82" s="42"/>
      <c r="E82" s="42"/>
      <c r="F82" s="49"/>
      <c r="G82" s="44"/>
      <c r="H82" s="34" t="str">
        <f>IF($A82="","",IF($E82="Percentuale",$F82*IFERROR(INDEX(SERVIZI!$Q:$Q,MATCH($B82,SERVIZI!$A:$A,0)),0),$G82))</f>
        <v/>
      </c>
      <c r="I82" s="42"/>
      <c r="J82" s="35" t="str">
        <f>IF($A82="","",IF($I82="",0,IFERROR(AVERAGEIFS(FASI!$L:$L,FASI!$B:$B,$B82,FASI!$D:$D,$I82),0)))</f>
        <v/>
      </c>
      <c r="K82" s="36" t="str">
        <f t="shared" si="4"/>
        <v/>
      </c>
      <c r="L82" s="43"/>
      <c r="M82" s="43"/>
      <c r="N82" s="42"/>
      <c r="O82" s="42"/>
      <c r="P82" s="43"/>
      <c r="Q82" s="33" t="str">
        <f t="shared" ca="1" si="5"/>
        <v/>
      </c>
      <c r="R82" s="42"/>
    </row>
    <row r="83" spans="1:18" x14ac:dyDescent="0.3">
      <c r="A83" s="42"/>
      <c r="B83" s="42"/>
      <c r="C83" s="42"/>
      <c r="D83" s="42"/>
      <c r="E83" s="42"/>
      <c r="F83" s="49"/>
      <c r="G83" s="44"/>
      <c r="H83" s="34" t="str">
        <f>IF($A83="","",IF($E83="Percentuale",$F83*IFERROR(INDEX(SERVIZI!$Q:$Q,MATCH($B83,SERVIZI!$A:$A,0)),0),$G83))</f>
        <v/>
      </c>
      <c r="I83" s="42"/>
      <c r="J83" s="35" t="str">
        <f>IF($A83="","",IF($I83="",0,IFERROR(AVERAGEIFS(FASI!$L:$L,FASI!$B:$B,$B83,FASI!$D:$D,$I83),0)))</f>
        <v/>
      </c>
      <c r="K83" s="36" t="str">
        <f t="shared" si="4"/>
        <v/>
      </c>
      <c r="L83" s="43"/>
      <c r="M83" s="43"/>
      <c r="N83" s="42"/>
      <c r="O83" s="42"/>
      <c r="P83" s="43"/>
      <c r="Q83" s="33" t="str">
        <f t="shared" ca="1" si="5"/>
        <v/>
      </c>
      <c r="R83" s="42"/>
    </row>
    <row r="84" spans="1:18" x14ac:dyDescent="0.3">
      <c r="A84" s="42"/>
      <c r="B84" s="42"/>
      <c r="C84" s="42"/>
      <c r="D84" s="42"/>
      <c r="E84" s="42"/>
      <c r="F84" s="49"/>
      <c r="G84" s="44"/>
      <c r="H84" s="34" t="str">
        <f>IF($A84="","",IF($E84="Percentuale",$F84*IFERROR(INDEX(SERVIZI!$Q:$Q,MATCH($B84,SERVIZI!$A:$A,0)),0),$G84))</f>
        <v/>
      </c>
      <c r="I84" s="42"/>
      <c r="J84" s="35" t="str">
        <f>IF($A84="","",IF($I84="",0,IFERROR(AVERAGEIFS(FASI!$L:$L,FASI!$B:$B,$B84,FASI!$D:$D,$I84),0)))</f>
        <v/>
      </c>
      <c r="K84" s="36" t="str">
        <f t="shared" si="4"/>
        <v/>
      </c>
      <c r="L84" s="43"/>
      <c r="M84" s="43"/>
      <c r="N84" s="42"/>
      <c r="O84" s="42"/>
      <c r="P84" s="43"/>
      <c r="Q84" s="33" t="str">
        <f t="shared" ca="1" si="5"/>
        <v/>
      </c>
      <c r="R84" s="42"/>
    </row>
    <row r="85" spans="1:18" x14ac:dyDescent="0.3">
      <c r="A85" s="42"/>
      <c r="B85" s="42"/>
      <c r="C85" s="42"/>
      <c r="D85" s="42"/>
      <c r="E85" s="42"/>
      <c r="F85" s="49"/>
      <c r="G85" s="44"/>
      <c r="H85" s="34" t="str">
        <f>IF($A85="","",IF($E85="Percentuale",$F85*IFERROR(INDEX(SERVIZI!$Q:$Q,MATCH($B85,SERVIZI!$A:$A,0)),0),$G85))</f>
        <v/>
      </c>
      <c r="I85" s="42"/>
      <c r="J85" s="35" t="str">
        <f>IF($A85="","",IF($I85="",0,IFERROR(AVERAGEIFS(FASI!$L:$L,FASI!$B:$B,$B85,FASI!$D:$D,$I85),0)))</f>
        <v/>
      </c>
      <c r="K85" s="36" t="str">
        <f t="shared" si="4"/>
        <v/>
      </c>
      <c r="L85" s="43"/>
      <c r="M85" s="43"/>
      <c r="N85" s="42"/>
      <c r="O85" s="42"/>
      <c r="P85" s="43"/>
      <c r="Q85" s="33" t="str">
        <f t="shared" ca="1" si="5"/>
        <v/>
      </c>
      <c r="R85" s="42"/>
    </row>
    <row r="86" spans="1:18" x14ac:dyDescent="0.3">
      <c r="A86" s="42"/>
      <c r="B86" s="42"/>
      <c r="C86" s="42"/>
      <c r="D86" s="42"/>
      <c r="E86" s="42"/>
      <c r="F86" s="49"/>
      <c r="G86" s="44"/>
      <c r="H86" s="34" t="str">
        <f>IF($A86="","",IF($E86="Percentuale",$F86*IFERROR(INDEX(SERVIZI!$Q:$Q,MATCH($B86,SERVIZI!$A:$A,0)),0),$G86))</f>
        <v/>
      </c>
      <c r="I86" s="42"/>
      <c r="J86" s="35" t="str">
        <f>IF($A86="","",IF($I86="",0,IFERROR(AVERAGEIFS(FASI!$L:$L,FASI!$B:$B,$B86,FASI!$D:$D,$I86),0)))</f>
        <v/>
      </c>
      <c r="K86" s="36" t="str">
        <f t="shared" si="4"/>
        <v/>
      </c>
      <c r="L86" s="43"/>
      <c r="M86" s="43"/>
      <c r="N86" s="42"/>
      <c r="O86" s="42"/>
      <c r="P86" s="43"/>
      <c r="Q86" s="33" t="str">
        <f t="shared" ca="1" si="5"/>
        <v/>
      </c>
      <c r="R86" s="42"/>
    </row>
    <row r="87" spans="1:18" x14ac:dyDescent="0.3">
      <c r="A87" s="42"/>
      <c r="B87" s="42"/>
      <c r="C87" s="42"/>
      <c r="D87" s="42"/>
      <c r="E87" s="42"/>
      <c r="F87" s="49"/>
      <c r="G87" s="44"/>
      <c r="H87" s="34" t="str">
        <f>IF($A87="","",IF($E87="Percentuale",$F87*IFERROR(INDEX(SERVIZI!$Q:$Q,MATCH($B87,SERVIZI!$A:$A,0)),0),$G87))</f>
        <v/>
      </c>
      <c r="I87" s="42"/>
      <c r="J87" s="35" t="str">
        <f>IF($A87="","",IF($I87="",0,IFERROR(AVERAGEIFS(FASI!$L:$L,FASI!$B:$B,$B87,FASI!$D:$D,$I87),0)))</f>
        <v/>
      </c>
      <c r="K87" s="36" t="str">
        <f t="shared" si="4"/>
        <v/>
      </c>
      <c r="L87" s="43"/>
      <c r="M87" s="43"/>
      <c r="N87" s="42"/>
      <c r="O87" s="42"/>
      <c r="P87" s="43"/>
      <c r="Q87" s="33" t="str">
        <f t="shared" ca="1" si="5"/>
        <v/>
      </c>
      <c r="R87" s="42"/>
    </row>
    <row r="88" spans="1:18" x14ac:dyDescent="0.3">
      <c r="A88" s="42"/>
      <c r="B88" s="42"/>
      <c r="C88" s="42"/>
      <c r="D88" s="42"/>
      <c r="E88" s="42"/>
      <c r="F88" s="49"/>
      <c r="G88" s="44"/>
      <c r="H88" s="34" t="str">
        <f>IF($A88="","",IF($E88="Percentuale",$F88*IFERROR(INDEX(SERVIZI!$Q:$Q,MATCH($B88,SERVIZI!$A:$A,0)),0),$G88))</f>
        <v/>
      </c>
      <c r="I88" s="42"/>
      <c r="J88" s="35" t="str">
        <f>IF($A88="","",IF($I88="",0,IFERROR(AVERAGEIFS(FASI!$L:$L,FASI!$B:$B,$B88,FASI!$D:$D,$I88),0)))</f>
        <v/>
      </c>
      <c r="K88" s="36" t="str">
        <f t="shared" si="4"/>
        <v/>
      </c>
      <c r="L88" s="43"/>
      <c r="M88" s="43"/>
      <c r="N88" s="42"/>
      <c r="O88" s="42"/>
      <c r="P88" s="43"/>
      <c r="Q88" s="33" t="str">
        <f t="shared" ca="1" si="5"/>
        <v/>
      </c>
      <c r="R88" s="42"/>
    </row>
    <row r="89" spans="1:18" x14ac:dyDescent="0.3">
      <c r="A89" s="42"/>
      <c r="B89" s="42"/>
      <c r="C89" s="42"/>
      <c r="D89" s="42"/>
      <c r="E89" s="42"/>
      <c r="F89" s="49"/>
      <c r="G89" s="44"/>
      <c r="H89" s="34" t="str">
        <f>IF($A89="","",IF($E89="Percentuale",$F89*IFERROR(INDEX(SERVIZI!$Q:$Q,MATCH($B89,SERVIZI!$A:$A,0)),0),$G89))</f>
        <v/>
      </c>
      <c r="I89" s="42"/>
      <c r="J89" s="35" t="str">
        <f>IF($A89="","",IF($I89="",0,IFERROR(AVERAGEIFS(FASI!$L:$L,FASI!$B:$B,$B89,FASI!$D:$D,$I89),0)))</f>
        <v/>
      </c>
      <c r="K89" s="36" t="str">
        <f t="shared" si="4"/>
        <v/>
      </c>
      <c r="L89" s="43"/>
      <c r="M89" s="43"/>
      <c r="N89" s="42"/>
      <c r="O89" s="42"/>
      <c r="P89" s="43"/>
      <c r="Q89" s="33" t="str">
        <f t="shared" ca="1" si="5"/>
        <v/>
      </c>
      <c r="R89" s="42"/>
    </row>
    <row r="90" spans="1:18" x14ac:dyDescent="0.3">
      <c r="A90" s="42"/>
      <c r="B90" s="42"/>
      <c r="C90" s="42"/>
      <c r="D90" s="42"/>
      <c r="E90" s="42"/>
      <c r="F90" s="49"/>
      <c r="G90" s="44"/>
      <c r="H90" s="34" t="str">
        <f>IF($A90="","",IF($E90="Percentuale",$F90*IFERROR(INDEX(SERVIZI!$Q:$Q,MATCH($B90,SERVIZI!$A:$A,0)),0),$G90))</f>
        <v/>
      </c>
      <c r="I90" s="42"/>
      <c r="J90" s="35" t="str">
        <f>IF($A90="","",IF($I90="",0,IFERROR(AVERAGEIFS(FASI!$L:$L,FASI!$B:$B,$B90,FASI!$D:$D,$I90),0)))</f>
        <v/>
      </c>
      <c r="K90" s="36" t="str">
        <f t="shared" si="4"/>
        <v/>
      </c>
      <c r="L90" s="43"/>
      <c r="M90" s="43"/>
      <c r="N90" s="42"/>
      <c r="O90" s="42"/>
      <c r="P90" s="43"/>
      <c r="Q90" s="33" t="str">
        <f t="shared" ca="1" si="5"/>
        <v/>
      </c>
      <c r="R90" s="42"/>
    </row>
    <row r="91" spans="1:18" x14ac:dyDescent="0.3">
      <c r="A91" s="42"/>
      <c r="B91" s="42"/>
      <c r="C91" s="42"/>
      <c r="D91" s="42"/>
      <c r="E91" s="42"/>
      <c r="F91" s="49"/>
      <c r="G91" s="44"/>
      <c r="H91" s="34" t="str">
        <f>IF($A91="","",IF($E91="Percentuale",$F91*IFERROR(INDEX(SERVIZI!$Q:$Q,MATCH($B91,SERVIZI!$A:$A,0)),0),$G91))</f>
        <v/>
      </c>
      <c r="I91" s="42"/>
      <c r="J91" s="35" t="str">
        <f>IF($A91="","",IF($I91="",0,IFERROR(AVERAGEIFS(FASI!$L:$L,FASI!$B:$B,$B91,FASI!$D:$D,$I91),0)))</f>
        <v/>
      </c>
      <c r="K91" s="36" t="str">
        <f t="shared" si="4"/>
        <v/>
      </c>
      <c r="L91" s="43"/>
      <c r="M91" s="43"/>
      <c r="N91" s="42"/>
      <c r="O91" s="42"/>
      <c r="P91" s="43"/>
      <c r="Q91" s="33" t="str">
        <f t="shared" ca="1" si="5"/>
        <v/>
      </c>
      <c r="R91" s="42"/>
    </row>
    <row r="92" spans="1:18" x14ac:dyDescent="0.3">
      <c r="A92" s="42"/>
      <c r="B92" s="42"/>
      <c r="C92" s="42"/>
      <c r="D92" s="42"/>
      <c r="E92" s="42"/>
      <c r="F92" s="49"/>
      <c r="G92" s="44"/>
      <c r="H92" s="34" t="str">
        <f>IF($A92="","",IF($E92="Percentuale",$F92*IFERROR(INDEX(SERVIZI!$Q:$Q,MATCH($B92,SERVIZI!$A:$A,0)),0),$G92))</f>
        <v/>
      </c>
      <c r="I92" s="42"/>
      <c r="J92" s="35" t="str">
        <f>IF($A92="","",IF($I92="",0,IFERROR(AVERAGEIFS(FASI!$L:$L,FASI!$B:$B,$B92,FASI!$D:$D,$I92),0)))</f>
        <v/>
      </c>
      <c r="K92" s="36" t="str">
        <f t="shared" si="4"/>
        <v/>
      </c>
      <c r="L92" s="43"/>
      <c r="M92" s="43"/>
      <c r="N92" s="42"/>
      <c r="O92" s="42"/>
      <c r="P92" s="43"/>
      <c r="Q92" s="33" t="str">
        <f t="shared" ca="1" si="5"/>
        <v/>
      </c>
      <c r="R92" s="42"/>
    </row>
    <row r="93" spans="1:18" x14ac:dyDescent="0.3">
      <c r="A93" s="42"/>
      <c r="B93" s="42"/>
      <c r="C93" s="42"/>
      <c r="D93" s="42"/>
      <c r="E93" s="42"/>
      <c r="F93" s="49"/>
      <c r="G93" s="44"/>
      <c r="H93" s="34" t="str">
        <f>IF($A93="","",IF($E93="Percentuale",$F93*IFERROR(INDEX(SERVIZI!$Q:$Q,MATCH($B93,SERVIZI!$A:$A,0)),0),$G93))</f>
        <v/>
      </c>
      <c r="I93" s="42"/>
      <c r="J93" s="35" t="str">
        <f>IF($A93="","",IF($I93="",0,IFERROR(AVERAGEIFS(FASI!$L:$L,FASI!$B:$B,$B93,FASI!$D:$D,$I93),0)))</f>
        <v/>
      </c>
      <c r="K93" s="36" t="str">
        <f t="shared" si="4"/>
        <v/>
      </c>
      <c r="L93" s="43"/>
      <c r="M93" s="43"/>
      <c r="N93" s="42"/>
      <c r="O93" s="42"/>
      <c r="P93" s="43"/>
      <c r="Q93" s="33" t="str">
        <f t="shared" ca="1" si="5"/>
        <v/>
      </c>
      <c r="R93" s="42"/>
    </row>
    <row r="94" spans="1:18" x14ac:dyDescent="0.3">
      <c r="A94" s="42"/>
      <c r="B94" s="42"/>
      <c r="C94" s="42"/>
      <c r="D94" s="42"/>
      <c r="E94" s="42"/>
      <c r="F94" s="49"/>
      <c r="G94" s="44"/>
      <c r="H94" s="34" t="str">
        <f>IF($A94="","",IF($E94="Percentuale",$F94*IFERROR(INDEX(SERVIZI!$Q:$Q,MATCH($B94,SERVIZI!$A:$A,0)),0),$G94))</f>
        <v/>
      </c>
      <c r="I94" s="42"/>
      <c r="J94" s="35" t="str">
        <f>IF($A94="","",IF($I94="",0,IFERROR(AVERAGEIFS(FASI!$L:$L,FASI!$B:$B,$B94,FASI!$D:$D,$I94),0)))</f>
        <v/>
      </c>
      <c r="K94" s="36" t="str">
        <f t="shared" si="4"/>
        <v/>
      </c>
      <c r="L94" s="43"/>
      <c r="M94" s="43"/>
      <c r="N94" s="42"/>
      <c r="O94" s="42"/>
      <c r="P94" s="43"/>
      <c r="Q94" s="33" t="str">
        <f t="shared" ca="1" si="5"/>
        <v/>
      </c>
      <c r="R94" s="42"/>
    </row>
    <row r="95" spans="1:18" x14ac:dyDescent="0.3">
      <c r="A95" s="42"/>
      <c r="B95" s="42"/>
      <c r="C95" s="42"/>
      <c r="D95" s="42"/>
      <c r="E95" s="42"/>
      <c r="F95" s="49"/>
      <c r="G95" s="44"/>
      <c r="H95" s="34" t="str">
        <f>IF($A95="","",IF($E95="Percentuale",$F95*IFERROR(INDEX(SERVIZI!$Q:$Q,MATCH($B95,SERVIZI!$A:$A,0)),0),$G95))</f>
        <v/>
      </c>
      <c r="I95" s="42"/>
      <c r="J95" s="35" t="str">
        <f>IF($A95="","",IF($I95="",0,IFERROR(AVERAGEIFS(FASI!$L:$L,FASI!$B:$B,$B95,FASI!$D:$D,$I95),0)))</f>
        <v/>
      </c>
      <c r="K95" s="36" t="str">
        <f t="shared" si="4"/>
        <v/>
      </c>
      <c r="L95" s="43"/>
      <c r="M95" s="43"/>
      <c r="N95" s="42"/>
      <c r="O95" s="42"/>
      <c r="P95" s="43"/>
      <c r="Q95" s="33" t="str">
        <f t="shared" ca="1" si="5"/>
        <v/>
      </c>
      <c r="R95" s="42"/>
    </row>
    <row r="96" spans="1:18" x14ac:dyDescent="0.3">
      <c r="A96" s="42"/>
      <c r="B96" s="42"/>
      <c r="C96" s="42"/>
      <c r="D96" s="42"/>
      <c r="E96" s="42"/>
      <c r="F96" s="49"/>
      <c r="G96" s="44"/>
      <c r="H96" s="34" t="str">
        <f>IF($A96="","",IF($E96="Percentuale",$F96*IFERROR(INDEX(SERVIZI!$Q:$Q,MATCH($B96,SERVIZI!$A:$A,0)),0),$G96))</f>
        <v/>
      </c>
      <c r="I96" s="42"/>
      <c r="J96" s="35" t="str">
        <f>IF($A96="","",IF($I96="",0,IFERROR(AVERAGEIFS(FASI!$L:$L,FASI!$B:$B,$B96,FASI!$D:$D,$I96),0)))</f>
        <v/>
      </c>
      <c r="K96" s="36" t="str">
        <f t="shared" si="4"/>
        <v/>
      </c>
      <c r="L96" s="43"/>
      <c r="M96" s="43"/>
      <c r="N96" s="42"/>
      <c r="O96" s="42"/>
      <c r="P96" s="43"/>
      <c r="Q96" s="33" t="str">
        <f t="shared" ca="1" si="5"/>
        <v/>
      </c>
      <c r="R96" s="42"/>
    </row>
    <row r="97" spans="1:18" x14ac:dyDescent="0.3">
      <c r="A97" s="42"/>
      <c r="B97" s="42"/>
      <c r="C97" s="42"/>
      <c r="D97" s="42"/>
      <c r="E97" s="42"/>
      <c r="F97" s="49"/>
      <c r="G97" s="44"/>
      <c r="H97" s="34" t="str">
        <f>IF($A97="","",IF($E97="Percentuale",$F97*IFERROR(INDEX(SERVIZI!$Q:$Q,MATCH($B97,SERVIZI!$A:$A,0)),0),$G97))</f>
        <v/>
      </c>
      <c r="I97" s="42"/>
      <c r="J97" s="35" t="str">
        <f>IF($A97="","",IF($I97="",0,IFERROR(AVERAGEIFS(FASI!$L:$L,FASI!$B:$B,$B97,FASI!$D:$D,$I97),0)))</f>
        <v/>
      </c>
      <c r="K97" s="36" t="str">
        <f t="shared" si="4"/>
        <v/>
      </c>
      <c r="L97" s="43"/>
      <c r="M97" s="43"/>
      <c r="N97" s="42"/>
      <c r="O97" s="42"/>
      <c r="P97" s="43"/>
      <c r="Q97" s="33" t="str">
        <f t="shared" ca="1" si="5"/>
        <v/>
      </c>
      <c r="R97" s="42"/>
    </row>
    <row r="98" spans="1:18" x14ac:dyDescent="0.3">
      <c r="A98" s="42"/>
      <c r="B98" s="42"/>
      <c r="C98" s="42"/>
      <c r="D98" s="42"/>
      <c r="E98" s="42"/>
      <c r="F98" s="49"/>
      <c r="G98" s="44"/>
      <c r="H98" s="34" t="str">
        <f>IF($A98="","",IF($E98="Percentuale",$F98*IFERROR(INDEX(SERVIZI!$Q:$Q,MATCH($B98,SERVIZI!$A:$A,0)),0),$G98))</f>
        <v/>
      </c>
      <c r="I98" s="42"/>
      <c r="J98" s="35" t="str">
        <f>IF($A98="","",IF($I98="",0,IFERROR(AVERAGEIFS(FASI!$L:$L,FASI!$B:$B,$B98,FASI!$D:$D,$I98),0)))</f>
        <v/>
      </c>
      <c r="K98" s="36" t="str">
        <f t="shared" ref="K98:K129" si="6">IF($A98="","",IF($M98&lt;&gt;"","Fattura emessa",IF(AND($I98&lt;&gt;"",$J98&gt;=1),"EMETTIBILE","In attesa")))</f>
        <v/>
      </c>
      <c r="L98" s="43"/>
      <c r="M98" s="43"/>
      <c r="N98" s="42"/>
      <c r="O98" s="42"/>
      <c r="P98" s="43"/>
      <c r="Q98" s="33" t="str">
        <f t="shared" ref="Q98:Q129" ca="1" si="7">IF($A98="","",IF(AND($M98&lt;&gt;"",$P98="",$M98+GIORNI_PAG&lt;TODAY()),TODAY()-$M98,0))</f>
        <v/>
      </c>
      <c r="R98" s="42"/>
    </row>
    <row r="99" spans="1:18" x14ac:dyDescent="0.3">
      <c r="A99" s="42"/>
      <c r="B99" s="42"/>
      <c r="C99" s="42"/>
      <c r="D99" s="42"/>
      <c r="E99" s="42"/>
      <c r="F99" s="49"/>
      <c r="G99" s="44"/>
      <c r="H99" s="34" t="str">
        <f>IF($A99="","",IF($E99="Percentuale",$F99*IFERROR(INDEX(SERVIZI!$Q:$Q,MATCH($B99,SERVIZI!$A:$A,0)),0),$G99))</f>
        <v/>
      </c>
      <c r="I99" s="42"/>
      <c r="J99" s="35" t="str">
        <f>IF($A99="","",IF($I99="",0,IFERROR(AVERAGEIFS(FASI!$L:$L,FASI!$B:$B,$B99,FASI!$D:$D,$I99),0)))</f>
        <v/>
      </c>
      <c r="K99" s="36" t="str">
        <f t="shared" si="6"/>
        <v/>
      </c>
      <c r="L99" s="43"/>
      <c r="M99" s="43"/>
      <c r="N99" s="42"/>
      <c r="O99" s="42"/>
      <c r="P99" s="43"/>
      <c r="Q99" s="33" t="str">
        <f t="shared" ca="1" si="7"/>
        <v/>
      </c>
      <c r="R99" s="42"/>
    </row>
    <row r="100" spans="1:18" x14ac:dyDescent="0.3">
      <c r="A100" s="42"/>
      <c r="B100" s="42"/>
      <c r="C100" s="42"/>
      <c r="D100" s="42"/>
      <c r="E100" s="42"/>
      <c r="F100" s="49"/>
      <c r="G100" s="44"/>
      <c r="H100" s="34" t="str">
        <f>IF($A100="","",IF($E100="Percentuale",$F100*IFERROR(INDEX(SERVIZI!$Q:$Q,MATCH($B100,SERVIZI!$A:$A,0)),0),$G100))</f>
        <v/>
      </c>
      <c r="I100" s="42"/>
      <c r="J100" s="35" t="str">
        <f>IF($A100="","",IF($I100="",0,IFERROR(AVERAGEIFS(FASI!$L:$L,FASI!$B:$B,$B100,FASI!$D:$D,$I100),0)))</f>
        <v/>
      </c>
      <c r="K100" s="36" t="str">
        <f t="shared" si="6"/>
        <v/>
      </c>
      <c r="L100" s="43"/>
      <c r="M100" s="43"/>
      <c r="N100" s="42"/>
      <c r="O100" s="42"/>
      <c r="P100" s="43"/>
      <c r="Q100" s="33" t="str">
        <f t="shared" ca="1" si="7"/>
        <v/>
      </c>
      <c r="R100" s="42"/>
    </row>
    <row r="101" spans="1:18" x14ac:dyDescent="0.3">
      <c r="A101" s="42"/>
      <c r="B101" s="42"/>
      <c r="C101" s="42"/>
      <c r="D101" s="42"/>
      <c r="E101" s="42"/>
      <c r="F101" s="49"/>
      <c r="G101" s="44"/>
      <c r="H101" s="34" t="str">
        <f>IF($A101="","",IF($E101="Percentuale",$F101*IFERROR(INDEX(SERVIZI!$Q:$Q,MATCH($B101,SERVIZI!$A:$A,0)),0),$G101))</f>
        <v/>
      </c>
      <c r="I101" s="42"/>
      <c r="J101" s="35" t="str">
        <f>IF($A101="","",IF($I101="",0,IFERROR(AVERAGEIFS(FASI!$L:$L,FASI!$B:$B,$B101,FASI!$D:$D,$I101),0)))</f>
        <v/>
      </c>
      <c r="K101" s="36" t="str">
        <f t="shared" si="6"/>
        <v/>
      </c>
      <c r="L101" s="43"/>
      <c r="M101" s="43"/>
      <c r="N101" s="42"/>
      <c r="O101" s="42"/>
      <c r="P101" s="43"/>
      <c r="Q101" s="33" t="str">
        <f t="shared" ca="1" si="7"/>
        <v/>
      </c>
      <c r="R101" s="42"/>
    </row>
    <row r="102" spans="1:18" x14ac:dyDescent="0.3">
      <c r="A102" s="42"/>
      <c r="B102" s="42"/>
      <c r="C102" s="42"/>
      <c r="D102" s="42"/>
      <c r="E102" s="42"/>
      <c r="F102" s="49"/>
      <c r="G102" s="44"/>
      <c r="H102" s="34" t="str">
        <f>IF($A102="","",IF($E102="Percentuale",$F102*IFERROR(INDEX(SERVIZI!$Q:$Q,MATCH($B102,SERVIZI!$A:$A,0)),0),$G102))</f>
        <v/>
      </c>
      <c r="I102" s="42"/>
      <c r="J102" s="35" t="str">
        <f>IF($A102="","",IF($I102="",0,IFERROR(AVERAGEIFS(FASI!$L:$L,FASI!$B:$B,$B102,FASI!$D:$D,$I102),0)))</f>
        <v/>
      </c>
      <c r="K102" s="36" t="str">
        <f t="shared" si="6"/>
        <v/>
      </c>
      <c r="L102" s="43"/>
      <c r="M102" s="43"/>
      <c r="N102" s="42"/>
      <c r="O102" s="42"/>
      <c r="P102" s="43"/>
      <c r="Q102" s="33" t="str">
        <f t="shared" ca="1" si="7"/>
        <v/>
      </c>
      <c r="R102" s="42"/>
    </row>
    <row r="103" spans="1:18" x14ac:dyDescent="0.3">
      <c r="A103" s="42"/>
      <c r="B103" s="42"/>
      <c r="C103" s="42"/>
      <c r="D103" s="42"/>
      <c r="E103" s="42"/>
      <c r="F103" s="49"/>
      <c r="G103" s="44"/>
      <c r="H103" s="34" t="str">
        <f>IF($A103="","",IF($E103="Percentuale",$F103*IFERROR(INDEX(SERVIZI!$Q:$Q,MATCH($B103,SERVIZI!$A:$A,0)),0),$G103))</f>
        <v/>
      </c>
      <c r="I103" s="42"/>
      <c r="J103" s="35" t="str">
        <f>IF($A103="","",IF($I103="",0,IFERROR(AVERAGEIFS(FASI!$L:$L,FASI!$B:$B,$B103,FASI!$D:$D,$I103),0)))</f>
        <v/>
      </c>
      <c r="K103" s="36" t="str">
        <f t="shared" si="6"/>
        <v/>
      </c>
      <c r="L103" s="43"/>
      <c r="M103" s="43"/>
      <c r="N103" s="42"/>
      <c r="O103" s="42"/>
      <c r="P103" s="43"/>
      <c r="Q103" s="33" t="str">
        <f t="shared" ca="1" si="7"/>
        <v/>
      </c>
      <c r="R103" s="42"/>
    </row>
    <row r="104" spans="1:18" x14ac:dyDescent="0.3">
      <c r="A104" s="42"/>
      <c r="B104" s="42"/>
      <c r="C104" s="42"/>
      <c r="D104" s="42"/>
      <c r="E104" s="42"/>
      <c r="F104" s="49"/>
      <c r="G104" s="44"/>
      <c r="H104" s="34" t="str">
        <f>IF($A104="","",IF($E104="Percentuale",$F104*IFERROR(INDEX(SERVIZI!$Q:$Q,MATCH($B104,SERVIZI!$A:$A,0)),0),$G104))</f>
        <v/>
      </c>
      <c r="I104" s="42"/>
      <c r="J104" s="35" t="str">
        <f>IF($A104="","",IF($I104="",0,IFERROR(AVERAGEIFS(FASI!$L:$L,FASI!$B:$B,$B104,FASI!$D:$D,$I104),0)))</f>
        <v/>
      </c>
      <c r="K104" s="36" t="str">
        <f t="shared" si="6"/>
        <v/>
      </c>
      <c r="L104" s="43"/>
      <c r="M104" s="43"/>
      <c r="N104" s="42"/>
      <c r="O104" s="42"/>
      <c r="P104" s="43"/>
      <c r="Q104" s="33" t="str">
        <f t="shared" ca="1" si="7"/>
        <v/>
      </c>
      <c r="R104" s="42"/>
    </row>
    <row r="105" spans="1:18" x14ac:dyDescent="0.3">
      <c r="A105" s="42"/>
      <c r="B105" s="42"/>
      <c r="C105" s="42"/>
      <c r="D105" s="42"/>
      <c r="E105" s="42"/>
      <c r="F105" s="49"/>
      <c r="G105" s="44"/>
      <c r="H105" s="34" t="str">
        <f>IF($A105="","",IF($E105="Percentuale",$F105*IFERROR(INDEX(SERVIZI!$Q:$Q,MATCH($B105,SERVIZI!$A:$A,0)),0),$G105))</f>
        <v/>
      </c>
      <c r="I105" s="42"/>
      <c r="J105" s="35" t="str">
        <f>IF($A105="","",IF($I105="",0,IFERROR(AVERAGEIFS(FASI!$L:$L,FASI!$B:$B,$B105,FASI!$D:$D,$I105),0)))</f>
        <v/>
      </c>
      <c r="K105" s="36" t="str">
        <f t="shared" si="6"/>
        <v/>
      </c>
      <c r="L105" s="43"/>
      <c r="M105" s="43"/>
      <c r="N105" s="42"/>
      <c r="O105" s="42"/>
      <c r="P105" s="43"/>
      <c r="Q105" s="33" t="str">
        <f t="shared" ca="1" si="7"/>
        <v/>
      </c>
      <c r="R105" s="42"/>
    </row>
    <row r="106" spans="1:18" x14ac:dyDescent="0.3">
      <c r="A106" s="42"/>
      <c r="B106" s="42"/>
      <c r="C106" s="42"/>
      <c r="D106" s="42"/>
      <c r="E106" s="42"/>
      <c r="F106" s="49"/>
      <c r="G106" s="44"/>
      <c r="H106" s="34" t="str">
        <f>IF($A106="","",IF($E106="Percentuale",$F106*IFERROR(INDEX(SERVIZI!$Q:$Q,MATCH($B106,SERVIZI!$A:$A,0)),0),$G106))</f>
        <v/>
      </c>
      <c r="I106" s="42"/>
      <c r="J106" s="35" t="str">
        <f>IF($A106="","",IF($I106="",0,IFERROR(AVERAGEIFS(FASI!$L:$L,FASI!$B:$B,$B106,FASI!$D:$D,$I106),0)))</f>
        <v/>
      </c>
      <c r="K106" s="36" t="str">
        <f t="shared" si="6"/>
        <v/>
      </c>
      <c r="L106" s="43"/>
      <c r="M106" s="43"/>
      <c r="N106" s="42"/>
      <c r="O106" s="42"/>
      <c r="P106" s="43"/>
      <c r="Q106" s="33" t="str">
        <f t="shared" ca="1" si="7"/>
        <v/>
      </c>
      <c r="R106" s="42"/>
    </row>
    <row r="107" spans="1:18" x14ac:dyDescent="0.3">
      <c r="A107" s="42"/>
      <c r="B107" s="42"/>
      <c r="C107" s="42"/>
      <c r="D107" s="42"/>
      <c r="E107" s="42"/>
      <c r="F107" s="49"/>
      <c r="G107" s="44"/>
      <c r="H107" s="34" t="str">
        <f>IF($A107="","",IF($E107="Percentuale",$F107*IFERROR(INDEX(SERVIZI!$Q:$Q,MATCH($B107,SERVIZI!$A:$A,0)),0),$G107))</f>
        <v/>
      </c>
      <c r="I107" s="42"/>
      <c r="J107" s="35" t="str">
        <f>IF($A107="","",IF($I107="",0,IFERROR(AVERAGEIFS(FASI!$L:$L,FASI!$B:$B,$B107,FASI!$D:$D,$I107),0)))</f>
        <v/>
      </c>
      <c r="K107" s="36" t="str">
        <f t="shared" si="6"/>
        <v/>
      </c>
      <c r="L107" s="43"/>
      <c r="M107" s="43"/>
      <c r="N107" s="42"/>
      <c r="O107" s="42"/>
      <c r="P107" s="43"/>
      <c r="Q107" s="33" t="str">
        <f t="shared" ca="1" si="7"/>
        <v/>
      </c>
      <c r="R107" s="42"/>
    </row>
    <row r="108" spans="1:18" x14ac:dyDescent="0.3">
      <c r="A108" s="42"/>
      <c r="B108" s="42"/>
      <c r="C108" s="42"/>
      <c r="D108" s="42"/>
      <c r="E108" s="42"/>
      <c r="F108" s="49"/>
      <c r="G108" s="44"/>
      <c r="H108" s="34" t="str">
        <f>IF($A108="","",IF($E108="Percentuale",$F108*IFERROR(INDEX(SERVIZI!$Q:$Q,MATCH($B108,SERVIZI!$A:$A,0)),0),$G108))</f>
        <v/>
      </c>
      <c r="I108" s="42"/>
      <c r="J108" s="35" t="str">
        <f>IF($A108="","",IF($I108="",0,IFERROR(AVERAGEIFS(FASI!$L:$L,FASI!$B:$B,$B108,FASI!$D:$D,$I108),0)))</f>
        <v/>
      </c>
      <c r="K108" s="36" t="str">
        <f t="shared" si="6"/>
        <v/>
      </c>
      <c r="L108" s="43"/>
      <c r="M108" s="43"/>
      <c r="N108" s="42"/>
      <c r="O108" s="42"/>
      <c r="P108" s="43"/>
      <c r="Q108" s="33" t="str">
        <f t="shared" ca="1" si="7"/>
        <v/>
      </c>
      <c r="R108" s="42"/>
    </row>
    <row r="109" spans="1:18" x14ac:dyDescent="0.3">
      <c r="A109" s="42"/>
      <c r="B109" s="42"/>
      <c r="C109" s="42"/>
      <c r="D109" s="42"/>
      <c r="E109" s="42"/>
      <c r="F109" s="49"/>
      <c r="G109" s="44"/>
      <c r="H109" s="34" t="str">
        <f>IF($A109="","",IF($E109="Percentuale",$F109*IFERROR(INDEX(SERVIZI!$Q:$Q,MATCH($B109,SERVIZI!$A:$A,0)),0),$G109))</f>
        <v/>
      </c>
      <c r="I109" s="42"/>
      <c r="J109" s="35" t="str">
        <f>IF($A109="","",IF($I109="",0,IFERROR(AVERAGEIFS(FASI!$L:$L,FASI!$B:$B,$B109,FASI!$D:$D,$I109),0)))</f>
        <v/>
      </c>
      <c r="K109" s="36" t="str">
        <f t="shared" si="6"/>
        <v/>
      </c>
      <c r="L109" s="43"/>
      <c r="M109" s="43"/>
      <c r="N109" s="42"/>
      <c r="O109" s="42"/>
      <c r="P109" s="43"/>
      <c r="Q109" s="33" t="str">
        <f t="shared" ca="1" si="7"/>
        <v/>
      </c>
      <c r="R109" s="42"/>
    </row>
    <row r="110" spans="1:18" x14ac:dyDescent="0.3">
      <c r="A110" s="42"/>
      <c r="B110" s="42"/>
      <c r="C110" s="42"/>
      <c r="D110" s="42"/>
      <c r="E110" s="42"/>
      <c r="F110" s="49"/>
      <c r="G110" s="44"/>
      <c r="H110" s="34" t="str">
        <f>IF($A110="","",IF($E110="Percentuale",$F110*IFERROR(INDEX(SERVIZI!$Q:$Q,MATCH($B110,SERVIZI!$A:$A,0)),0),$G110))</f>
        <v/>
      </c>
      <c r="I110" s="42"/>
      <c r="J110" s="35" t="str">
        <f>IF($A110="","",IF($I110="",0,IFERROR(AVERAGEIFS(FASI!$L:$L,FASI!$B:$B,$B110,FASI!$D:$D,$I110),0)))</f>
        <v/>
      </c>
      <c r="K110" s="36" t="str">
        <f t="shared" si="6"/>
        <v/>
      </c>
      <c r="L110" s="43"/>
      <c r="M110" s="43"/>
      <c r="N110" s="42"/>
      <c r="O110" s="42"/>
      <c r="P110" s="43"/>
      <c r="Q110" s="33" t="str">
        <f t="shared" ca="1" si="7"/>
        <v/>
      </c>
      <c r="R110" s="42"/>
    </row>
    <row r="111" spans="1:18" x14ac:dyDescent="0.3">
      <c r="A111" s="42"/>
      <c r="B111" s="42"/>
      <c r="C111" s="42"/>
      <c r="D111" s="42"/>
      <c r="E111" s="42"/>
      <c r="F111" s="49"/>
      <c r="G111" s="44"/>
      <c r="H111" s="34" t="str">
        <f>IF($A111="","",IF($E111="Percentuale",$F111*IFERROR(INDEX(SERVIZI!$Q:$Q,MATCH($B111,SERVIZI!$A:$A,0)),0),$G111))</f>
        <v/>
      </c>
      <c r="I111" s="42"/>
      <c r="J111" s="35" t="str">
        <f>IF($A111="","",IF($I111="",0,IFERROR(AVERAGEIFS(FASI!$L:$L,FASI!$B:$B,$B111,FASI!$D:$D,$I111),0)))</f>
        <v/>
      </c>
      <c r="K111" s="36" t="str">
        <f t="shared" si="6"/>
        <v/>
      </c>
      <c r="L111" s="43"/>
      <c r="M111" s="43"/>
      <c r="N111" s="42"/>
      <c r="O111" s="42"/>
      <c r="P111" s="43"/>
      <c r="Q111" s="33" t="str">
        <f t="shared" ca="1" si="7"/>
        <v/>
      </c>
      <c r="R111" s="42"/>
    </row>
    <row r="112" spans="1:18" x14ac:dyDescent="0.3">
      <c r="A112" s="42"/>
      <c r="B112" s="42"/>
      <c r="C112" s="42"/>
      <c r="D112" s="42"/>
      <c r="E112" s="42"/>
      <c r="F112" s="49"/>
      <c r="G112" s="44"/>
      <c r="H112" s="34" t="str">
        <f>IF($A112="","",IF($E112="Percentuale",$F112*IFERROR(INDEX(SERVIZI!$Q:$Q,MATCH($B112,SERVIZI!$A:$A,0)),0),$G112))</f>
        <v/>
      </c>
      <c r="I112" s="42"/>
      <c r="J112" s="35" t="str">
        <f>IF($A112="","",IF($I112="",0,IFERROR(AVERAGEIFS(FASI!$L:$L,FASI!$B:$B,$B112,FASI!$D:$D,$I112),0)))</f>
        <v/>
      </c>
      <c r="K112" s="36" t="str">
        <f t="shared" si="6"/>
        <v/>
      </c>
      <c r="L112" s="43"/>
      <c r="M112" s="43"/>
      <c r="N112" s="42"/>
      <c r="O112" s="42"/>
      <c r="P112" s="43"/>
      <c r="Q112" s="33" t="str">
        <f t="shared" ca="1" si="7"/>
        <v/>
      </c>
      <c r="R112" s="42"/>
    </row>
    <row r="113" spans="1:18" x14ac:dyDescent="0.3">
      <c r="A113" s="42"/>
      <c r="B113" s="42"/>
      <c r="C113" s="42"/>
      <c r="D113" s="42"/>
      <c r="E113" s="42"/>
      <c r="F113" s="49"/>
      <c r="G113" s="44"/>
      <c r="H113" s="34" t="str">
        <f>IF($A113="","",IF($E113="Percentuale",$F113*IFERROR(INDEX(SERVIZI!$Q:$Q,MATCH($B113,SERVIZI!$A:$A,0)),0),$G113))</f>
        <v/>
      </c>
      <c r="I113" s="42"/>
      <c r="J113" s="35" t="str">
        <f>IF($A113="","",IF($I113="",0,IFERROR(AVERAGEIFS(FASI!$L:$L,FASI!$B:$B,$B113,FASI!$D:$D,$I113),0)))</f>
        <v/>
      </c>
      <c r="K113" s="36" t="str">
        <f t="shared" si="6"/>
        <v/>
      </c>
      <c r="L113" s="43"/>
      <c r="M113" s="43"/>
      <c r="N113" s="42"/>
      <c r="O113" s="42"/>
      <c r="P113" s="43"/>
      <c r="Q113" s="33" t="str">
        <f t="shared" ca="1" si="7"/>
        <v/>
      </c>
      <c r="R113" s="42"/>
    </row>
    <row r="114" spans="1:18" x14ac:dyDescent="0.3">
      <c r="A114" s="42"/>
      <c r="B114" s="42"/>
      <c r="C114" s="42"/>
      <c r="D114" s="42"/>
      <c r="E114" s="42"/>
      <c r="F114" s="49"/>
      <c r="G114" s="44"/>
      <c r="H114" s="34" t="str">
        <f>IF($A114="","",IF($E114="Percentuale",$F114*IFERROR(INDEX(SERVIZI!$Q:$Q,MATCH($B114,SERVIZI!$A:$A,0)),0),$G114))</f>
        <v/>
      </c>
      <c r="I114" s="42"/>
      <c r="J114" s="35" t="str">
        <f>IF($A114="","",IF($I114="",0,IFERROR(AVERAGEIFS(FASI!$L:$L,FASI!$B:$B,$B114,FASI!$D:$D,$I114),0)))</f>
        <v/>
      </c>
      <c r="K114" s="36" t="str">
        <f t="shared" si="6"/>
        <v/>
      </c>
      <c r="L114" s="43"/>
      <c r="M114" s="43"/>
      <c r="N114" s="42"/>
      <c r="O114" s="42"/>
      <c r="P114" s="43"/>
      <c r="Q114" s="33" t="str">
        <f t="shared" ca="1" si="7"/>
        <v/>
      </c>
      <c r="R114" s="42"/>
    </row>
    <row r="115" spans="1:18" x14ac:dyDescent="0.3">
      <c r="A115" s="42"/>
      <c r="B115" s="42"/>
      <c r="C115" s="42"/>
      <c r="D115" s="42"/>
      <c r="E115" s="42"/>
      <c r="F115" s="49"/>
      <c r="G115" s="44"/>
      <c r="H115" s="34" t="str">
        <f>IF($A115="","",IF($E115="Percentuale",$F115*IFERROR(INDEX(SERVIZI!$Q:$Q,MATCH($B115,SERVIZI!$A:$A,0)),0),$G115))</f>
        <v/>
      </c>
      <c r="I115" s="42"/>
      <c r="J115" s="35" t="str">
        <f>IF($A115="","",IF($I115="",0,IFERROR(AVERAGEIFS(FASI!$L:$L,FASI!$B:$B,$B115,FASI!$D:$D,$I115),0)))</f>
        <v/>
      </c>
      <c r="K115" s="36" t="str">
        <f t="shared" si="6"/>
        <v/>
      </c>
      <c r="L115" s="43"/>
      <c r="M115" s="43"/>
      <c r="N115" s="42"/>
      <c r="O115" s="42"/>
      <c r="P115" s="43"/>
      <c r="Q115" s="33" t="str">
        <f t="shared" ca="1" si="7"/>
        <v/>
      </c>
      <c r="R115" s="42"/>
    </row>
    <row r="116" spans="1:18" x14ac:dyDescent="0.3">
      <c r="A116" s="42"/>
      <c r="B116" s="42"/>
      <c r="C116" s="42"/>
      <c r="D116" s="42"/>
      <c r="E116" s="42"/>
      <c r="F116" s="49"/>
      <c r="G116" s="44"/>
      <c r="H116" s="34" t="str">
        <f>IF($A116="","",IF($E116="Percentuale",$F116*IFERROR(INDEX(SERVIZI!$Q:$Q,MATCH($B116,SERVIZI!$A:$A,0)),0),$G116))</f>
        <v/>
      </c>
      <c r="I116" s="42"/>
      <c r="J116" s="35" t="str">
        <f>IF($A116="","",IF($I116="",0,IFERROR(AVERAGEIFS(FASI!$L:$L,FASI!$B:$B,$B116,FASI!$D:$D,$I116),0)))</f>
        <v/>
      </c>
      <c r="K116" s="36" t="str">
        <f t="shared" si="6"/>
        <v/>
      </c>
      <c r="L116" s="43"/>
      <c r="M116" s="43"/>
      <c r="N116" s="42"/>
      <c r="O116" s="42"/>
      <c r="P116" s="43"/>
      <c r="Q116" s="33" t="str">
        <f t="shared" ca="1" si="7"/>
        <v/>
      </c>
      <c r="R116" s="42"/>
    </row>
    <row r="117" spans="1:18" x14ac:dyDescent="0.3">
      <c r="A117" s="42"/>
      <c r="B117" s="42"/>
      <c r="C117" s="42"/>
      <c r="D117" s="42"/>
      <c r="E117" s="42"/>
      <c r="F117" s="49"/>
      <c r="G117" s="44"/>
      <c r="H117" s="34" t="str">
        <f>IF($A117="","",IF($E117="Percentuale",$F117*IFERROR(INDEX(SERVIZI!$Q:$Q,MATCH($B117,SERVIZI!$A:$A,0)),0),$G117))</f>
        <v/>
      </c>
      <c r="I117" s="42"/>
      <c r="J117" s="35" t="str">
        <f>IF($A117="","",IF($I117="",0,IFERROR(AVERAGEIFS(FASI!$L:$L,FASI!$B:$B,$B117,FASI!$D:$D,$I117),0)))</f>
        <v/>
      </c>
      <c r="K117" s="36" t="str">
        <f t="shared" si="6"/>
        <v/>
      </c>
      <c r="L117" s="43"/>
      <c r="M117" s="43"/>
      <c r="N117" s="42"/>
      <c r="O117" s="42"/>
      <c r="P117" s="43"/>
      <c r="Q117" s="33" t="str">
        <f t="shared" ca="1" si="7"/>
        <v/>
      </c>
      <c r="R117" s="42"/>
    </row>
    <row r="118" spans="1:18" x14ac:dyDescent="0.3">
      <c r="A118" s="42"/>
      <c r="B118" s="42"/>
      <c r="C118" s="42"/>
      <c r="D118" s="42"/>
      <c r="E118" s="42"/>
      <c r="F118" s="49"/>
      <c r="G118" s="44"/>
      <c r="H118" s="34" t="str">
        <f>IF($A118="","",IF($E118="Percentuale",$F118*IFERROR(INDEX(SERVIZI!$Q:$Q,MATCH($B118,SERVIZI!$A:$A,0)),0),$G118))</f>
        <v/>
      </c>
      <c r="I118" s="42"/>
      <c r="J118" s="35" t="str">
        <f>IF($A118="","",IF($I118="",0,IFERROR(AVERAGEIFS(FASI!$L:$L,FASI!$B:$B,$B118,FASI!$D:$D,$I118),0)))</f>
        <v/>
      </c>
      <c r="K118" s="36" t="str">
        <f t="shared" si="6"/>
        <v/>
      </c>
      <c r="L118" s="43"/>
      <c r="M118" s="43"/>
      <c r="N118" s="42"/>
      <c r="O118" s="42"/>
      <c r="P118" s="43"/>
      <c r="Q118" s="33" t="str">
        <f t="shared" ca="1" si="7"/>
        <v/>
      </c>
      <c r="R118" s="42"/>
    </row>
    <row r="119" spans="1:18" x14ac:dyDescent="0.3">
      <c r="A119" s="42"/>
      <c r="B119" s="42"/>
      <c r="C119" s="42"/>
      <c r="D119" s="42"/>
      <c r="E119" s="42"/>
      <c r="F119" s="49"/>
      <c r="G119" s="44"/>
      <c r="H119" s="34" t="str">
        <f>IF($A119="","",IF($E119="Percentuale",$F119*IFERROR(INDEX(SERVIZI!$Q:$Q,MATCH($B119,SERVIZI!$A:$A,0)),0),$G119))</f>
        <v/>
      </c>
      <c r="I119" s="42"/>
      <c r="J119" s="35" t="str">
        <f>IF($A119="","",IF($I119="",0,IFERROR(AVERAGEIFS(FASI!$L:$L,FASI!$B:$B,$B119,FASI!$D:$D,$I119),0)))</f>
        <v/>
      </c>
      <c r="K119" s="36" t="str">
        <f t="shared" si="6"/>
        <v/>
      </c>
      <c r="L119" s="43"/>
      <c r="M119" s="43"/>
      <c r="N119" s="42"/>
      <c r="O119" s="42"/>
      <c r="P119" s="43"/>
      <c r="Q119" s="33" t="str">
        <f t="shared" ca="1" si="7"/>
        <v/>
      </c>
      <c r="R119" s="42"/>
    </row>
    <row r="120" spans="1:18" x14ac:dyDescent="0.3">
      <c r="A120" s="42"/>
      <c r="B120" s="42"/>
      <c r="C120" s="42"/>
      <c r="D120" s="42"/>
      <c r="E120" s="42"/>
      <c r="F120" s="49"/>
      <c r="G120" s="44"/>
      <c r="H120" s="34" t="str">
        <f>IF($A120="","",IF($E120="Percentuale",$F120*IFERROR(INDEX(SERVIZI!$Q:$Q,MATCH($B120,SERVIZI!$A:$A,0)),0),$G120))</f>
        <v/>
      </c>
      <c r="I120" s="42"/>
      <c r="J120" s="35" t="str">
        <f>IF($A120="","",IF($I120="",0,IFERROR(AVERAGEIFS(FASI!$L:$L,FASI!$B:$B,$B120,FASI!$D:$D,$I120),0)))</f>
        <v/>
      </c>
      <c r="K120" s="36" t="str">
        <f t="shared" si="6"/>
        <v/>
      </c>
      <c r="L120" s="43"/>
      <c r="M120" s="43"/>
      <c r="N120" s="42"/>
      <c r="O120" s="42"/>
      <c r="P120" s="43"/>
      <c r="Q120" s="33" t="str">
        <f t="shared" ca="1" si="7"/>
        <v/>
      </c>
      <c r="R120" s="42"/>
    </row>
    <row r="121" spans="1:18" x14ac:dyDescent="0.3">
      <c r="A121" s="42"/>
      <c r="B121" s="42"/>
      <c r="C121" s="42"/>
      <c r="D121" s="42"/>
      <c r="E121" s="42"/>
      <c r="F121" s="49"/>
      <c r="G121" s="44"/>
      <c r="H121" s="34" t="str">
        <f>IF($A121="","",IF($E121="Percentuale",$F121*IFERROR(INDEX(SERVIZI!$Q:$Q,MATCH($B121,SERVIZI!$A:$A,0)),0),$G121))</f>
        <v/>
      </c>
      <c r="I121" s="42"/>
      <c r="J121" s="35" t="str">
        <f>IF($A121="","",IF($I121="",0,IFERROR(AVERAGEIFS(FASI!$L:$L,FASI!$B:$B,$B121,FASI!$D:$D,$I121),0)))</f>
        <v/>
      </c>
      <c r="K121" s="36" t="str">
        <f t="shared" si="6"/>
        <v/>
      </c>
      <c r="L121" s="43"/>
      <c r="M121" s="43"/>
      <c r="N121" s="42"/>
      <c r="O121" s="42"/>
      <c r="P121" s="43"/>
      <c r="Q121" s="33" t="str">
        <f t="shared" ca="1" si="7"/>
        <v/>
      </c>
      <c r="R121" s="42"/>
    </row>
    <row r="122" spans="1:18" x14ac:dyDescent="0.3">
      <c r="A122" s="42"/>
      <c r="B122" s="42"/>
      <c r="C122" s="42"/>
      <c r="D122" s="42"/>
      <c r="E122" s="42"/>
      <c r="F122" s="49"/>
      <c r="G122" s="44"/>
      <c r="H122" s="34" t="str">
        <f>IF($A122="","",IF($E122="Percentuale",$F122*IFERROR(INDEX(SERVIZI!$Q:$Q,MATCH($B122,SERVIZI!$A:$A,0)),0),$G122))</f>
        <v/>
      </c>
      <c r="I122" s="42"/>
      <c r="J122" s="35" t="str">
        <f>IF($A122="","",IF($I122="",0,IFERROR(AVERAGEIFS(FASI!$L:$L,FASI!$B:$B,$B122,FASI!$D:$D,$I122),0)))</f>
        <v/>
      </c>
      <c r="K122" s="36" t="str">
        <f t="shared" si="6"/>
        <v/>
      </c>
      <c r="L122" s="43"/>
      <c r="M122" s="43"/>
      <c r="N122" s="42"/>
      <c r="O122" s="42"/>
      <c r="P122" s="43"/>
      <c r="Q122" s="33" t="str">
        <f t="shared" ca="1" si="7"/>
        <v/>
      </c>
      <c r="R122" s="42"/>
    </row>
    <row r="123" spans="1:18" x14ac:dyDescent="0.3">
      <c r="A123" s="42"/>
      <c r="B123" s="42"/>
      <c r="C123" s="42"/>
      <c r="D123" s="42"/>
      <c r="E123" s="42"/>
      <c r="F123" s="49"/>
      <c r="G123" s="44"/>
      <c r="H123" s="34" t="str">
        <f>IF($A123="","",IF($E123="Percentuale",$F123*IFERROR(INDEX(SERVIZI!$Q:$Q,MATCH($B123,SERVIZI!$A:$A,0)),0),$G123))</f>
        <v/>
      </c>
      <c r="I123" s="42"/>
      <c r="J123" s="35" t="str">
        <f>IF($A123="","",IF($I123="",0,IFERROR(AVERAGEIFS(FASI!$L:$L,FASI!$B:$B,$B123,FASI!$D:$D,$I123),0)))</f>
        <v/>
      </c>
      <c r="K123" s="36" t="str">
        <f t="shared" si="6"/>
        <v/>
      </c>
      <c r="L123" s="43"/>
      <c r="M123" s="43"/>
      <c r="N123" s="42"/>
      <c r="O123" s="42"/>
      <c r="P123" s="43"/>
      <c r="Q123" s="33" t="str">
        <f t="shared" ca="1" si="7"/>
        <v/>
      </c>
      <c r="R123" s="42"/>
    </row>
    <row r="124" spans="1:18" x14ac:dyDescent="0.3">
      <c r="A124" s="42"/>
      <c r="B124" s="42"/>
      <c r="C124" s="42"/>
      <c r="D124" s="42"/>
      <c r="E124" s="42"/>
      <c r="F124" s="49"/>
      <c r="G124" s="44"/>
      <c r="H124" s="34" t="str">
        <f>IF($A124="","",IF($E124="Percentuale",$F124*IFERROR(INDEX(SERVIZI!$Q:$Q,MATCH($B124,SERVIZI!$A:$A,0)),0),$G124))</f>
        <v/>
      </c>
      <c r="I124" s="42"/>
      <c r="J124" s="35" t="str">
        <f>IF($A124="","",IF($I124="",0,IFERROR(AVERAGEIFS(FASI!$L:$L,FASI!$B:$B,$B124,FASI!$D:$D,$I124),0)))</f>
        <v/>
      </c>
      <c r="K124" s="36" t="str">
        <f t="shared" si="6"/>
        <v/>
      </c>
      <c r="L124" s="43"/>
      <c r="M124" s="43"/>
      <c r="N124" s="42"/>
      <c r="O124" s="42"/>
      <c r="P124" s="43"/>
      <c r="Q124" s="33" t="str">
        <f t="shared" ca="1" si="7"/>
        <v/>
      </c>
      <c r="R124" s="42"/>
    </row>
    <row r="125" spans="1:18" x14ac:dyDescent="0.3">
      <c r="A125" s="42"/>
      <c r="B125" s="42"/>
      <c r="C125" s="42"/>
      <c r="D125" s="42"/>
      <c r="E125" s="42"/>
      <c r="F125" s="49"/>
      <c r="G125" s="44"/>
      <c r="H125" s="34" t="str">
        <f>IF($A125="","",IF($E125="Percentuale",$F125*IFERROR(INDEX(SERVIZI!$Q:$Q,MATCH($B125,SERVIZI!$A:$A,0)),0),$G125))</f>
        <v/>
      </c>
      <c r="I125" s="42"/>
      <c r="J125" s="35" t="str">
        <f>IF($A125="","",IF($I125="",0,IFERROR(AVERAGEIFS(FASI!$L:$L,FASI!$B:$B,$B125,FASI!$D:$D,$I125),0)))</f>
        <v/>
      </c>
      <c r="K125" s="36" t="str">
        <f t="shared" si="6"/>
        <v/>
      </c>
      <c r="L125" s="43"/>
      <c r="M125" s="43"/>
      <c r="N125" s="42"/>
      <c r="O125" s="42"/>
      <c r="P125" s="43"/>
      <c r="Q125" s="33" t="str">
        <f t="shared" ca="1" si="7"/>
        <v/>
      </c>
      <c r="R125" s="42"/>
    </row>
    <row r="126" spans="1:18" x14ac:dyDescent="0.3">
      <c r="A126" s="42"/>
      <c r="B126" s="42"/>
      <c r="C126" s="42"/>
      <c r="D126" s="42"/>
      <c r="E126" s="42"/>
      <c r="F126" s="49"/>
      <c r="G126" s="44"/>
      <c r="H126" s="34" t="str">
        <f>IF($A126="","",IF($E126="Percentuale",$F126*IFERROR(INDEX(SERVIZI!$Q:$Q,MATCH($B126,SERVIZI!$A:$A,0)),0),$G126))</f>
        <v/>
      </c>
      <c r="I126" s="42"/>
      <c r="J126" s="35" t="str">
        <f>IF($A126="","",IF($I126="",0,IFERROR(AVERAGEIFS(FASI!$L:$L,FASI!$B:$B,$B126,FASI!$D:$D,$I126),0)))</f>
        <v/>
      </c>
      <c r="K126" s="36" t="str">
        <f t="shared" si="6"/>
        <v/>
      </c>
      <c r="L126" s="43"/>
      <c r="M126" s="43"/>
      <c r="N126" s="42"/>
      <c r="O126" s="42"/>
      <c r="P126" s="43"/>
      <c r="Q126" s="33" t="str">
        <f t="shared" ca="1" si="7"/>
        <v/>
      </c>
      <c r="R126" s="42"/>
    </row>
    <row r="127" spans="1:18" x14ac:dyDescent="0.3">
      <c r="A127" s="42"/>
      <c r="B127" s="42"/>
      <c r="C127" s="42"/>
      <c r="D127" s="42"/>
      <c r="E127" s="42"/>
      <c r="F127" s="49"/>
      <c r="G127" s="44"/>
      <c r="H127" s="34" t="str">
        <f>IF($A127="","",IF($E127="Percentuale",$F127*IFERROR(INDEX(SERVIZI!$Q:$Q,MATCH($B127,SERVIZI!$A:$A,0)),0),$G127))</f>
        <v/>
      </c>
      <c r="I127" s="42"/>
      <c r="J127" s="35" t="str">
        <f>IF($A127="","",IF($I127="",0,IFERROR(AVERAGEIFS(FASI!$L:$L,FASI!$B:$B,$B127,FASI!$D:$D,$I127),0)))</f>
        <v/>
      </c>
      <c r="K127" s="36" t="str">
        <f t="shared" si="6"/>
        <v/>
      </c>
      <c r="L127" s="43"/>
      <c r="M127" s="43"/>
      <c r="N127" s="42"/>
      <c r="O127" s="42"/>
      <c r="P127" s="43"/>
      <c r="Q127" s="33" t="str">
        <f t="shared" ca="1" si="7"/>
        <v/>
      </c>
      <c r="R127" s="42"/>
    </row>
    <row r="128" spans="1:18" x14ac:dyDescent="0.3">
      <c r="A128" s="42"/>
      <c r="B128" s="42"/>
      <c r="C128" s="42"/>
      <c r="D128" s="42"/>
      <c r="E128" s="42"/>
      <c r="F128" s="49"/>
      <c r="G128" s="44"/>
      <c r="H128" s="34" t="str">
        <f>IF($A128="","",IF($E128="Percentuale",$F128*IFERROR(INDEX(SERVIZI!$Q:$Q,MATCH($B128,SERVIZI!$A:$A,0)),0),$G128))</f>
        <v/>
      </c>
      <c r="I128" s="42"/>
      <c r="J128" s="35" t="str">
        <f>IF($A128="","",IF($I128="",0,IFERROR(AVERAGEIFS(FASI!$L:$L,FASI!$B:$B,$B128,FASI!$D:$D,$I128),0)))</f>
        <v/>
      </c>
      <c r="K128" s="36" t="str">
        <f t="shared" si="6"/>
        <v/>
      </c>
      <c r="L128" s="43"/>
      <c r="M128" s="43"/>
      <c r="N128" s="42"/>
      <c r="O128" s="42"/>
      <c r="P128" s="43"/>
      <c r="Q128" s="33" t="str">
        <f t="shared" ca="1" si="7"/>
        <v/>
      </c>
      <c r="R128" s="42"/>
    </row>
    <row r="129" spans="1:18" x14ac:dyDescent="0.3">
      <c r="A129" s="42"/>
      <c r="B129" s="42"/>
      <c r="C129" s="42"/>
      <c r="D129" s="42"/>
      <c r="E129" s="42"/>
      <c r="F129" s="49"/>
      <c r="G129" s="44"/>
      <c r="H129" s="34" t="str">
        <f>IF($A129="","",IF($E129="Percentuale",$F129*IFERROR(INDEX(SERVIZI!$Q:$Q,MATCH($B129,SERVIZI!$A:$A,0)),0),$G129))</f>
        <v/>
      </c>
      <c r="I129" s="42"/>
      <c r="J129" s="35" t="str">
        <f>IF($A129="","",IF($I129="",0,IFERROR(AVERAGEIFS(FASI!$L:$L,FASI!$B:$B,$B129,FASI!$D:$D,$I129),0)))</f>
        <v/>
      </c>
      <c r="K129" s="36" t="str">
        <f t="shared" si="6"/>
        <v/>
      </c>
      <c r="L129" s="43"/>
      <c r="M129" s="43"/>
      <c r="N129" s="42"/>
      <c r="O129" s="42"/>
      <c r="P129" s="43"/>
      <c r="Q129" s="33" t="str">
        <f t="shared" ca="1" si="7"/>
        <v/>
      </c>
      <c r="R129" s="42"/>
    </row>
    <row r="130" spans="1:18" x14ac:dyDescent="0.3">
      <c r="A130" s="42"/>
      <c r="B130" s="42"/>
      <c r="C130" s="42"/>
      <c r="D130" s="42"/>
      <c r="E130" s="42"/>
      <c r="F130" s="49"/>
      <c r="G130" s="44"/>
      <c r="H130" s="34" t="str">
        <f>IF($A130="","",IF($E130="Percentuale",$F130*IFERROR(INDEX(SERVIZI!$Q:$Q,MATCH($B130,SERVIZI!$A:$A,0)),0),$G130))</f>
        <v/>
      </c>
      <c r="I130" s="42"/>
      <c r="J130" s="35" t="str">
        <f>IF($A130="","",IF($I130="",0,IFERROR(AVERAGEIFS(FASI!$L:$L,FASI!$B:$B,$B130,FASI!$D:$D,$I130),0)))</f>
        <v/>
      </c>
      <c r="K130" s="36" t="str">
        <f t="shared" ref="K130:K161" si="8">IF($A130="","",IF($M130&lt;&gt;"","Fattura emessa",IF(AND($I130&lt;&gt;"",$J130&gt;=1),"EMETTIBILE","In attesa")))</f>
        <v/>
      </c>
      <c r="L130" s="43"/>
      <c r="M130" s="43"/>
      <c r="N130" s="42"/>
      <c r="O130" s="42"/>
      <c r="P130" s="43"/>
      <c r="Q130" s="33" t="str">
        <f t="shared" ref="Q130:Q161" ca="1" si="9">IF($A130="","",IF(AND($M130&lt;&gt;"",$P130="",$M130+GIORNI_PAG&lt;TODAY()),TODAY()-$M130,0))</f>
        <v/>
      </c>
      <c r="R130" s="42"/>
    </row>
    <row r="131" spans="1:18" x14ac:dyDescent="0.3">
      <c r="A131" s="42"/>
      <c r="B131" s="42"/>
      <c r="C131" s="42"/>
      <c r="D131" s="42"/>
      <c r="E131" s="42"/>
      <c r="F131" s="49"/>
      <c r="G131" s="44"/>
      <c r="H131" s="34" t="str">
        <f>IF($A131="","",IF($E131="Percentuale",$F131*IFERROR(INDEX(SERVIZI!$Q:$Q,MATCH($B131,SERVIZI!$A:$A,0)),0),$G131))</f>
        <v/>
      </c>
      <c r="I131" s="42"/>
      <c r="J131" s="35" t="str">
        <f>IF($A131="","",IF($I131="",0,IFERROR(AVERAGEIFS(FASI!$L:$L,FASI!$B:$B,$B131,FASI!$D:$D,$I131),0)))</f>
        <v/>
      </c>
      <c r="K131" s="36" t="str">
        <f t="shared" si="8"/>
        <v/>
      </c>
      <c r="L131" s="43"/>
      <c r="M131" s="43"/>
      <c r="N131" s="42"/>
      <c r="O131" s="42"/>
      <c r="P131" s="43"/>
      <c r="Q131" s="33" t="str">
        <f t="shared" ca="1" si="9"/>
        <v/>
      </c>
      <c r="R131" s="42"/>
    </row>
    <row r="132" spans="1:18" x14ac:dyDescent="0.3">
      <c r="A132" s="42"/>
      <c r="B132" s="42"/>
      <c r="C132" s="42"/>
      <c r="D132" s="42"/>
      <c r="E132" s="42"/>
      <c r="F132" s="49"/>
      <c r="G132" s="44"/>
      <c r="H132" s="34" t="str">
        <f>IF($A132="","",IF($E132="Percentuale",$F132*IFERROR(INDEX(SERVIZI!$Q:$Q,MATCH($B132,SERVIZI!$A:$A,0)),0),$G132))</f>
        <v/>
      </c>
      <c r="I132" s="42"/>
      <c r="J132" s="35" t="str">
        <f>IF($A132="","",IF($I132="",0,IFERROR(AVERAGEIFS(FASI!$L:$L,FASI!$B:$B,$B132,FASI!$D:$D,$I132),0)))</f>
        <v/>
      </c>
      <c r="K132" s="36" t="str">
        <f t="shared" si="8"/>
        <v/>
      </c>
      <c r="L132" s="43"/>
      <c r="M132" s="43"/>
      <c r="N132" s="42"/>
      <c r="O132" s="42"/>
      <c r="P132" s="43"/>
      <c r="Q132" s="33" t="str">
        <f t="shared" ca="1" si="9"/>
        <v/>
      </c>
      <c r="R132" s="42"/>
    </row>
    <row r="133" spans="1:18" x14ac:dyDescent="0.3">
      <c r="A133" s="42"/>
      <c r="B133" s="42"/>
      <c r="C133" s="42"/>
      <c r="D133" s="42"/>
      <c r="E133" s="42"/>
      <c r="F133" s="49"/>
      <c r="G133" s="44"/>
      <c r="H133" s="34" t="str">
        <f>IF($A133="","",IF($E133="Percentuale",$F133*IFERROR(INDEX(SERVIZI!$Q:$Q,MATCH($B133,SERVIZI!$A:$A,0)),0),$G133))</f>
        <v/>
      </c>
      <c r="I133" s="42"/>
      <c r="J133" s="35" t="str">
        <f>IF($A133="","",IF($I133="",0,IFERROR(AVERAGEIFS(FASI!$L:$L,FASI!$B:$B,$B133,FASI!$D:$D,$I133),0)))</f>
        <v/>
      </c>
      <c r="K133" s="36" t="str">
        <f t="shared" si="8"/>
        <v/>
      </c>
      <c r="L133" s="43"/>
      <c r="M133" s="43"/>
      <c r="N133" s="42"/>
      <c r="O133" s="42"/>
      <c r="P133" s="43"/>
      <c r="Q133" s="33" t="str">
        <f t="shared" ca="1" si="9"/>
        <v/>
      </c>
      <c r="R133" s="42"/>
    </row>
    <row r="134" spans="1:18" x14ac:dyDescent="0.3">
      <c r="A134" s="42"/>
      <c r="B134" s="42"/>
      <c r="C134" s="42"/>
      <c r="D134" s="42"/>
      <c r="E134" s="42"/>
      <c r="F134" s="49"/>
      <c r="G134" s="44"/>
      <c r="H134" s="34" t="str">
        <f>IF($A134="","",IF($E134="Percentuale",$F134*IFERROR(INDEX(SERVIZI!$Q:$Q,MATCH($B134,SERVIZI!$A:$A,0)),0),$G134))</f>
        <v/>
      </c>
      <c r="I134" s="42"/>
      <c r="J134" s="35" t="str">
        <f>IF($A134="","",IF($I134="",0,IFERROR(AVERAGEIFS(FASI!$L:$L,FASI!$B:$B,$B134,FASI!$D:$D,$I134),0)))</f>
        <v/>
      </c>
      <c r="K134" s="36" t="str">
        <f t="shared" si="8"/>
        <v/>
      </c>
      <c r="L134" s="43"/>
      <c r="M134" s="43"/>
      <c r="N134" s="42"/>
      <c r="O134" s="42"/>
      <c r="P134" s="43"/>
      <c r="Q134" s="33" t="str">
        <f t="shared" ca="1" si="9"/>
        <v/>
      </c>
      <c r="R134" s="42"/>
    </row>
    <row r="135" spans="1:18" x14ac:dyDescent="0.3">
      <c r="A135" s="42"/>
      <c r="B135" s="42"/>
      <c r="C135" s="42"/>
      <c r="D135" s="42"/>
      <c r="E135" s="42"/>
      <c r="F135" s="49"/>
      <c r="G135" s="44"/>
      <c r="H135" s="34" t="str">
        <f>IF($A135="","",IF($E135="Percentuale",$F135*IFERROR(INDEX(SERVIZI!$Q:$Q,MATCH($B135,SERVIZI!$A:$A,0)),0),$G135))</f>
        <v/>
      </c>
      <c r="I135" s="42"/>
      <c r="J135" s="35" t="str">
        <f>IF($A135="","",IF($I135="",0,IFERROR(AVERAGEIFS(FASI!$L:$L,FASI!$B:$B,$B135,FASI!$D:$D,$I135),0)))</f>
        <v/>
      </c>
      <c r="K135" s="36" t="str">
        <f t="shared" si="8"/>
        <v/>
      </c>
      <c r="L135" s="43"/>
      <c r="M135" s="43"/>
      <c r="N135" s="42"/>
      <c r="O135" s="42"/>
      <c r="P135" s="43"/>
      <c r="Q135" s="33" t="str">
        <f t="shared" ca="1" si="9"/>
        <v/>
      </c>
      <c r="R135" s="42"/>
    </row>
    <row r="136" spans="1:18" x14ac:dyDescent="0.3">
      <c r="A136" s="42"/>
      <c r="B136" s="42"/>
      <c r="C136" s="42"/>
      <c r="D136" s="42"/>
      <c r="E136" s="42"/>
      <c r="F136" s="49"/>
      <c r="G136" s="44"/>
      <c r="H136" s="34" t="str">
        <f>IF($A136="","",IF($E136="Percentuale",$F136*IFERROR(INDEX(SERVIZI!$Q:$Q,MATCH($B136,SERVIZI!$A:$A,0)),0),$G136))</f>
        <v/>
      </c>
      <c r="I136" s="42"/>
      <c r="J136" s="35" t="str">
        <f>IF($A136="","",IF($I136="",0,IFERROR(AVERAGEIFS(FASI!$L:$L,FASI!$B:$B,$B136,FASI!$D:$D,$I136),0)))</f>
        <v/>
      </c>
      <c r="K136" s="36" t="str">
        <f t="shared" si="8"/>
        <v/>
      </c>
      <c r="L136" s="43"/>
      <c r="M136" s="43"/>
      <c r="N136" s="42"/>
      <c r="O136" s="42"/>
      <c r="P136" s="43"/>
      <c r="Q136" s="33" t="str">
        <f t="shared" ca="1" si="9"/>
        <v/>
      </c>
      <c r="R136" s="42"/>
    </row>
    <row r="137" spans="1:18" x14ac:dyDescent="0.3">
      <c r="A137" s="42"/>
      <c r="B137" s="42"/>
      <c r="C137" s="42"/>
      <c r="D137" s="42"/>
      <c r="E137" s="42"/>
      <c r="F137" s="49"/>
      <c r="G137" s="44"/>
      <c r="H137" s="34" t="str">
        <f>IF($A137="","",IF($E137="Percentuale",$F137*IFERROR(INDEX(SERVIZI!$Q:$Q,MATCH($B137,SERVIZI!$A:$A,0)),0),$G137))</f>
        <v/>
      </c>
      <c r="I137" s="42"/>
      <c r="J137" s="35" t="str">
        <f>IF($A137="","",IF($I137="",0,IFERROR(AVERAGEIFS(FASI!$L:$L,FASI!$B:$B,$B137,FASI!$D:$D,$I137),0)))</f>
        <v/>
      </c>
      <c r="K137" s="36" t="str">
        <f t="shared" si="8"/>
        <v/>
      </c>
      <c r="L137" s="43"/>
      <c r="M137" s="43"/>
      <c r="N137" s="42"/>
      <c r="O137" s="42"/>
      <c r="P137" s="43"/>
      <c r="Q137" s="33" t="str">
        <f t="shared" ca="1" si="9"/>
        <v/>
      </c>
      <c r="R137" s="42"/>
    </row>
    <row r="138" spans="1:18" x14ac:dyDescent="0.3">
      <c r="A138" s="42"/>
      <c r="B138" s="42"/>
      <c r="C138" s="42"/>
      <c r="D138" s="42"/>
      <c r="E138" s="42"/>
      <c r="F138" s="49"/>
      <c r="G138" s="44"/>
      <c r="H138" s="34" t="str">
        <f>IF($A138="","",IF($E138="Percentuale",$F138*IFERROR(INDEX(SERVIZI!$Q:$Q,MATCH($B138,SERVIZI!$A:$A,0)),0),$G138))</f>
        <v/>
      </c>
      <c r="I138" s="42"/>
      <c r="J138" s="35" t="str">
        <f>IF($A138="","",IF($I138="",0,IFERROR(AVERAGEIFS(FASI!$L:$L,FASI!$B:$B,$B138,FASI!$D:$D,$I138),0)))</f>
        <v/>
      </c>
      <c r="K138" s="36" t="str">
        <f t="shared" si="8"/>
        <v/>
      </c>
      <c r="L138" s="43"/>
      <c r="M138" s="43"/>
      <c r="N138" s="42"/>
      <c r="O138" s="42"/>
      <c r="P138" s="43"/>
      <c r="Q138" s="33" t="str">
        <f t="shared" ca="1" si="9"/>
        <v/>
      </c>
      <c r="R138" s="42"/>
    </row>
    <row r="139" spans="1:18" x14ac:dyDescent="0.3">
      <c r="A139" s="42"/>
      <c r="B139" s="42"/>
      <c r="C139" s="42"/>
      <c r="D139" s="42"/>
      <c r="E139" s="42"/>
      <c r="F139" s="49"/>
      <c r="G139" s="44"/>
      <c r="H139" s="34" t="str">
        <f>IF($A139="","",IF($E139="Percentuale",$F139*IFERROR(INDEX(SERVIZI!$Q:$Q,MATCH($B139,SERVIZI!$A:$A,0)),0),$G139))</f>
        <v/>
      </c>
      <c r="I139" s="42"/>
      <c r="J139" s="35" t="str">
        <f>IF($A139="","",IF($I139="",0,IFERROR(AVERAGEIFS(FASI!$L:$L,FASI!$B:$B,$B139,FASI!$D:$D,$I139),0)))</f>
        <v/>
      </c>
      <c r="K139" s="36" t="str">
        <f t="shared" si="8"/>
        <v/>
      </c>
      <c r="L139" s="43"/>
      <c r="M139" s="43"/>
      <c r="N139" s="42"/>
      <c r="O139" s="42"/>
      <c r="P139" s="43"/>
      <c r="Q139" s="33" t="str">
        <f t="shared" ca="1" si="9"/>
        <v/>
      </c>
      <c r="R139" s="42"/>
    </row>
    <row r="140" spans="1:18" x14ac:dyDescent="0.3">
      <c r="A140" s="42"/>
      <c r="B140" s="42"/>
      <c r="C140" s="42"/>
      <c r="D140" s="42"/>
      <c r="E140" s="42"/>
      <c r="F140" s="49"/>
      <c r="G140" s="44"/>
      <c r="H140" s="34" t="str">
        <f>IF($A140="","",IF($E140="Percentuale",$F140*IFERROR(INDEX(SERVIZI!$Q:$Q,MATCH($B140,SERVIZI!$A:$A,0)),0),$G140))</f>
        <v/>
      </c>
      <c r="I140" s="42"/>
      <c r="J140" s="35" t="str">
        <f>IF($A140="","",IF($I140="",0,IFERROR(AVERAGEIFS(FASI!$L:$L,FASI!$B:$B,$B140,FASI!$D:$D,$I140),0)))</f>
        <v/>
      </c>
      <c r="K140" s="36" t="str">
        <f t="shared" si="8"/>
        <v/>
      </c>
      <c r="L140" s="43"/>
      <c r="M140" s="43"/>
      <c r="N140" s="42"/>
      <c r="O140" s="42"/>
      <c r="P140" s="43"/>
      <c r="Q140" s="33" t="str">
        <f t="shared" ca="1" si="9"/>
        <v/>
      </c>
      <c r="R140" s="42"/>
    </row>
    <row r="141" spans="1:18" x14ac:dyDescent="0.3">
      <c r="A141" s="42"/>
      <c r="B141" s="42"/>
      <c r="C141" s="42"/>
      <c r="D141" s="42"/>
      <c r="E141" s="42"/>
      <c r="F141" s="49"/>
      <c r="G141" s="44"/>
      <c r="H141" s="34" t="str">
        <f>IF($A141="","",IF($E141="Percentuale",$F141*IFERROR(INDEX(SERVIZI!$Q:$Q,MATCH($B141,SERVIZI!$A:$A,0)),0),$G141))</f>
        <v/>
      </c>
      <c r="I141" s="42"/>
      <c r="J141" s="35" t="str">
        <f>IF($A141="","",IF($I141="",0,IFERROR(AVERAGEIFS(FASI!$L:$L,FASI!$B:$B,$B141,FASI!$D:$D,$I141),0)))</f>
        <v/>
      </c>
      <c r="K141" s="36" t="str">
        <f t="shared" si="8"/>
        <v/>
      </c>
      <c r="L141" s="43"/>
      <c r="M141" s="43"/>
      <c r="N141" s="42"/>
      <c r="O141" s="42"/>
      <c r="P141" s="43"/>
      <c r="Q141" s="33" t="str">
        <f t="shared" ca="1" si="9"/>
        <v/>
      </c>
      <c r="R141" s="42"/>
    </row>
    <row r="142" spans="1:18" x14ac:dyDescent="0.3">
      <c r="A142" s="42"/>
      <c r="B142" s="42"/>
      <c r="C142" s="42"/>
      <c r="D142" s="42"/>
      <c r="E142" s="42"/>
      <c r="F142" s="49"/>
      <c r="G142" s="44"/>
      <c r="H142" s="34" t="str">
        <f>IF($A142="","",IF($E142="Percentuale",$F142*IFERROR(INDEX(SERVIZI!$Q:$Q,MATCH($B142,SERVIZI!$A:$A,0)),0),$G142))</f>
        <v/>
      </c>
      <c r="I142" s="42"/>
      <c r="J142" s="35" t="str">
        <f>IF($A142="","",IF($I142="",0,IFERROR(AVERAGEIFS(FASI!$L:$L,FASI!$B:$B,$B142,FASI!$D:$D,$I142),0)))</f>
        <v/>
      </c>
      <c r="K142" s="36" t="str">
        <f t="shared" si="8"/>
        <v/>
      </c>
      <c r="L142" s="43"/>
      <c r="M142" s="43"/>
      <c r="N142" s="42"/>
      <c r="O142" s="42"/>
      <c r="P142" s="43"/>
      <c r="Q142" s="33" t="str">
        <f t="shared" ca="1" si="9"/>
        <v/>
      </c>
      <c r="R142" s="42"/>
    </row>
    <row r="143" spans="1:18" x14ac:dyDescent="0.3">
      <c r="A143" s="42"/>
      <c r="B143" s="42"/>
      <c r="C143" s="42"/>
      <c r="D143" s="42"/>
      <c r="E143" s="42"/>
      <c r="F143" s="49"/>
      <c r="G143" s="44"/>
      <c r="H143" s="34" t="str">
        <f>IF($A143="","",IF($E143="Percentuale",$F143*IFERROR(INDEX(SERVIZI!$Q:$Q,MATCH($B143,SERVIZI!$A:$A,0)),0),$G143))</f>
        <v/>
      </c>
      <c r="I143" s="42"/>
      <c r="J143" s="35" t="str">
        <f>IF($A143="","",IF($I143="",0,IFERROR(AVERAGEIFS(FASI!$L:$L,FASI!$B:$B,$B143,FASI!$D:$D,$I143),0)))</f>
        <v/>
      </c>
      <c r="K143" s="36" t="str">
        <f t="shared" si="8"/>
        <v/>
      </c>
      <c r="L143" s="43"/>
      <c r="M143" s="43"/>
      <c r="N143" s="42"/>
      <c r="O143" s="42"/>
      <c r="P143" s="43"/>
      <c r="Q143" s="33" t="str">
        <f t="shared" ca="1" si="9"/>
        <v/>
      </c>
      <c r="R143" s="42"/>
    </row>
    <row r="144" spans="1:18" x14ac:dyDescent="0.3">
      <c r="A144" s="42"/>
      <c r="B144" s="42"/>
      <c r="C144" s="42"/>
      <c r="D144" s="42"/>
      <c r="E144" s="42"/>
      <c r="F144" s="49"/>
      <c r="G144" s="44"/>
      <c r="H144" s="34" t="str">
        <f>IF($A144="","",IF($E144="Percentuale",$F144*IFERROR(INDEX(SERVIZI!$Q:$Q,MATCH($B144,SERVIZI!$A:$A,0)),0),$G144))</f>
        <v/>
      </c>
      <c r="I144" s="42"/>
      <c r="J144" s="35" t="str">
        <f>IF($A144="","",IF($I144="",0,IFERROR(AVERAGEIFS(FASI!$L:$L,FASI!$B:$B,$B144,FASI!$D:$D,$I144),0)))</f>
        <v/>
      </c>
      <c r="K144" s="36" t="str">
        <f t="shared" si="8"/>
        <v/>
      </c>
      <c r="L144" s="43"/>
      <c r="M144" s="43"/>
      <c r="N144" s="42"/>
      <c r="O144" s="42"/>
      <c r="P144" s="43"/>
      <c r="Q144" s="33" t="str">
        <f t="shared" ca="1" si="9"/>
        <v/>
      </c>
      <c r="R144" s="42"/>
    </row>
    <row r="145" spans="1:18" x14ac:dyDescent="0.3">
      <c r="A145" s="42"/>
      <c r="B145" s="42"/>
      <c r="C145" s="42"/>
      <c r="D145" s="42"/>
      <c r="E145" s="42"/>
      <c r="F145" s="49"/>
      <c r="G145" s="44"/>
      <c r="H145" s="34" t="str">
        <f>IF($A145="","",IF($E145="Percentuale",$F145*IFERROR(INDEX(SERVIZI!$Q:$Q,MATCH($B145,SERVIZI!$A:$A,0)),0),$G145))</f>
        <v/>
      </c>
      <c r="I145" s="42"/>
      <c r="J145" s="35" t="str">
        <f>IF($A145="","",IF($I145="",0,IFERROR(AVERAGEIFS(FASI!$L:$L,FASI!$B:$B,$B145,FASI!$D:$D,$I145),0)))</f>
        <v/>
      </c>
      <c r="K145" s="36" t="str">
        <f t="shared" si="8"/>
        <v/>
      </c>
      <c r="L145" s="43"/>
      <c r="M145" s="43"/>
      <c r="N145" s="42"/>
      <c r="O145" s="42"/>
      <c r="P145" s="43"/>
      <c r="Q145" s="33" t="str">
        <f t="shared" ca="1" si="9"/>
        <v/>
      </c>
      <c r="R145" s="42"/>
    </row>
    <row r="146" spans="1:18" x14ac:dyDescent="0.3">
      <c r="A146" s="42"/>
      <c r="B146" s="42"/>
      <c r="C146" s="42"/>
      <c r="D146" s="42"/>
      <c r="E146" s="42"/>
      <c r="F146" s="49"/>
      <c r="G146" s="44"/>
      <c r="H146" s="34" t="str">
        <f>IF($A146="","",IF($E146="Percentuale",$F146*IFERROR(INDEX(SERVIZI!$Q:$Q,MATCH($B146,SERVIZI!$A:$A,0)),0),$G146))</f>
        <v/>
      </c>
      <c r="I146" s="42"/>
      <c r="J146" s="35" t="str">
        <f>IF($A146="","",IF($I146="",0,IFERROR(AVERAGEIFS(FASI!$L:$L,FASI!$B:$B,$B146,FASI!$D:$D,$I146),0)))</f>
        <v/>
      </c>
      <c r="K146" s="36" t="str">
        <f t="shared" si="8"/>
        <v/>
      </c>
      <c r="L146" s="43"/>
      <c r="M146" s="43"/>
      <c r="N146" s="42"/>
      <c r="O146" s="42"/>
      <c r="P146" s="43"/>
      <c r="Q146" s="33" t="str">
        <f t="shared" ca="1" si="9"/>
        <v/>
      </c>
      <c r="R146" s="42"/>
    </row>
    <row r="147" spans="1:18" x14ac:dyDescent="0.3">
      <c r="A147" s="42"/>
      <c r="B147" s="42"/>
      <c r="C147" s="42"/>
      <c r="D147" s="42"/>
      <c r="E147" s="42"/>
      <c r="F147" s="49"/>
      <c r="G147" s="44"/>
      <c r="H147" s="34" t="str">
        <f>IF($A147="","",IF($E147="Percentuale",$F147*IFERROR(INDEX(SERVIZI!$Q:$Q,MATCH($B147,SERVIZI!$A:$A,0)),0),$G147))</f>
        <v/>
      </c>
      <c r="I147" s="42"/>
      <c r="J147" s="35" t="str">
        <f>IF($A147="","",IF($I147="",0,IFERROR(AVERAGEIFS(FASI!$L:$L,FASI!$B:$B,$B147,FASI!$D:$D,$I147),0)))</f>
        <v/>
      </c>
      <c r="K147" s="36" t="str">
        <f t="shared" si="8"/>
        <v/>
      </c>
      <c r="L147" s="43"/>
      <c r="M147" s="43"/>
      <c r="N147" s="42"/>
      <c r="O147" s="42"/>
      <c r="P147" s="43"/>
      <c r="Q147" s="33" t="str">
        <f t="shared" ca="1" si="9"/>
        <v/>
      </c>
      <c r="R147" s="42"/>
    </row>
    <row r="148" spans="1:18" x14ac:dyDescent="0.3">
      <c r="A148" s="42"/>
      <c r="B148" s="42"/>
      <c r="C148" s="42"/>
      <c r="D148" s="42"/>
      <c r="E148" s="42"/>
      <c r="F148" s="49"/>
      <c r="G148" s="44"/>
      <c r="H148" s="34" t="str">
        <f>IF($A148="","",IF($E148="Percentuale",$F148*IFERROR(INDEX(SERVIZI!$Q:$Q,MATCH($B148,SERVIZI!$A:$A,0)),0),$G148))</f>
        <v/>
      </c>
      <c r="I148" s="42"/>
      <c r="J148" s="35" t="str">
        <f>IF($A148="","",IF($I148="",0,IFERROR(AVERAGEIFS(FASI!$L:$L,FASI!$B:$B,$B148,FASI!$D:$D,$I148),0)))</f>
        <v/>
      </c>
      <c r="K148" s="36" t="str">
        <f t="shared" si="8"/>
        <v/>
      </c>
      <c r="L148" s="43"/>
      <c r="M148" s="43"/>
      <c r="N148" s="42"/>
      <c r="O148" s="42"/>
      <c r="P148" s="43"/>
      <c r="Q148" s="33" t="str">
        <f t="shared" ca="1" si="9"/>
        <v/>
      </c>
      <c r="R148" s="42"/>
    </row>
    <row r="149" spans="1:18" x14ac:dyDescent="0.3">
      <c r="A149" s="42"/>
      <c r="B149" s="42"/>
      <c r="C149" s="42"/>
      <c r="D149" s="42"/>
      <c r="E149" s="42"/>
      <c r="F149" s="49"/>
      <c r="G149" s="44"/>
      <c r="H149" s="34" t="str">
        <f>IF($A149="","",IF($E149="Percentuale",$F149*IFERROR(INDEX(SERVIZI!$Q:$Q,MATCH($B149,SERVIZI!$A:$A,0)),0),$G149))</f>
        <v/>
      </c>
      <c r="I149" s="42"/>
      <c r="J149" s="35" t="str">
        <f>IF($A149="","",IF($I149="",0,IFERROR(AVERAGEIFS(FASI!$L:$L,FASI!$B:$B,$B149,FASI!$D:$D,$I149),0)))</f>
        <v/>
      </c>
      <c r="K149" s="36" t="str">
        <f t="shared" si="8"/>
        <v/>
      </c>
      <c r="L149" s="43"/>
      <c r="M149" s="43"/>
      <c r="N149" s="42"/>
      <c r="O149" s="42"/>
      <c r="P149" s="43"/>
      <c r="Q149" s="33" t="str">
        <f t="shared" ca="1" si="9"/>
        <v/>
      </c>
      <c r="R149" s="42"/>
    </row>
    <row r="150" spans="1:18" x14ac:dyDescent="0.3">
      <c r="A150" s="42"/>
      <c r="B150" s="42"/>
      <c r="C150" s="42"/>
      <c r="D150" s="42"/>
      <c r="E150" s="42"/>
      <c r="F150" s="49"/>
      <c r="G150" s="44"/>
      <c r="H150" s="34" t="str">
        <f>IF($A150="","",IF($E150="Percentuale",$F150*IFERROR(INDEX(SERVIZI!$Q:$Q,MATCH($B150,SERVIZI!$A:$A,0)),0),$G150))</f>
        <v/>
      </c>
      <c r="I150" s="42"/>
      <c r="J150" s="35" t="str">
        <f>IF($A150="","",IF($I150="",0,IFERROR(AVERAGEIFS(FASI!$L:$L,FASI!$B:$B,$B150,FASI!$D:$D,$I150),0)))</f>
        <v/>
      </c>
      <c r="K150" s="36" t="str">
        <f t="shared" si="8"/>
        <v/>
      </c>
      <c r="L150" s="43"/>
      <c r="M150" s="43"/>
      <c r="N150" s="42"/>
      <c r="O150" s="42"/>
      <c r="P150" s="43"/>
      <c r="Q150" s="33" t="str">
        <f t="shared" ca="1" si="9"/>
        <v/>
      </c>
      <c r="R150" s="42"/>
    </row>
    <row r="151" spans="1:18" x14ac:dyDescent="0.3">
      <c r="A151" s="42"/>
      <c r="B151" s="42"/>
      <c r="C151" s="42"/>
      <c r="D151" s="42"/>
      <c r="E151" s="42"/>
      <c r="F151" s="49"/>
      <c r="G151" s="44"/>
      <c r="H151" s="34" t="str">
        <f>IF($A151="","",IF($E151="Percentuale",$F151*IFERROR(INDEX(SERVIZI!$Q:$Q,MATCH($B151,SERVIZI!$A:$A,0)),0),$G151))</f>
        <v/>
      </c>
      <c r="I151" s="42"/>
      <c r="J151" s="35" t="str">
        <f>IF($A151="","",IF($I151="",0,IFERROR(AVERAGEIFS(FASI!$L:$L,FASI!$B:$B,$B151,FASI!$D:$D,$I151),0)))</f>
        <v/>
      </c>
      <c r="K151" s="36" t="str">
        <f t="shared" si="8"/>
        <v/>
      </c>
      <c r="L151" s="43"/>
      <c r="M151" s="43"/>
      <c r="N151" s="42"/>
      <c r="O151" s="42"/>
      <c r="P151" s="43"/>
      <c r="Q151" s="33" t="str">
        <f t="shared" ca="1" si="9"/>
        <v/>
      </c>
      <c r="R151" s="42"/>
    </row>
    <row r="152" spans="1:18" x14ac:dyDescent="0.3">
      <c r="A152" s="42"/>
      <c r="B152" s="42"/>
      <c r="C152" s="42"/>
      <c r="D152" s="42"/>
      <c r="E152" s="42"/>
      <c r="F152" s="49"/>
      <c r="G152" s="44"/>
      <c r="H152" s="34" t="str">
        <f>IF($A152="","",IF($E152="Percentuale",$F152*IFERROR(INDEX(SERVIZI!$Q:$Q,MATCH($B152,SERVIZI!$A:$A,0)),0),$G152))</f>
        <v/>
      </c>
      <c r="I152" s="42"/>
      <c r="J152" s="35" t="str">
        <f>IF($A152="","",IF($I152="",0,IFERROR(AVERAGEIFS(FASI!$L:$L,FASI!$B:$B,$B152,FASI!$D:$D,$I152),0)))</f>
        <v/>
      </c>
      <c r="K152" s="36" t="str">
        <f t="shared" si="8"/>
        <v/>
      </c>
      <c r="L152" s="43"/>
      <c r="M152" s="43"/>
      <c r="N152" s="42"/>
      <c r="O152" s="42"/>
      <c r="P152" s="43"/>
      <c r="Q152" s="33" t="str">
        <f t="shared" ca="1" si="9"/>
        <v/>
      </c>
      <c r="R152" s="42"/>
    </row>
    <row r="153" spans="1:18" x14ac:dyDescent="0.3">
      <c r="A153" s="42"/>
      <c r="B153" s="42"/>
      <c r="C153" s="42"/>
      <c r="D153" s="42"/>
      <c r="E153" s="42"/>
      <c r="F153" s="49"/>
      <c r="G153" s="44"/>
      <c r="H153" s="34" t="str">
        <f>IF($A153="","",IF($E153="Percentuale",$F153*IFERROR(INDEX(SERVIZI!$Q:$Q,MATCH($B153,SERVIZI!$A:$A,0)),0),$G153))</f>
        <v/>
      </c>
      <c r="I153" s="42"/>
      <c r="J153" s="35" t="str">
        <f>IF($A153="","",IF($I153="",0,IFERROR(AVERAGEIFS(FASI!$L:$L,FASI!$B:$B,$B153,FASI!$D:$D,$I153),0)))</f>
        <v/>
      </c>
      <c r="K153" s="36" t="str">
        <f t="shared" si="8"/>
        <v/>
      </c>
      <c r="L153" s="43"/>
      <c r="M153" s="43"/>
      <c r="N153" s="42"/>
      <c r="O153" s="42"/>
      <c r="P153" s="43"/>
      <c r="Q153" s="33" t="str">
        <f t="shared" ca="1" si="9"/>
        <v/>
      </c>
      <c r="R153" s="42"/>
    </row>
    <row r="154" spans="1:18" x14ac:dyDescent="0.3">
      <c r="A154" s="42"/>
      <c r="B154" s="42"/>
      <c r="C154" s="42"/>
      <c r="D154" s="42"/>
      <c r="E154" s="42"/>
      <c r="F154" s="49"/>
      <c r="G154" s="44"/>
      <c r="H154" s="34" t="str">
        <f>IF($A154="","",IF($E154="Percentuale",$F154*IFERROR(INDEX(SERVIZI!$Q:$Q,MATCH($B154,SERVIZI!$A:$A,0)),0),$G154))</f>
        <v/>
      </c>
      <c r="I154" s="42"/>
      <c r="J154" s="35" t="str">
        <f>IF($A154="","",IF($I154="",0,IFERROR(AVERAGEIFS(FASI!$L:$L,FASI!$B:$B,$B154,FASI!$D:$D,$I154),0)))</f>
        <v/>
      </c>
      <c r="K154" s="36" t="str">
        <f t="shared" si="8"/>
        <v/>
      </c>
      <c r="L154" s="43"/>
      <c r="M154" s="43"/>
      <c r="N154" s="42"/>
      <c r="O154" s="42"/>
      <c r="P154" s="43"/>
      <c r="Q154" s="33" t="str">
        <f t="shared" ca="1" si="9"/>
        <v/>
      </c>
      <c r="R154" s="42"/>
    </row>
    <row r="155" spans="1:18" x14ac:dyDescent="0.3">
      <c r="A155" s="42"/>
      <c r="B155" s="42"/>
      <c r="C155" s="42"/>
      <c r="D155" s="42"/>
      <c r="E155" s="42"/>
      <c r="F155" s="49"/>
      <c r="G155" s="44"/>
      <c r="H155" s="34" t="str">
        <f>IF($A155="","",IF($E155="Percentuale",$F155*IFERROR(INDEX(SERVIZI!$Q:$Q,MATCH($B155,SERVIZI!$A:$A,0)),0),$G155))</f>
        <v/>
      </c>
      <c r="I155" s="42"/>
      <c r="J155" s="35" t="str">
        <f>IF($A155="","",IF($I155="",0,IFERROR(AVERAGEIFS(FASI!$L:$L,FASI!$B:$B,$B155,FASI!$D:$D,$I155),0)))</f>
        <v/>
      </c>
      <c r="K155" s="36" t="str">
        <f t="shared" si="8"/>
        <v/>
      </c>
      <c r="L155" s="43"/>
      <c r="M155" s="43"/>
      <c r="N155" s="42"/>
      <c r="O155" s="42"/>
      <c r="P155" s="43"/>
      <c r="Q155" s="33" t="str">
        <f t="shared" ca="1" si="9"/>
        <v/>
      </c>
      <c r="R155" s="42"/>
    </row>
    <row r="156" spans="1:18" x14ac:dyDescent="0.3">
      <c r="A156" s="42"/>
      <c r="B156" s="42"/>
      <c r="C156" s="42"/>
      <c r="D156" s="42"/>
      <c r="E156" s="42"/>
      <c r="F156" s="49"/>
      <c r="G156" s="44"/>
      <c r="H156" s="34" t="str">
        <f>IF($A156="","",IF($E156="Percentuale",$F156*IFERROR(INDEX(SERVIZI!$Q:$Q,MATCH($B156,SERVIZI!$A:$A,0)),0),$G156))</f>
        <v/>
      </c>
      <c r="I156" s="42"/>
      <c r="J156" s="35" t="str">
        <f>IF($A156="","",IF($I156="",0,IFERROR(AVERAGEIFS(FASI!$L:$L,FASI!$B:$B,$B156,FASI!$D:$D,$I156),0)))</f>
        <v/>
      </c>
      <c r="K156" s="36" t="str">
        <f t="shared" si="8"/>
        <v/>
      </c>
      <c r="L156" s="43"/>
      <c r="M156" s="43"/>
      <c r="N156" s="42"/>
      <c r="O156" s="42"/>
      <c r="P156" s="43"/>
      <c r="Q156" s="33" t="str">
        <f t="shared" ca="1" si="9"/>
        <v/>
      </c>
      <c r="R156" s="42"/>
    </row>
    <row r="157" spans="1:18" x14ac:dyDescent="0.3">
      <c r="A157" s="42"/>
      <c r="B157" s="42"/>
      <c r="C157" s="42"/>
      <c r="D157" s="42"/>
      <c r="E157" s="42"/>
      <c r="F157" s="49"/>
      <c r="G157" s="44"/>
      <c r="H157" s="34" t="str">
        <f>IF($A157="","",IF($E157="Percentuale",$F157*IFERROR(INDEX(SERVIZI!$Q:$Q,MATCH($B157,SERVIZI!$A:$A,0)),0),$G157))</f>
        <v/>
      </c>
      <c r="I157" s="42"/>
      <c r="J157" s="35" t="str">
        <f>IF($A157="","",IF($I157="",0,IFERROR(AVERAGEIFS(FASI!$L:$L,FASI!$B:$B,$B157,FASI!$D:$D,$I157),0)))</f>
        <v/>
      </c>
      <c r="K157" s="36" t="str">
        <f t="shared" si="8"/>
        <v/>
      </c>
      <c r="L157" s="43"/>
      <c r="M157" s="43"/>
      <c r="N157" s="42"/>
      <c r="O157" s="42"/>
      <c r="P157" s="43"/>
      <c r="Q157" s="33" t="str">
        <f t="shared" ca="1" si="9"/>
        <v/>
      </c>
      <c r="R157" s="42"/>
    </row>
    <row r="158" spans="1:18" x14ac:dyDescent="0.3">
      <c r="A158" s="42"/>
      <c r="B158" s="42"/>
      <c r="C158" s="42"/>
      <c r="D158" s="42"/>
      <c r="E158" s="42"/>
      <c r="F158" s="49"/>
      <c r="G158" s="44"/>
      <c r="H158" s="34" t="str">
        <f>IF($A158="","",IF($E158="Percentuale",$F158*IFERROR(INDEX(SERVIZI!$Q:$Q,MATCH($B158,SERVIZI!$A:$A,0)),0),$G158))</f>
        <v/>
      </c>
      <c r="I158" s="42"/>
      <c r="J158" s="35" t="str">
        <f>IF($A158="","",IF($I158="",0,IFERROR(AVERAGEIFS(FASI!$L:$L,FASI!$B:$B,$B158,FASI!$D:$D,$I158),0)))</f>
        <v/>
      </c>
      <c r="K158" s="36" t="str">
        <f t="shared" si="8"/>
        <v/>
      </c>
      <c r="L158" s="43"/>
      <c r="M158" s="43"/>
      <c r="N158" s="42"/>
      <c r="O158" s="42"/>
      <c r="P158" s="43"/>
      <c r="Q158" s="33" t="str">
        <f t="shared" ca="1" si="9"/>
        <v/>
      </c>
      <c r="R158" s="42"/>
    </row>
    <row r="159" spans="1:18" x14ac:dyDescent="0.3">
      <c r="A159" s="42"/>
      <c r="B159" s="42"/>
      <c r="C159" s="42"/>
      <c r="D159" s="42"/>
      <c r="E159" s="42"/>
      <c r="F159" s="49"/>
      <c r="G159" s="44"/>
      <c r="H159" s="34" t="str">
        <f>IF($A159="","",IF($E159="Percentuale",$F159*IFERROR(INDEX(SERVIZI!$Q:$Q,MATCH($B159,SERVIZI!$A:$A,0)),0),$G159))</f>
        <v/>
      </c>
      <c r="I159" s="42"/>
      <c r="J159" s="35" t="str">
        <f>IF($A159="","",IF($I159="",0,IFERROR(AVERAGEIFS(FASI!$L:$L,FASI!$B:$B,$B159,FASI!$D:$D,$I159),0)))</f>
        <v/>
      </c>
      <c r="K159" s="36" t="str">
        <f t="shared" si="8"/>
        <v/>
      </c>
      <c r="L159" s="43"/>
      <c r="M159" s="43"/>
      <c r="N159" s="42"/>
      <c r="O159" s="42"/>
      <c r="P159" s="43"/>
      <c r="Q159" s="33" t="str">
        <f t="shared" ca="1" si="9"/>
        <v/>
      </c>
      <c r="R159" s="42"/>
    </row>
    <row r="160" spans="1:18" x14ac:dyDescent="0.3">
      <c r="A160" s="42"/>
      <c r="B160" s="42"/>
      <c r="C160" s="42"/>
      <c r="D160" s="42"/>
      <c r="E160" s="42"/>
      <c r="F160" s="49"/>
      <c r="G160" s="44"/>
      <c r="H160" s="34" t="str">
        <f>IF($A160="","",IF($E160="Percentuale",$F160*IFERROR(INDEX(SERVIZI!$Q:$Q,MATCH($B160,SERVIZI!$A:$A,0)),0),$G160))</f>
        <v/>
      </c>
      <c r="I160" s="42"/>
      <c r="J160" s="35" t="str">
        <f>IF($A160="","",IF($I160="",0,IFERROR(AVERAGEIFS(FASI!$L:$L,FASI!$B:$B,$B160,FASI!$D:$D,$I160),0)))</f>
        <v/>
      </c>
      <c r="K160" s="36" t="str">
        <f t="shared" si="8"/>
        <v/>
      </c>
      <c r="L160" s="43"/>
      <c r="M160" s="43"/>
      <c r="N160" s="42"/>
      <c r="O160" s="42"/>
      <c r="P160" s="43"/>
      <c r="Q160" s="33" t="str">
        <f t="shared" ca="1" si="9"/>
        <v/>
      </c>
      <c r="R160" s="42"/>
    </row>
    <row r="161" spans="1:18" x14ac:dyDescent="0.3">
      <c r="A161" s="42"/>
      <c r="B161" s="42"/>
      <c r="C161" s="42"/>
      <c r="D161" s="42"/>
      <c r="E161" s="42"/>
      <c r="F161" s="49"/>
      <c r="G161" s="44"/>
      <c r="H161" s="34" t="str">
        <f>IF($A161="","",IF($E161="Percentuale",$F161*IFERROR(INDEX(SERVIZI!$Q:$Q,MATCH($B161,SERVIZI!$A:$A,0)),0),$G161))</f>
        <v/>
      </c>
      <c r="I161" s="42"/>
      <c r="J161" s="35" t="str">
        <f>IF($A161="","",IF($I161="",0,IFERROR(AVERAGEIFS(FASI!$L:$L,FASI!$B:$B,$B161,FASI!$D:$D,$I161),0)))</f>
        <v/>
      </c>
      <c r="K161" s="36" t="str">
        <f t="shared" si="8"/>
        <v/>
      </c>
      <c r="L161" s="43"/>
      <c r="M161" s="43"/>
      <c r="N161" s="42"/>
      <c r="O161" s="42"/>
      <c r="P161" s="43"/>
      <c r="Q161" s="33" t="str">
        <f t="shared" ca="1" si="9"/>
        <v/>
      </c>
      <c r="R161" s="42"/>
    </row>
    <row r="162" spans="1:18" x14ac:dyDescent="0.3">
      <c r="A162" s="42"/>
      <c r="B162" s="42"/>
      <c r="C162" s="42"/>
      <c r="D162" s="42"/>
      <c r="E162" s="42"/>
      <c r="F162" s="49"/>
      <c r="G162" s="44"/>
      <c r="H162" s="34" t="str">
        <f>IF($A162="","",IF($E162="Percentuale",$F162*IFERROR(INDEX(SERVIZI!$Q:$Q,MATCH($B162,SERVIZI!$A:$A,0)),0),$G162))</f>
        <v/>
      </c>
      <c r="I162" s="42"/>
      <c r="J162" s="35" t="str">
        <f>IF($A162="","",IF($I162="",0,IFERROR(AVERAGEIFS(FASI!$L:$L,FASI!$B:$B,$B162,FASI!$D:$D,$I162),0)))</f>
        <v/>
      </c>
      <c r="K162" s="36" t="str">
        <f t="shared" ref="K162:K193" si="10">IF($A162="","",IF($M162&lt;&gt;"","Fattura emessa",IF(AND($I162&lt;&gt;"",$J162&gt;=1),"EMETTIBILE","In attesa")))</f>
        <v/>
      </c>
      <c r="L162" s="43"/>
      <c r="M162" s="43"/>
      <c r="N162" s="42"/>
      <c r="O162" s="42"/>
      <c r="P162" s="43"/>
      <c r="Q162" s="33" t="str">
        <f t="shared" ref="Q162:Q193" ca="1" si="11">IF($A162="","",IF(AND($M162&lt;&gt;"",$P162="",$M162+GIORNI_PAG&lt;TODAY()),TODAY()-$M162,0))</f>
        <v/>
      </c>
      <c r="R162" s="42"/>
    </row>
    <row r="163" spans="1:18" x14ac:dyDescent="0.3">
      <c r="A163" s="42"/>
      <c r="B163" s="42"/>
      <c r="C163" s="42"/>
      <c r="D163" s="42"/>
      <c r="E163" s="42"/>
      <c r="F163" s="49"/>
      <c r="G163" s="44"/>
      <c r="H163" s="34" t="str">
        <f>IF($A163="","",IF($E163="Percentuale",$F163*IFERROR(INDEX(SERVIZI!$Q:$Q,MATCH($B163,SERVIZI!$A:$A,0)),0),$G163))</f>
        <v/>
      </c>
      <c r="I163" s="42"/>
      <c r="J163" s="35" t="str">
        <f>IF($A163="","",IF($I163="",0,IFERROR(AVERAGEIFS(FASI!$L:$L,FASI!$B:$B,$B163,FASI!$D:$D,$I163),0)))</f>
        <v/>
      </c>
      <c r="K163" s="36" t="str">
        <f t="shared" si="10"/>
        <v/>
      </c>
      <c r="L163" s="43"/>
      <c r="M163" s="43"/>
      <c r="N163" s="42"/>
      <c r="O163" s="42"/>
      <c r="P163" s="43"/>
      <c r="Q163" s="33" t="str">
        <f t="shared" ca="1" si="11"/>
        <v/>
      </c>
      <c r="R163" s="42"/>
    </row>
    <row r="164" spans="1:18" x14ac:dyDescent="0.3">
      <c r="A164" s="42"/>
      <c r="B164" s="42"/>
      <c r="C164" s="42"/>
      <c r="D164" s="42"/>
      <c r="E164" s="42"/>
      <c r="F164" s="49"/>
      <c r="G164" s="44"/>
      <c r="H164" s="34" t="str">
        <f>IF($A164="","",IF($E164="Percentuale",$F164*IFERROR(INDEX(SERVIZI!$Q:$Q,MATCH($B164,SERVIZI!$A:$A,0)),0),$G164))</f>
        <v/>
      </c>
      <c r="I164" s="42"/>
      <c r="J164" s="35" t="str">
        <f>IF($A164="","",IF($I164="",0,IFERROR(AVERAGEIFS(FASI!$L:$L,FASI!$B:$B,$B164,FASI!$D:$D,$I164),0)))</f>
        <v/>
      </c>
      <c r="K164" s="36" t="str">
        <f t="shared" si="10"/>
        <v/>
      </c>
      <c r="L164" s="43"/>
      <c r="M164" s="43"/>
      <c r="N164" s="42"/>
      <c r="O164" s="42"/>
      <c r="P164" s="43"/>
      <c r="Q164" s="33" t="str">
        <f t="shared" ca="1" si="11"/>
        <v/>
      </c>
      <c r="R164" s="42"/>
    </row>
    <row r="165" spans="1:18" x14ac:dyDescent="0.3">
      <c r="A165" s="42"/>
      <c r="B165" s="42"/>
      <c r="C165" s="42"/>
      <c r="D165" s="42"/>
      <c r="E165" s="42"/>
      <c r="F165" s="49"/>
      <c r="G165" s="44"/>
      <c r="H165" s="34" t="str">
        <f>IF($A165="","",IF($E165="Percentuale",$F165*IFERROR(INDEX(SERVIZI!$Q:$Q,MATCH($B165,SERVIZI!$A:$A,0)),0),$G165))</f>
        <v/>
      </c>
      <c r="I165" s="42"/>
      <c r="J165" s="35" t="str">
        <f>IF($A165="","",IF($I165="",0,IFERROR(AVERAGEIFS(FASI!$L:$L,FASI!$B:$B,$B165,FASI!$D:$D,$I165),0)))</f>
        <v/>
      </c>
      <c r="K165" s="36" t="str">
        <f t="shared" si="10"/>
        <v/>
      </c>
      <c r="L165" s="43"/>
      <c r="M165" s="43"/>
      <c r="N165" s="42"/>
      <c r="O165" s="42"/>
      <c r="P165" s="43"/>
      <c r="Q165" s="33" t="str">
        <f t="shared" ca="1" si="11"/>
        <v/>
      </c>
      <c r="R165" s="42"/>
    </row>
    <row r="166" spans="1:18" x14ac:dyDescent="0.3">
      <c r="A166" s="42"/>
      <c r="B166" s="42"/>
      <c r="C166" s="42"/>
      <c r="D166" s="42"/>
      <c r="E166" s="42"/>
      <c r="F166" s="49"/>
      <c r="G166" s="44"/>
      <c r="H166" s="34" t="str">
        <f>IF($A166="","",IF($E166="Percentuale",$F166*IFERROR(INDEX(SERVIZI!$Q:$Q,MATCH($B166,SERVIZI!$A:$A,0)),0),$G166))</f>
        <v/>
      </c>
      <c r="I166" s="42"/>
      <c r="J166" s="35" t="str">
        <f>IF($A166="","",IF($I166="",0,IFERROR(AVERAGEIFS(FASI!$L:$L,FASI!$B:$B,$B166,FASI!$D:$D,$I166),0)))</f>
        <v/>
      </c>
      <c r="K166" s="36" t="str">
        <f t="shared" si="10"/>
        <v/>
      </c>
      <c r="L166" s="43"/>
      <c r="M166" s="43"/>
      <c r="N166" s="42"/>
      <c r="O166" s="42"/>
      <c r="P166" s="43"/>
      <c r="Q166" s="33" t="str">
        <f t="shared" ca="1" si="11"/>
        <v/>
      </c>
      <c r="R166" s="42"/>
    </row>
    <row r="167" spans="1:18" x14ac:dyDescent="0.3">
      <c r="A167" s="42"/>
      <c r="B167" s="42"/>
      <c r="C167" s="42"/>
      <c r="D167" s="42"/>
      <c r="E167" s="42"/>
      <c r="F167" s="49"/>
      <c r="G167" s="44"/>
      <c r="H167" s="34" t="str">
        <f>IF($A167="","",IF($E167="Percentuale",$F167*IFERROR(INDEX(SERVIZI!$Q:$Q,MATCH($B167,SERVIZI!$A:$A,0)),0),$G167))</f>
        <v/>
      </c>
      <c r="I167" s="42"/>
      <c r="J167" s="35" t="str">
        <f>IF($A167="","",IF($I167="",0,IFERROR(AVERAGEIFS(FASI!$L:$L,FASI!$B:$B,$B167,FASI!$D:$D,$I167),0)))</f>
        <v/>
      </c>
      <c r="K167" s="36" t="str">
        <f t="shared" si="10"/>
        <v/>
      </c>
      <c r="L167" s="43"/>
      <c r="M167" s="43"/>
      <c r="N167" s="42"/>
      <c r="O167" s="42"/>
      <c r="P167" s="43"/>
      <c r="Q167" s="33" t="str">
        <f t="shared" ca="1" si="11"/>
        <v/>
      </c>
      <c r="R167" s="42"/>
    </row>
    <row r="168" spans="1:18" x14ac:dyDescent="0.3">
      <c r="A168" s="42"/>
      <c r="B168" s="42"/>
      <c r="C168" s="42"/>
      <c r="D168" s="42"/>
      <c r="E168" s="42"/>
      <c r="F168" s="49"/>
      <c r="G168" s="44"/>
      <c r="H168" s="34" t="str">
        <f>IF($A168="","",IF($E168="Percentuale",$F168*IFERROR(INDEX(SERVIZI!$Q:$Q,MATCH($B168,SERVIZI!$A:$A,0)),0),$G168))</f>
        <v/>
      </c>
      <c r="I168" s="42"/>
      <c r="J168" s="35" t="str">
        <f>IF($A168="","",IF($I168="",0,IFERROR(AVERAGEIFS(FASI!$L:$L,FASI!$B:$B,$B168,FASI!$D:$D,$I168),0)))</f>
        <v/>
      </c>
      <c r="K168" s="36" t="str">
        <f t="shared" si="10"/>
        <v/>
      </c>
      <c r="L168" s="43"/>
      <c r="M168" s="43"/>
      <c r="N168" s="42"/>
      <c r="O168" s="42"/>
      <c r="P168" s="43"/>
      <c r="Q168" s="33" t="str">
        <f t="shared" ca="1" si="11"/>
        <v/>
      </c>
      <c r="R168" s="42"/>
    </row>
    <row r="169" spans="1:18" x14ac:dyDescent="0.3">
      <c r="A169" s="42"/>
      <c r="B169" s="42"/>
      <c r="C169" s="42"/>
      <c r="D169" s="42"/>
      <c r="E169" s="42"/>
      <c r="F169" s="49"/>
      <c r="G169" s="44"/>
      <c r="H169" s="34" t="str">
        <f>IF($A169="","",IF($E169="Percentuale",$F169*IFERROR(INDEX(SERVIZI!$Q:$Q,MATCH($B169,SERVIZI!$A:$A,0)),0),$G169))</f>
        <v/>
      </c>
      <c r="I169" s="42"/>
      <c r="J169" s="35" t="str">
        <f>IF($A169="","",IF($I169="",0,IFERROR(AVERAGEIFS(FASI!$L:$L,FASI!$B:$B,$B169,FASI!$D:$D,$I169),0)))</f>
        <v/>
      </c>
      <c r="K169" s="36" t="str">
        <f t="shared" si="10"/>
        <v/>
      </c>
      <c r="L169" s="43"/>
      <c r="M169" s="43"/>
      <c r="N169" s="42"/>
      <c r="O169" s="42"/>
      <c r="P169" s="43"/>
      <c r="Q169" s="33" t="str">
        <f t="shared" ca="1" si="11"/>
        <v/>
      </c>
      <c r="R169" s="42"/>
    </row>
    <row r="170" spans="1:18" x14ac:dyDescent="0.3">
      <c r="A170" s="42"/>
      <c r="B170" s="42"/>
      <c r="C170" s="42"/>
      <c r="D170" s="42"/>
      <c r="E170" s="42"/>
      <c r="F170" s="49"/>
      <c r="G170" s="44"/>
      <c r="H170" s="34" t="str">
        <f>IF($A170="","",IF($E170="Percentuale",$F170*IFERROR(INDEX(SERVIZI!$Q:$Q,MATCH($B170,SERVIZI!$A:$A,0)),0),$G170))</f>
        <v/>
      </c>
      <c r="I170" s="42"/>
      <c r="J170" s="35" t="str">
        <f>IF($A170="","",IF($I170="",0,IFERROR(AVERAGEIFS(FASI!$L:$L,FASI!$B:$B,$B170,FASI!$D:$D,$I170),0)))</f>
        <v/>
      </c>
      <c r="K170" s="36" t="str">
        <f t="shared" si="10"/>
        <v/>
      </c>
      <c r="L170" s="43"/>
      <c r="M170" s="43"/>
      <c r="N170" s="42"/>
      <c r="O170" s="42"/>
      <c r="P170" s="43"/>
      <c r="Q170" s="33" t="str">
        <f t="shared" ca="1" si="11"/>
        <v/>
      </c>
      <c r="R170" s="42"/>
    </row>
    <row r="171" spans="1:18" x14ac:dyDescent="0.3">
      <c r="A171" s="42"/>
      <c r="B171" s="42"/>
      <c r="C171" s="42"/>
      <c r="D171" s="42"/>
      <c r="E171" s="42"/>
      <c r="F171" s="49"/>
      <c r="G171" s="44"/>
      <c r="H171" s="34" t="str">
        <f>IF($A171="","",IF($E171="Percentuale",$F171*IFERROR(INDEX(SERVIZI!$Q:$Q,MATCH($B171,SERVIZI!$A:$A,0)),0),$G171))</f>
        <v/>
      </c>
      <c r="I171" s="42"/>
      <c r="J171" s="35" t="str">
        <f>IF($A171="","",IF($I171="",0,IFERROR(AVERAGEIFS(FASI!$L:$L,FASI!$B:$B,$B171,FASI!$D:$D,$I171),0)))</f>
        <v/>
      </c>
      <c r="K171" s="36" t="str">
        <f t="shared" si="10"/>
        <v/>
      </c>
      <c r="L171" s="43"/>
      <c r="M171" s="43"/>
      <c r="N171" s="42"/>
      <c r="O171" s="42"/>
      <c r="P171" s="43"/>
      <c r="Q171" s="33" t="str">
        <f t="shared" ca="1" si="11"/>
        <v/>
      </c>
      <c r="R171" s="42"/>
    </row>
    <row r="172" spans="1:18" x14ac:dyDescent="0.3">
      <c r="A172" s="42"/>
      <c r="B172" s="42"/>
      <c r="C172" s="42"/>
      <c r="D172" s="42"/>
      <c r="E172" s="42"/>
      <c r="F172" s="49"/>
      <c r="G172" s="44"/>
      <c r="H172" s="34" t="str">
        <f>IF($A172="","",IF($E172="Percentuale",$F172*IFERROR(INDEX(SERVIZI!$Q:$Q,MATCH($B172,SERVIZI!$A:$A,0)),0),$G172))</f>
        <v/>
      </c>
      <c r="I172" s="42"/>
      <c r="J172" s="35" t="str">
        <f>IF($A172="","",IF($I172="",0,IFERROR(AVERAGEIFS(FASI!$L:$L,FASI!$B:$B,$B172,FASI!$D:$D,$I172),0)))</f>
        <v/>
      </c>
      <c r="K172" s="36" t="str">
        <f t="shared" si="10"/>
        <v/>
      </c>
      <c r="L172" s="43"/>
      <c r="M172" s="43"/>
      <c r="N172" s="42"/>
      <c r="O172" s="42"/>
      <c r="P172" s="43"/>
      <c r="Q172" s="33" t="str">
        <f t="shared" ca="1" si="11"/>
        <v/>
      </c>
      <c r="R172" s="42"/>
    </row>
    <row r="173" spans="1:18" x14ac:dyDescent="0.3">
      <c r="A173" s="42"/>
      <c r="B173" s="42"/>
      <c r="C173" s="42"/>
      <c r="D173" s="42"/>
      <c r="E173" s="42"/>
      <c r="F173" s="49"/>
      <c r="G173" s="44"/>
      <c r="H173" s="34" t="str">
        <f>IF($A173="","",IF($E173="Percentuale",$F173*IFERROR(INDEX(SERVIZI!$Q:$Q,MATCH($B173,SERVIZI!$A:$A,0)),0),$G173))</f>
        <v/>
      </c>
      <c r="I173" s="42"/>
      <c r="J173" s="35" t="str">
        <f>IF($A173="","",IF($I173="",0,IFERROR(AVERAGEIFS(FASI!$L:$L,FASI!$B:$B,$B173,FASI!$D:$D,$I173),0)))</f>
        <v/>
      </c>
      <c r="K173" s="36" t="str">
        <f t="shared" si="10"/>
        <v/>
      </c>
      <c r="L173" s="43"/>
      <c r="M173" s="43"/>
      <c r="N173" s="42"/>
      <c r="O173" s="42"/>
      <c r="P173" s="43"/>
      <c r="Q173" s="33" t="str">
        <f t="shared" ca="1" si="11"/>
        <v/>
      </c>
      <c r="R173" s="42"/>
    </row>
    <row r="174" spans="1:18" x14ac:dyDescent="0.3">
      <c r="A174" s="42"/>
      <c r="B174" s="42"/>
      <c r="C174" s="42"/>
      <c r="D174" s="42"/>
      <c r="E174" s="42"/>
      <c r="F174" s="49"/>
      <c r="G174" s="44"/>
      <c r="H174" s="34" t="str">
        <f>IF($A174="","",IF($E174="Percentuale",$F174*IFERROR(INDEX(SERVIZI!$Q:$Q,MATCH($B174,SERVIZI!$A:$A,0)),0),$G174))</f>
        <v/>
      </c>
      <c r="I174" s="42"/>
      <c r="J174" s="35" t="str">
        <f>IF($A174="","",IF($I174="",0,IFERROR(AVERAGEIFS(FASI!$L:$L,FASI!$B:$B,$B174,FASI!$D:$D,$I174),0)))</f>
        <v/>
      </c>
      <c r="K174" s="36" t="str">
        <f t="shared" si="10"/>
        <v/>
      </c>
      <c r="L174" s="43"/>
      <c r="M174" s="43"/>
      <c r="N174" s="42"/>
      <c r="O174" s="42"/>
      <c r="P174" s="43"/>
      <c r="Q174" s="33" t="str">
        <f t="shared" ca="1" si="11"/>
        <v/>
      </c>
      <c r="R174" s="42"/>
    </row>
    <row r="175" spans="1:18" x14ac:dyDescent="0.3">
      <c r="A175" s="42"/>
      <c r="B175" s="42"/>
      <c r="C175" s="42"/>
      <c r="D175" s="42"/>
      <c r="E175" s="42"/>
      <c r="F175" s="49"/>
      <c r="G175" s="44"/>
      <c r="H175" s="34" t="str">
        <f>IF($A175="","",IF($E175="Percentuale",$F175*IFERROR(INDEX(SERVIZI!$Q:$Q,MATCH($B175,SERVIZI!$A:$A,0)),0),$G175))</f>
        <v/>
      </c>
      <c r="I175" s="42"/>
      <c r="J175" s="35" t="str">
        <f>IF($A175="","",IF($I175="",0,IFERROR(AVERAGEIFS(FASI!$L:$L,FASI!$B:$B,$B175,FASI!$D:$D,$I175),0)))</f>
        <v/>
      </c>
      <c r="K175" s="36" t="str">
        <f t="shared" si="10"/>
        <v/>
      </c>
      <c r="L175" s="43"/>
      <c r="M175" s="43"/>
      <c r="N175" s="42"/>
      <c r="O175" s="42"/>
      <c r="P175" s="43"/>
      <c r="Q175" s="33" t="str">
        <f t="shared" ca="1" si="11"/>
        <v/>
      </c>
      <c r="R175" s="42"/>
    </row>
    <row r="176" spans="1:18" x14ac:dyDescent="0.3">
      <c r="A176" s="42"/>
      <c r="B176" s="42"/>
      <c r="C176" s="42"/>
      <c r="D176" s="42"/>
      <c r="E176" s="42"/>
      <c r="F176" s="49"/>
      <c r="G176" s="44"/>
      <c r="H176" s="34" t="str">
        <f>IF($A176="","",IF($E176="Percentuale",$F176*IFERROR(INDEX(SERVIZI!$Q:$Q,MATCH($B176,SERVIZI!$A:$A,0)),0),$G176))</f>
        <v/>
      </c>
      <c r="I176" s="42"/>
      <c r="J176" s="35" t="str">
        <f>IF($A176="","",IF($I176="",0,IFERROR(AVERAGEIFS(FASI!$L:$L,FASI!$B:$B,$B176,FASI!$D:$D,$I176),0)))</f>
        <v/>
      </c>
      <c r="K176" s="36" t="str">
        <f t="shared" si="10"/>
        <v/>
      </c>
      <c r="L176" s="43"/>
      <c r="M176" s="43"/>
      <c r="N176" s="42"/>
      <c r="O176" s="42"/>
      <c r="P176" s="43"/>
      <c r="Q176" s="33" t="str">
        <f t="shared" ca="1" si="11"/>
        <v/>
      </c>
      <c r="R176" s="42"/>
    </row>
    <row r="177" spans="1:18" x14ac:dyDescent="0.3">
      <c r="A177" s="42"/>
      <c r="B177" s="42"/>
      <c r="C177" s="42"/>
      <c r="D177" s="42"/>
      <c r="E177" s="42"/>
      <c r="F177" s="49"/>
      <c r="G177" s="44"/>
      <c r="H177" s="34" t="str">
        <f>IF($A177="","",IF($E177="Percentuale",$F177*IFERROR(INDEX(SERVIZI!$Q:$Q,MATCH($B177,SERVIZI!$A:$A,0)),0),$G177))</f>
        <v/>
      </c>
      <c r="I177" s="42"/>
      <c r="J177" s="35" t="str">
        <f>IF($A177="","",IF($I177="",0,IFERROR(AVERAGEIFS(FASI!$L:$L,FASI!$B:$B,$B177,FASI!$D:$D,$I177),0)))</f>
        <v/>
      </c>
      <c r="K177" s="36" t="str">
        <f t="shared" si="10"/>
        <v/>
      </c>
      <c r="L177" s="43"/>
      <c r="M177" s="43"/>
      <c r="N177" s="42"/>
      <c r="O177" s="42"/>
      <c r="P177" s="43"/>
      <c r="Q177" s="33" t="str">
        <f t="shared" ca="1" si="11"/>
        <v/>
      </c>
      <c r="R177" s="42"/>
    </row>
    <row r="178" spans="1:18" x14ac:dyDescent="0.3">
      <c r="A178" s="42"/>
      <c r="B178" s="42"/>
      <c r="C178" s="42"/>
      <c r="D178" s="42"/>
      <c r="E178" s="42"/>
      <c r="F178" s="49"/>
      <c r="G178" s="44"/>
      <c r="H178" s="34" t="str">
        <f>IF($A178="","",IF($E178="Percentuale",$F178*IFERROR(INDEX(SERVIZI!$Q:$Q,MATCH($B178,SERVIZI!$A:$A,0)),0),$G178))</f>
        <v/>
      </c>
      <c r="I178" s="42"/>
      <c r="J178" s="35" t="str">
        <f>IF($A178="","",IF($I178="",0,IFERROR(AVERAGEIFS(FASI!$L:$L,FASI!$B:$B,$B178,FASI!$D:$D,$I178),0)))</f>
        <v/>
      </c>
      <c r="K178" s="36" t="str">
        <f t="shared" si="10"/>
        <v/>
      </c>
      <c r="L178" s="43"/>
      <c r="M178" s="43"/>
      <c r="N178" s="42"/>
      <c r="O178" s="42"/>
      <c r="P178" s="43"/>
      <c r="Q178" s="33" t="str">
        <f t="shared" ca="1" si="11"/>
        <v/>
      </c>
      <c r="R178" s="42"/>
    </row>
    <row r="179" spans="1:18" x14ac:dyDescent="0.3">
      <c r="A179" s="42"/>
      <c r="B179" s="42"/>
      <c r="C179" s="42"/>
      <c r="D179" s="42"/>
      <c r="E179" s="42"/>
      <c r="F179" s="49"/>
      <c r="G179" s="44"/>
      <c r="H179" s="34" t="str">
        <f>IF($A179="","",IF($E179="Percentuale",$F179*IFERROR(INDEX(SERVIZI!$Q:$Q,MATCH($B179,SERVIZI!$A:$A,0)),0),$G179))</f>
        <v/>
      </c>
      <c r="I179" s="42"/>
      <c r="J179" s="35" t="str">
        <f>IF($A179="","",IF($I179="",0,IFERROR(AVERAGEIFS(FASI!$L:$L,FASI!$B:$B,$B179,FASI!$D:$D,$I179),0)))</f>
        <v/>
      </c>
      <c r="K179" s="36" t="str">
        <f t="shared" si="10"/>
        <v/>
      </c>
      <c r="L179" s="43"/>
      <c r="M179" s="43"/>
      <c r="N179" s="42"/>
      <c r="O179" s="42"/>
      <c r="P179" s="43"/>
      <c r="Q179" s="33" t="str">
        <f t="shared" ca="1" si="11"/>
        <v/>
      </c>
      <c r="R179" s="42"/>
    </row>
    <row r="180" spans="1:18" x14ac:dyDescent="0.3">
      <c r="A180" s="42"/>
      <c r="B180" s="42"/>
      <c r="C180" s="42"/>
      <c r="D180" s="42"/>
      <c r="E180" s="42"/>
      <c r="F180" s="49"/>
      <c r="G180" s="44"/>
      <c r="H180" s="34" t="str">
        <f>IF($A180="","",IF($E180="Percentuale",$F180*IFERROR(INDEX(SERVIZI!$Q:$Q,MATCH($B180,SERVIZI!$A:$A,0)),0),$G180))</f>
        <v/>
      </c>
      <c r="I180" s="42"/>
      <c r="J180" s="35" t="str">
        <f>IF($A180="","",IF($I180="",0,IFERROR(AVERAGEIFS(FASI!$L:$L,FASI!$B:$B,$B180,FASI!$D:$D,$I180),0)))</f>
        <v/>
      </c>
      <c r="K180" s="36" t="str">
        <f t="shared" si="10"/>
        <v/>
      </c>
      <c r="L180" s="43"/>
      <c r="M180" s="43"/>
      <c r="N180" s="42"/>
      <c r="O180" s="42"/>
      <c r="P180" s="43"/>
      <c r="Q180" s="33" t="str">
        <f t="shared" ca="1" si="11"/>
        <v/>
      </c>
      <c r="R180" s="42"/>
    </row>
    <row r="181" spans="1:18" x14ac:dyDescent="0.3">
      <c r="A181" s="42"/>
      <c r="B181" s="42"/>
      <c r="C181" s="42"/>
      <c r="D181" s="42"/>
      <c r="E181" s="42"/>
      <c r="F181" s="49"/>
      <c r="G181" s="44"/>
      <c r="H181" s="34" t="str">
        <f>IF($A181="","",IF($E181="Percentuale",$F181*IFERROR(INDEX(SERVIZI!$Q:$Q,MATCH($B181,SERVIZI!$A:$A,0)),0),$G181))</f>
        <v/>
      </c>
      <c r="I181" s="42"/>
      <c r="J181" s="35" t="str">
        <f>IF($A181="","",IF($I181="",0,IFERROR(AVERAGEIFS(FASI!$L:$L,FASI!$B:$B,$B181,FASI!$D:$D,$I181),0)))</f>
        <v/>
      </c>
      <c r="K181" s="36" t="str">
        <f t="shared" si="10"/>
        <v/>
      </c>
      <c r="L181" s="43"/>
      <c r="M181" s="43"/>
      <c r="N181" s="42"/>
      <c r="O181" s="42"/>
      <c r="P181" s="43"/>
      <c r="Q181" s="33" t="str">
        <f t="shared" ca="1" si="11"/>
        <v/>
      </c>
      <c r="R181" s="42"/>
    </row>
    <row r="182" spans="1:18" x14ac:dyDescent="0.3">
      <c r="A182" s="42"/>
      <c r="B182" s="42"/>
      <c r="C182" s="42"/>
      <c r="D182" s="42"/>
      <c r="E182" s="42"/>
      <c r="F182" s="49"/>
      <c r="G182" s="44"/>
      <c r="H182" s="34" t="str">
        <f>IF($A182="","",IF($E182="Percentuale",$F182*IFERROR(INDEX(SERVIZI!$Q:$Q,MATCH($B182,SERVIZI!$A:$A,0)),0),$G182))</f>
        <v/>
      </c>
      <c r="I182" s="42"/>
      <c r="J182" s="35" t="str">
        <f>IF($A182="","",IF($I182="",0,IFERROR(AVERAGEIFS(FASI!$L:$L,FASI!$B:$B,$B182,FASI!$D:$D,$I182),0)))</f>
        <v/>
      </c>
      <c r="K182" s="36" t="str">
        <f t="shared" si="10"/>
        <v/>
      </c>
      <c r="L182" s="43"/>
      <c r="M182" s="43"/>
      <c r="N182" s="42"/>
      <c r="O182" s="42"/>
      <c r="P182" s="43"/>
      <c r="Q182" s="33" t="str">
        <f t="shared" ca="1" si="11"/>
        <v/>
      </c>
      <c r="R182" s="42"/>
    </row>
    <row r="183" spans="1:18" x14ac:dyDescent="0.3">
      <c r="A183" s="42"/>
      <c r="B183" s="42"/>
      <c r="C183" s="42"/>
      <c r="D183" s="42"/>
      <c r="E183" s="42"/>
      <c r="F183" s="49"/>
      <c r="G183" s="44"/>
      <c r="H183" s="34" t="str">
        <f>IF($A183="","",IF($E183="Percentuale",$F183*IFERROR(INDEX(SERVIZI!$Q:$Q,MATCH($B183,SERVIZI!$A:$A,0)),0),$G183))</f>
        <v/>
      </c>
      <c r="I183" s="42"/>
      <c r="J183" s="35" t="str">
        <f>IF($A183="","",IF($I183="",0,IFERROR(AVERAGEIFS(FASI!$L:$L,FASI!$B:$B,$B183,FASI!$D:$D,$I183),0)))</f>
        <v/>
      </c>
      <c r="K183" s="36" t="str">
        <f t="shared" si="10"/>
        <v/>
      </c>
      <c r="L183" s="43"/>
      <c r="M183" s="43"/>
      <c r="N183" s="42"/>
      <c r="O183" s="42"/>
      <c r="P183" s="43"/>
      <c r="Q183" s="33" t="str">
        <f t="shared" ca="1" si="11"/>
        <v/>
      </c>
      <c r="R183" s="42"/>
    </row>
    <row r="184" spans="1:18" x14ac:dyDescent="0.3">
      <c r="A184" s="42"/>
      <c r="B184" s="42"/>
      <c r="C184" s="42"/>
      <c r="D184" s="42"/>
      <c r="E184" s="42"/>
      <c r="F184" s="49"/>
      <c r="G184" s="44"/>
      <c r="H184" s="34" t="str">
        <f>IF($A184="","",IF($E184="Percentuale",$F184*IFERROR(INDEX(SERVIZI!$Q:$Q,MATCH($B184,SERVIZI!$A:$A,0)),0),$G184))</f>
        <v/>
      </c>
      <c r="I184" s="42"/>
      <c r="J184" s="35" t="str">
        <f>IF($A184="","",IF($I184="",0,IFERROR(AVERAGEIFS(FASI!$L:$L,FASI!$B:$B,$B184,FASI!$D:$D,$I184),0)))</f>
        <v/>
      </c>
      <c r="K184" s="36" t="str">
        <f t="shared" si="10"/>
        <v/>
      </c>
      <c r="L184" s="43"/>
      <c r="M184" s="43"/>
      <c r="N184" s="42"/>
      <c r="O184" s="42"/>
      <c r="P184" s="43"/>
      <c r="Q184" s="33" t="str">
        <f t="shared" ca="1" si="11"/>
        <v/>
      </c>
      <c r="R184" s="42"/>
    </row>
    <row r="185" spans="1:18" x14ac:dyDescent="0.3">
      <c r="A185" s="42"/>
      <c r="B185" s="42"/>
      <c r="C185" s="42"/>
      <c r="D185" s="42"/>
      <c r="E185" s="42"/>
      <c r="F185" s="49"/>
      <c r="G185" s="44"/>
      <c r="H185" s="34" t="str">
        <f>IF($A185="","",IF($E185="Percentuale",$F185*IFERROR(INDEX(SERVIZI!$Q:$Q,MATCH($B185,SERVIZI!$A:$A,0)),0),$G185))</f>
        <v/>
      </c>
      <c r="I185" s="42"/>
      <c r="J185" s="35" t="str">
        <f>IF($A185="","",IF($I185="",0,IFERROR(AVERAGEIFS(FASI!$L:$L,FASI!$B:$B,$B185,FASI!$D:$D,$I185),0)))</f>
        <v/>
      </c>
      <c r="K185" s="36" t="str">
        <f t="shared" si="10"/>
        <v/>
      </c>
      <c r="L185" s="43"/>
      <c r="M185" s="43"/>
      <c r="N185" s="42"/>
      <c r="O185" s="42"/>
      <c r="P185" s="43"/>
      <c r="Q185" s="33" t="str">
        <f t="shared" ca="1" si="11"/>
        <v/>
      </c>
      <c r="R185" s="42"/>
    </row>
    <row r="186" spans="1:18" x14ac:dyDescent="0.3">
      <c r="A186" s="42"/>
      <c r="B186" s="42"/>
      <c r="C186" s="42"/>
      <c r="D186" s="42"/>
      <c r="E186" s="42"/>
      <c r="F186" s="49"/>
      <c r="G186" s="44"/>
      <c r="H186" s="34" t="str">
        <f>IF($A186="","",IF($E186="Percentuale",$F186*IFERROR(INDEX(SERVIZI!$Q:$Q,MATCH($B186,SERVIZI!$A:$A,0)),0),$G186))</f>
        <v/>
      </c>
      <c r="I186" s="42"/>
      <c r="J186" s="35" t="str">
        <f>IF($A186="","",IF($I186="",0,IFERROR(AVERAGEIFS(FASI!$L:$L,FASI!$B:$B,$B186,FASI!$D:$D,$I186),0)))</f>
        <v/>
      </c>
      <c r="K186" s="36" t="str">
        <f t="shared" si="10"/>
        <v/>
      </c>
      <c r="L186" s="43"/>
      <c r="M186" s="43"/>
      <c r="N186" s="42"/>
      <c r="O186" s="42"/>
      <c r="P186" s="43"/>
      <c r="Q186" s="33" t="str">
        <f t="shared" ca="1" si="11"/>
        <v/>
      </c>
      <c r="R186" s="42"/>
    </row>
    <row r="187" spans="1:18" x14ac:dyDescent="0.3">
      <c r="A187" s="42"/>
      <c r="B187" s="42"/>
      <c r="C187" s="42"/>
      <c r="D187" s="42"/>
      <c r="E187" s="42"/>
      <c r="F187" s="49"/>
      <c r="G187" s="44"/>
      <c r="H187" s="34" t="str">
        <f>IF($A187="","",IF($E187="Percentuale",$F187*IFERROR(INDEX(SERVIZI!$Q:$Q,MATCH($B187,SERVIZI!$A:$A,0)),0),$G187))</f>
        <v/>
      </c>
      <c r="I187" s="42"/>
      <c r="J187" s="35" t="str">
        <f>IF($A187="","",IF($I187="",0,IFERROR(AVERAGEIFS(FASI!$L:$L,FASI!$B:$B,$B187,FASI!$D:$D,$I187),0)))</f>
        <v/>
      </c>
      <c r="K187" s="36" t="str">
        <f t="shared" si="10"/>
        <v/>
      </c>
      <c r="L187" s="43"/>
      <c r="M187" s="43"/>
      <c r="N187" s="42"/>
      <c r="O187" s="42"/>
      <c r="P187" s="43"/>
      <c r="Q187" s="33" t="str">
        <f t="shared" ca="1" si="11"/>
        <v/>
      </c>
      <c r="R187" s="42"/>
    </row>
    <row r="188" spans="1:18" x14ac:dyDescent="0.3">
      <c r="A188" s="42"/>
      <c r="B188" s="42"/>
      <c r="C188" s="42"/>
      <c r="D188" s="42"/>
      <c r="E188" s="42"/>
      <c r="F188" s="49"/>
      <c r="G188" s="44"/>
      <c r="H188" s="34" t="str">
        <f>IF($A188="","",IF($E188="Percentuale",$F188*IFERROR(INDEX(SERVIZI!$Q:$Q,MATCH($B188,SERVIZI!$A:$A,0)),0),$G188))</f>
        <v/>
      </c>
      <c r="I188" s="42"/>
      <c r="J188" s="35" t="str">
        <f>IF($A188="","",IF($I188="",0,IFERROR(AVERAGEIFS(FASI!$L:$L,FASI!$B:$B,$B188,FASI!$D:$D,$I188),0)))</f>
        <v/>
      </c>
      <c r="K188" s="36" t="str">
        <f t="shared" si="10"/>
        <v/>
      </c>
      <c r="L188" s="43"/>
      <c r="M188" s="43"/>
      <c r="N188" s="42"/>
      <c r="O188" s="42"/>
      <c r="P188" s="43"/>
      <c r="Q188" s="33" t="str">
        <f t="shared" ca="1" si="11"/>
        <v/>
      </c>
      <c r="R188" s="42"/>
    </row>
    <row r="189" spans="1:18" x14ac:dyDescent="0.3">
      <c r="A189" s="42"/>
      <c r="B189" s="42"/>
      <c r="C189" s="42"/>
      <c r="D189" s="42"/>
      <c r="E189" s="42"/>
      <c r="F189" s="49"/>
      <c r="G189" s="44"/>
      <c r="H189" s="34" t="str">
        <f>IF($A189="","",IF($E189="Percentuale",$F189*IFERROR(INDEX(SERVIZI!$Q:$Q,MATCH($B189,SERVIZI!$A:$A,0)),0),$G189))</f>
        <v/>
      </c>
      <c r="I189" s="42"/>
      <c r="J189" s="35" t="str">
        <f>IF($A189="","",IF($I189="",0,IFERROR(AVERAGEIFS(FASI!$L:$L,FASI!$B:$B,$B189,FASI!$D:$D,$I189),0)))</f>
        <v/>
      </c>
      <c r="K189" s="36" t="str">
        <f t="shared" si="10"/>
        <v/>
      </c>
      <c r="L189" s="43"/>
      <c r="M189" s="43"/>
      <c r="N189" s="42"/>
      <c r="O189" s="42"/>
      <c r="P189" s="43"/>
      <c r="Q189" s="33" t="str">
        <f t="shared" ca="1" si="11"/>
        <v/>
      </c>
      <c r="R189" s="42"/>
    </row>
    <row r="190" spans="1:18" x14ac:dyDescent="0.3">
      <c r="A190" s="42"/>
      <c r="B190" s="42"/>
      <c r="C190" s="42"/>
      <c r="D190" s="42"/>
      <c r="E190" s="42"/>
      <c r="F190" s="49"/>
      <c r="G190" s="44"/>
      <c r="H190" s="34" t="str">
        <f>IF($A190="","",IF($E190="Percentuale",$F190*IFERROR(INDEX(SERVIZI!$Q:$Q,MATCH($B190,SERVIZI!$A:$A,0)),0),$G190))</f>
        <v/>
      </c>
      <c r="I190" s="42"/>
      <c r="J190" s="35" t="str">
        <f>IF($A190="","",IF($I190="",0,IFERROR(AVERAGEIFS(FASI!$L:$L,FASI!$B:$B,$B190,FASI!$D:$D,$I190),0)))</f>
        <v/>
      </c>
      <c r="K190" s="36" t="str">
        <f t="shared" si="10"/>
        <v/>
      </c>
      <c r="L190" s="43"/>
      <c r="M190" s="43"/>
      <c r="N190" s="42"/>
      <c r="O190" s="42"/>
      <c r="P190" s="43"/>
      <c r="Q190" s="33" t="str">
        <f t="shared" ca="1" si="11"/>
        <v/>
      </c>
      <c r="R190" s="42"/>
    </row>
    <row r="191" spans="1:18" x14ac:dyDescent="0.3">
      <c r="A191" s="42"/>
      <c r="B191" s="42"/>
      <c r="C191" s="42"/>
      <c r="D191" s="42"/>
      <c r="E191" s="42"/>
      <c r="F191" s="49"/>
      <c r="G191" s="44"/>
      <c r="H191" s="34" t="str">
        <f>IF($A191="","",IF($E191="Percentuale",$F191*IFERROR(INDEX(SERVIZI!$Q:$Q,MATCH($B191,SERVIZI!$A:$A,0)),0),$G191))</f>
        <v/>
      </c>
      <c r="I191" s="42"/>
      <c r="J191" s="35" t="str">
        <f>IF($A191="","",IF($I191="",0,IFERROR(AVERAGEIFS(FASI!$L:$L,FASI!$B:$B,$B191,FASI!$D:$D,$I191),0)))</f>
        <v/>
      </c>
      <c r="K191" s="36" t="str">
        <f t="shared" si="10"/>
        <v/>
      </c>
      <c r="L191" s="43"/>
      <c r="M191" s="43"/>
      <c r="N191" s="42"/>
      <c r="O191" s="42"/>
      <c r="P191" s="43"/>
      <c r="Q191" s="33" t="str">
        <f t="shared" ca="1" si="11"/>
        <v/>
      </c>
      <c r="R191" s="42"/>
    </row>
    <row r="192" spans="1:18" x14ac:dyDescent="0.3">
      <c r="A192" s="42"/>
      <c r="B192" s="42"/>
      <c r="C192" s="42"/>
      <c r="D192" s="42"/>
      <c r="E192" s="42"/>
      <c r="F192" s="49"/>
      <c r="G192" s="44"/>
      <c r="H192" s="34" t="str">
        <f>IF($A192="","",IF($E192="Percentuale",$F192*IFERROR(INDEX(SERVIZI!$Q:$Q,MATCH($B192,SERVIZI!$A:$A,0)),0),$G192))</f>
        <v/>
      </c>
      <c r="I192" s="42"/>
      <c r="J192" s="35" t="str">
        <f>IF($A192="","",IF($I192="",0,IFERROR(AVERAGEIFS(FASI!$L:$L,FASI!$B:$B,$B192,FASI!$D:$D,$I192),0)))</f>
        <v/>
      </c>
      <c r="K192" s="36" t="str">
        <f t="shared" si="10"/>
        <v/>
      </c>
      <c r="L192" s="43"/>
      <c r="M192" s="43"/>
      <c r="N192" s="42"/>
      <c r="O192" s="42"/>
      <c r="P192" s="43"/>
      <c r="Q192" s="33" t="str">
        <f t="shared" ca="1" si="11"/>
        <v/>
      </c>
      <c r="R192" s="42"/>
    </row>
    <row r="193" spans="1:18" x14ac:dyDescent="0.3">
      <c r="A193" s="42"/>
      <c r="B193" s="42"/>
      <c r="C193" s="42"/>
      <c r="D193" s="42"/>
      <c r="E193" s="42"/>
      <c r="F193" s="49"/>
      <c r="G193" s="44"/>
      <c r="H193" s="34" t="str">
        <f>IF($A193="","",IF($E193="Percentuale",$F193*IFERROR(INDEX(SERVIZI!$Q:$Q,MATCH($B193,SERVIZI!$A:$A,0)),0),$G193))</f>
        <v/>
      </c>
      <c r="I193" s="42"/>
      <c r="J193" s="35" t="str">
        <f>IF($A193="","",IF($I193="",0,IFERROR(AVERAGEIFS(FASI!$L:$L,FASI!$B:$B,$B193,FASI!$D:$D,$I193),0)))</f>
        <v/>
      </c>
      <c r="K193" s="36" t="str">
        <f t="shared" si="10"/>
        <v/>
      </c>
      <c r="L193" s="43"/>
      <c r="M193" s="43"/>
      <c r="N193" s="42"/>
      <c r="O193" s="42"/>
      <c r="P193" s="43"/>
      <c r="Q193" s="33" t="str">
        <f t="shared" ca="1" si="11"/>
        <v/>
      </c>
      <c r="R193" s="42"/>
    </row>
    <row r="194" spans="1:18" x14ac:dyDescent="0.3">
      <c r="A194" s="42"/>
      <c r="B194" s="42"/>
      <c r="C194" s="42"/>
      <c r="D194" s="42"/>
      <c r="E194" s="42"/>
      <c r="F194" s="49"/>
      <c r="G194" s="44"/>
      <c r="H194" s="34" t="str">
        <f>IF($A194="","",IF($E194="Percentuale",$F194*IFERROR(INDEX(SERVIZI!$Q:$Q,MATCH($B194,SERVIZI!$A:$A,0)),0),$G194))</f>
        <v/>
      </c>
      <c r="I194" s="42"/>
      <c r="J194" s="35" t="str">
        <f>IF($A194="","",IF($I194="",0,IFERROR(AVERAGEIFS(FASI!$L:$L,FASI!$B:$B,$B194,FASI!$D:$D,$I194),0)))</f>
        <v/>
      </c>
      <c r="K194" s="36" t="str">
        <f t="shared" ref="K194:K201" si="12">IF($A194="","",IF($M194&lt;&gt;"","Fattura emessa",IF(AND($I194&lt;&gt;"",$J194&gt;=1),"EMETTIBILE","In attesa")))</f>
        <v/>
      </c>
      <c r="L194" s="43"/>
      <c r="M194" s="43"/>
      <c r="N194" s="42"/>
      <c r="O194" s="42"/>
      <c r="P194" s="43"/>
      <c r="Q194" s="33" t="str">
        <f t="shared" ref="Q194:Q201" ca="1" si="13">IF($A194="","",IF(AND($M194&lt;&gt;"",$P194="",$M194+GIORNI_PAG&lt;TODAY()),TODAY()-$M194,0))</f>
        <v/>
      </c>
      <c r="R194" s="42"/>
    </row>
    <row r="195" spans="1:18" x14ac:dyDescent="0.3">
      <c r="A195" s="42"/>
      <c r="B195" s="42"/>
      <c r="C195" s="42"/>
      <c r="D195" s="42"/>
      <c r="E195" s="42"/>
      <c r="F195" s="49"/>
      <c r="G195" s="44"/>
      <c r="H195" s="34" t="str">
        <f>IF($A195="","",IF($E195="Percentuale",$F195*IFERROR(INDEX(SERVIZI!$Q:$Q,MATCH($B195,SERVIZI!$A:$A,0)),0),$G195))</f>
        <v/>
      </c>
      <c r="I195" s="42"/>
      <c r="J195" s="35" t="str">
        <f>IF($A195="","",IF($I195="",0,IFERROR(AVERAGEIFS(FASI!$L:$L,FASI!$B:$B,$B195,FASI!$D:$D,$I195),0)))</f>
        <v/>
      </c>
      <c r="K195" s="36" t="str">
        <f t="shared" si="12"/>
        <v/>
      </c>
      <c r="L195" s="43"/>
      <c r="M195" s="43"/>
      <c r="N195" s="42"/>
      <c r="O195" s="42"/>
      <c r="P195" s="43"/>
      <c r="Q195" s="33" t="str">
        <f t="shared" ca="1" si="13"/>
        <v/>
      </c>
      <c r="R195" s="42"/>
    </row>
    <row r="196" spans="1:18" x14ac:dyDescent="0.3">
      <c r="A196" s="42"/>
      <c r="B196" s="42"/>
      <c r="C196" s="42"/>
      <c r="D196" s="42"/>
      <c r="E196" s="42"/>
      <c r="F196" s="49"/>
      <c r="G196" s="44"/>
      <c r="H196" s="34" t="str">
        <f>IF($A196="","",IF($E196="Percentuale",$F196*IFERROR(INDEX(SERVIZI!$Q:$Q,MATCH($B196,SERVIZI!$A:$A,0)),0),$G196))</f>
        <v/>
      </c>
      <c r="I196" s="42"/>
      <c r="J196" s="35" t="str">
        <f>IF($A196="","",IF($I196="",0,IFERROR(AVERAGEIFS(FASI!$L:$L,FASI!$B:$B,$B196,FASI!$D:$D,$I196),0)))</f>
        <v/>
      </c>
      <c r="K196" s="36" t="str">
        <f t="shared" si="12"/>
        <v/>
      </c>
      <c r="L196" s="43"/>
      <c r="M196" s="43"/>
      <c r="N196" s="42"/>
      <c r="O196" s="42"/>
      <c r="P196" s="43"/>
      <c r="Q196" s="33" t="str">
        <f t="shared" ca="1" si="13"/>
        <v/>
      </c>
      <c r="R196" s="42"/>
    </row>
    <row r="197" spans="1:18" x14ac:dyDescent="0.3">
      <c r="A197" s="42"/>
      <c r="B197" s="42"/>
      <c r="C197" s="42"/>
      <c r="D197" s="42"/>
      <c r="E197" s="42"/>
      <c r="F197" s="49"/>
      <c r="G197" s="44"/>
      <c r="H197" s="34" t="str">
        <f>IF($A197="","",IF($E197="Percentuale",$F197*IFERROR(INDEX(SERVIZI!$Q:$Q,MATCH($B197,SERVIZI!$A:$A,0)),0),$G197))</f>
        <v/>
      </c>
      <c r="I197" s="42"/>
      <c r="J197" s="35" t="str">
        <f>IF($A197="","",IF($I197="",0,IFERROR(AVERAGEIFS(FASI!$L:$L,FASI!$B:$B,$B197,FASI!$D:$D,$I197),0)))</f>
        <v/>
      </c>
      <c r="K197" s="36" t="str">
        <f t="shared" si="12"/>
        <v/>
      </c>
      <c r="L197" s="43"/>
      <c r="M197" s="43"/>
      <c r="N197" s="42"/>
      <c r="O197" s="42"/>
      <c r="P197" s="43"/>
      <c r="Q197" s="33" t="str">
        <f t="shared" ca="1" si="13"/>
        <v/>
      </c>
      <c r="R197" s="42"/>
    </row>
    <row r="198" spans="1:18" x14ac:dyDescent="0.3">
      <c r="A198" s="42"/>
      <c r="B198" s="42"/>
      <c r="C198" s="42"/>
      <c r="D198" s="42"/>
      <c r="E198" s="42"/>
      <c r="F198" s="49"/>
      <c r="G198" s="44"/>
      <c r="H198" s="34" t="str">
        <f>IF($A198="","",IF($E198="Percentuale",$F198*IFERROR(INDEX(SERVIZI!$Q:$Q,MATCH($B198,SERVIZI!$A:$A,0)),0),$G198))</f>
        <v/>
      </c>
      <c r="I198" s="42"/>
      <c r="J198" s="35" t="str">
        <f>IF($A198="","",IF($I198="",0,IFERROR(AVERAGEIFS(FASI!$L:$L,FASI!$B:$B,$B198,FASI!$D:$D,$I198),0)))</f>
        <v/>
      </c>
      <c r="K198" s="36" t="str">
        <f t="shared" si="12"/>
        <v/>
      </c>
      <c r="L198" s="43"/>
      <c r="M198" s="43"/>
      <c r="N198" s="42"/>
      <c r="O198" s="42"/>
      <c r="P198" s="43"/>
      <c r="Q198" s="33" t="str">
        <f t="shared" ca="1" si="13"/>
        <v/>
      </c>
      <c r="R198" s="42"/>
    </row>
    <row r="199" spans="1:18" x14ac:dyDescent="0.3">
      <c r="A199" s="42"/>
      <c r="B199" s="42"/>
      <c r="C199" s="42"/>
      <c r="D199" s="42"/>
      <c r="E199" s="42"/>
      <c r="F199" s="49"/>
      <c r="G199" s="44"/>
      <c r="H199" s="34" t="str">
        <f>IF($A199="","",IF($E199="Percentuale",$F199*IFERROR(INDEX(SERVIZI!$Q:$Q,MATCH($B199,SERVIZI!$A:$A,0)),0),$G199))</f>
        <v/>
      </c>
      <c r="I199" s="42"/>
      <c r="J199" s="35" t="str">
        <f>IF($A199="","",IF($I199="",0,IFERROR(AVERAGEIFS(FASI!$L:$L,FASI!$B:$B,$B199,FASI!$D:$D,$I199),0)))</f>
        <v/>
      </c>
      <c r="K199" s="36" t="str">
        <f t="shared" si="12"/>
        <v/>
      </c>
      <c r="L199" s="43"/>
      <c r="M199" s="43"/>
      <c r="N199" s="42"/>
      <c r="O199" s="42"/>
      <c r="P199" s="43"/>
      <c r="Q199" s="33" t="str">
        <f t="shared" ca="1" si="13"/>
        <v/>
      </c>
      <c r="R199" s="42"/>
    </row>
    <row r="200" spans="1:18" x14ac:dyDescent="0.3">
      <c r="A200" s="42"/>
      <c r="B200" s="42"/>
      <c r="C200" s="42"/>
      <c r="D200" s="42"/>
      <c r="E200" s="42"/>
      <c r="F200" s="49"/>
      <c r="G200" s="44"/>
      <c r="H200" s="34" t="str">
        <f>IF($A200="","",IF($E200="Percentuale",$F200*IFERROR(INDEX(SERVIZI!$Q:$Q,MATCH($B200,SERVIZI!$A:$A,0)),0),$G200))</f>
        <v/>
      </c>
      <c r="I200" s="42"/>
      <c r="J200" s="35" t="str">
        <f>IF($A200="","",IF($I200="",0,IFERROR(AVERAGEIFS(FASI!$L:$L,FASI!$B:$B,$B200,FASI!$D:$D,$I200),0)))</f>
        <v/>
      </c>
      <c r="K200" s="36" t="str">
        <f t="shared" si="12"/>
        <v/>
      </c>
      <c r="L200" s="43"/>
      <c r="M200" s="43"/>
      <c r="N200" s="42"/>
      <c r="O200" s="42"/>
      <c r="P200" s="43"/>
      <c r="Q200" s="33" t="str">
        <f t="shared" ca="1" si="13"/>
        <v/>
      </c>
      <c r="R200" s="42"/>
    </row>
    <row r="201" spans="1:18" x14ac:dyDescent="0.3">
      <c r="A201" s="42"/>
      <c r="B201" s="42"/>
      <c r="C201" s="42"/>
      <c r="D201" s="42"/>
      <c r="E201" s="42"/>
      <c r="F201" s="49"/>
      <c r="G201" s="44"/>
      <c r="H201" s="34" t="str">
        <f>IF($A201="","",IF($E201="Percentuale",$F201*IFERROR(INDEX(SERVIZI!$Q:$Q,MATCH($B201,SERVIZI!$A:$A,0)),0),$G201))</f>
        <v/>
      </c>
      <c r="I201" s="42"/>
      <c r="J201" s="35" t="str">
        <f>IF($A201="","",IF($I201="",0,IFERROR(AVERAGEIFS(FASI!$L:$L,FASI!$B:$B,$B201,FASI!$D:$D,$I201),0)))</f>
        <v/>
      </c>
      <c r="K201" s="36" t="str">
        <f t="shared" si="12"/>
        <v/>
      </c>
      <c r="L201" s="43"/>
      <c r="M201" s="43"/>
      <c r="N201" s="42"/>
      <c r="O201" s="42"/>
      <c r="P201" s="43"/>
      <c r="Q201" s="33" t="str">
        <f t="shared" ca="1" si="13"/>
        <v/>
      </c>
      <c r="R201" s="42"/>
    </row>
  </sheetData>
  <dataValidations count="2">
    <dataValidation type="list" allowBlank="1" sqref="C2:C201" xr:uid="{00000000-0002-0000-0800-000001000000}">
      <formula1>L_TIPO_SAL</formula1>
    </dataValidation>
    <dataValidation type="list" allowBlank="1" sqref="O2:O201" xr:uid="{00000000-0002-0000-0800-000003000000}">
      <formula1>L_STATO_INCASSO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800-000000000000}">
          <x14:formula1>
            <xm:f>SERVIZI!$A$2:$A$201</xm:f>
          </x14:formula1>
          <x14:formula2>
            <xm:f>0</xm:f>
          </x14:formula2>
          <xm:sqref>B2:B201</xm:sqref>
        </x14:dataValidation>
        <x14:dataValidation type="list" allowBlank="1" xr:uid="{00000000-0002-0000-0800-000002000000}">
          <x14:formula1>
            <xm:f>LISTE!$J$2:$J$3</xm:f>
          </x14:formula1>
          <x14:formula2>
            <xm:f>0</xm:f>
          </x14:formula2>
          <xm:sqref>E2:E201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>
    <tabColor rgb="FFC00000"/>
  </sheetPr>
  <dimension ref="A1:W201"/>
  <sheetViews>
    <sheetView showGridLines="0" zoomScaleNormal="100" workbookViewId="0">
      <pane ySplit="1" topLeftCell="A2" activePane="bottomLeft" state="frozen"/>
      <selection pane="bottomLeft" activeCell="B16" sqref="B16"/>
    </sheetView>
  </sheetViews>
  <sheetFormatPr defaultColWidth="8.6640625" defaultRowHeight="14.4" x14ac:dyDescent="0.3"/>
  <cols>
    <col min="1" max="1" width="14" customWidth="1"/>
    <col min="2" max="3" width="17" customWidth="1"/>
    <col min="4" max="4" width="26" customWidth="1"/>
    <col min="5" max="5" width="24" customWidth="1"/>
    <col min="6" max="6" width="34" customWidth="1"/>
    <col min="7" max="7" width="24" customWidth="1"/>
    <col min="8" max="8" width="20.88671875" customWidth="1"/>
    <col min="9" max="9" width="22.21875" customWidth="1"/>
    <col min="10" max="10" width="13" customWidth="1"/>
    <col min="11" max="11" width="14" customWidth="1"/>
    <col min="12" max="12" width="19" customWidth="1"/>
    <col min="13" max="13" width="15" customWidth="1"/>
    <col min="14" max="14" width="19" customWidth="1"/>
    <col min="15" max="15" width="16" customWidth="1"/>
    <col min="16" max="16" width="24.33203125" customWidth="1"/>
    <col min="17" max="17" width="17" customWidth="1"/>
    <col min="18" max="18" width="15" customWidth="1"/>
    <col min="19" max="19" width="19" customWidth="1"/>
    <col min="20" max="20" width="26" customWidth="1"/>
    <col min="21" max="22" width="15.6640625" customWidth="1"/>
  </cols>
  <sheetData>
    <row r="1" spans="1:23" ht="36" customHeight="1" x14ac:dyDescent="0.3">
      <c r="A1" s="41" t="s">
        <v>412</v>
      </c>
      <c r="B1" s="41" t="s">
        <v>278</v>
      </c>
      <c r="C1" s="41" t="s">
        <v>304</v>
      </c>
      <c r="D1" s="41" t="s">
        <v>139</v>
      </c>
      <c r="E1" s="41" t="s">
        <v>142</v>
      </c>
      <c r="F1" s="41" t="s">
        <v>413</v>
      </c>
      <c r="G1" s="41" t="s">
        <v>414</v>
      </c>
      <c r="H1" s="41" t="s">
        <v>415</v>
      </c>
      <c r="I1" s="41" t="s">
        <v>416</v>
      </c>
      <c r="J1" s="41" t="s">
        <v>417</v>
      </c>
      <c r="K1" s="41" t="s">
        <v>418</v>
      </c>
      <c r="L1" s="41" t="s">
        <v>107</v>
      </c>
      <c r="M1" s="41" t="s">
        <v>402</v>
      </c>
      <c r="N1" s="41" t="s">
        <v>419</v>
      </c>
      <c r="O1" s="41" t="s">
        <v>155</v>
      </c>
      <c r="P1" s="41" t="s">
        <v>420</v>
      </c>
      <c r="Q1" s="41" t="s">
        <v>421</v>
      </c>
      <c r="R1" s="41" t="s">
        <v>422</v>
      </c>
      <c r="S1" s="41" t="s">
        <v>423</v>
      </c>
      <c r="T1" s="41" t="s">
        <v>157</v>
      </c>
      <c r="U1" s="41" t="s">
        <v>971</v>
      </c>
      <c r="V1" s="41" t="s">
        <v>972</v>
      </c>
      <c r="W1" s="2" t="s">
        <v>424</v>
      </c>
    </row>
    <row r="2" spans="1:23" x14ac:dyDescent="0.3">
      <c r="A2" s="42" t="s">
        <v>967</v>
      </c>
      <c r="B2" s="42" t="s">
        <v>937</v>
      </c>
      <c r="C2" s="36" t="str">
        <f>IF($A2="","",IFERROR(INDEX(SERVIZI!$B:$B,MATCH($B2,SERVIZI!$A:$A,0)),""))</f>
        <v>26-017</v>
      </c>
      <c r="D2" s="42" t="s">
        <v>922</v>
      </c>
      <c r="E2" s="42" t="s">
        <v>918</v>
      </c>
      <c r="F2" s="42" t="s">
        <v>969</v>
      </c>
      <c r="G2" s="42"/>
      <c r="H2" s="44">
        <v>33500</v>
      </c>
      <c r="I2" s="44">
        <v>52059</v>
      </c>
      <c r="J2" s="35">
        <f t="shared" ref="J2:J33" si="0">IF($A2="","",IFERROR(($I2-$H2)/$H2,0))</f>
        <v>0.55400000000000005</v>
      </c>
      <c r="K2" s="34">
        <f t="shared" ref="K2:K33" si="1">IF($A2="","",$I2-$H2)</f>
        <v>18559</v>
      </c>
      <c r="L2" s="42" t="s">
        <v>581</v>
      </c>
      <c r="M2" s="43"/>
      <c r="N2" s="43"/>
      <c r="O2" s="42" t="s">
        <v>914</v>
      </c>
      <c r="P2" s="44">
        <v>0</v>
      </c>
      <c r="Q2" s="34">
        <f t="shared" ref="Q2:Q33" si="2">IF($A2="","",$H2-$P2)</f>
        <v>33500</v>
      </c>
      <c r="R2" s="34">
        <f t="shared" ref="R2:R33" si="3">IF($A2="","",IF(OR($L2="Emesso",$L2="Prestazione erogata",$L2="Fatturato",$L2="Pagato"),$H2,0))</f>
        <v>0</v>
      </c>
      <c r="S2" s="36" t="str">
        <f t="shared" ref="S2:S33" si="4">IF($A2="","",IF($H2&gt;SOGLIA_DIR,"Direzione",IF($H2&gt;SOGLIA_PM,"Project Manager","Autonomo")))</f>
        <v>Project Manager</v>
      </c>
      <c r="T2" s="51"/>
      <c r="U2" s="51">
        <f>IF($A2="","",SUMIF($A:$A,$A2,$H:$H))</f>
        <v>53500</v>
      </c>
      <c r="V2" s="51">
        <f>IF($A2="","",COUNTIF($A$2:$A2,$A2))</f>
        <v>1</v>
      </c>
      <c r="W2" s="2" t="s">
        <v>427</v>
      </c>
    </row>
    <row r="3" spans="1:23" x14ac:dyDescent="0.3">
      <c r="A3" s="42" t="s">
        <v>967</v>
      </c>
      <c r="B3" s="42" t="s">
        <v>951</v>
      </c>
      <c r="C3" s="36" t="str">
        <f>IF($A3="","",IFERROR(INDEX(SERVIZI!$B:$B,MATCH($B3,SERVIZI!$A:$A,0)),""))</f>
        <v>26-017</v>
      </c>
      <c r="D3" s="42" t="s">
        <v>922</v>
      </c>
      <c r="E3" s="42" t="s">
        <v>918</v>
      </c>
      <c r="F3" s="42" t="s">
        <v>970</v>
      </c>
      <c r="G3" s="42"/>
      <c r="H3" s="44">
        <v>20000</v>
      </c>
      <c r="I3" s="44">
        <v>31080</v>
      </c>
      <c r="J3" s="35">
        <f t="shared" si="0"/>
        <v>0.55400000000000005</v>
      </c>
      <c r="K3" s="34">
        <f t="shared" si="1"/>
        <v>11080</v>
      </c>
      <c r="L3" s="42" t="s">
        <v>581</v>
      </c>
      <c r="M3" s="43"/>
      <c r="N3" s="43"/>
      <c r="O3" s="42" t="s">
        <v>914</v>
      </c>
      <c r="P3" s="44">
        <v>0</v>
      </c>
      <c r="Q3" s="34">
        <f t="shared" si="2"/>
        <v>20000</v>
      </c>
      <c r="R3" s="34">
        <f t="shared" si="3"/>
        <v>0</v>
      </c>
      <c r="S3" s="36" t="str">
        <f t="shared" si="4"/>
        <v>Project Manager</v>
      </c>
      <c r="T3" s="42"/>
      <c r="U3" s="51">
        <f t="shared" ref="U3:U66" si="5">IF($A3="","",SUMIF($A:$A,$A3,$H:$H))</f>
        <v>53500</v>
      </c>
      <c r="V3" s="51">
        <f>IF($A3="","",COUNTIF($A$2:$A3,$A3))</f>
        <v>2</v>
      </c>
    </row>
    <row r="4" spans="1:23" x14ac:dyDescent="0.3">
      <c r="A4" s="42"/>
      <c r="B4" s="42"/>
      <c r="C4" s="36" t="str">
        <f>IF($A4="","",IFERROR(INDEX(SERVIZI!$B:$B,MATCH($B4,SERVIZI!$A:$A,0)),""))</f>
        <v/>
      </c>
      <c r="D4" s="42"/>
      <c r="E4" s="42"/>
      <c r="F4" s="42"/>
      <c r="G4" s="42"/>
      <c r="H4" s="44"/>
      <c r="I4" s="44"/>
      <c r="J4" s="35" t="str">
        <f t="shared" si="0"/>
        <v/>
      </c>
      <c r="K4" s="34" t="str">
        <f t="shared" si="1"/>
        <v/>
      </c>
      <c r="L4" s="42"/>
      <c r="M4" s="43"/>
      <c r="N4" s="43"/>
      <c r="O4" s="42"/>
      <c r="P4" s="44"/>
      <c r="Q4" s="34" t="str">
        <f t="shared" si="2"/>
        <v/>
      </c>
      <c r="R4" s="34" t="str">
        <f t="shared" si="3"/>
        <v/>
      </c>
      <c r="S4" s="36" t="str">
        <f t="shared" si="4"/>
        <v/>
      </c>
      <c r="T4" s="42"/>
      <c r="U4" s="51" t="str">
        <f t="shared" si="5"/>
        <v/>
      </c>
      <c r="V4" s="51" t="str">
        <f>IF($A4="","",COUNTIF($A$2:$A4,$A4))</f>
        <v/>
      </c>
    </row>
    <row r="5" spans="1:23" x14ac:dyDescent="0.3">
      <c r="A5" s="42"/>
      <c r="B5" s="42"/>
      <c r="C5" s="36" t="str">
        <f>IF($A5="","",IFERROR(INDEX(SERVIZI!$B:$B,MATCH($B5,SERVIZI!$A:$A,0)),""))</f>
        <v/>
      </c>
      <c r="D5" s="42"/>
      <c r="E5" s="42"/>
      <c r="F5" s="42"/>
      <c r="G5" s="42"/>
      <c r="H5" s="44"/>
      <c r="I5" s="44"/>
      <c r="J5" s="35" t="str">
        <f t="shared" si="0"/>
        <v/>
      </c>
      <c r="K5" s="34" t="str">
        <f t="shared" si="1"/>
        <v/>
      </c>
      <c r="L5" s="42"/>
      <c r="M5" s="43"/>
      <c r="N5" s="43"/>
      <c r="O5" s="42"/>
      <c r="P5" s="44"/>
      <c r="Q5" s="34" t="str">
        <f t="shared" si="2"/>
        <v/>
      </c>
      <c r="R5" s="34" t="str">
        <f t="shared" si="3"/>
        <v/>
      </c>
      <c r="S5" s="36" t="str">
        <f t="shared" si="4"/>
        <v/>
      </c>
      <c r="T5" s="42"/>
      <c r="U5" s="51" t="str">
        <f t="shared" si="5"/>
        <v/>
      </c>
      <c r="V5" s="51" t="str">
        <f>IF($A5="","",COUNTIF($A$2:$A5,$A5))</f>
        <v/>
      </c>
    </row>
    <row r="6" spans="1:23" x14ac:dyDescent="0.3">
      <c r="A6" s="42"/>
      <c r="B6" s="42"/>
      <c r="C6" s="36" t="str">
        <f>IF($A6="","",IFERROR(INDEX(SERVIZI!$B:$B,MATCH($B6,SERVIZI!$A:$A,0)),""))</f>
        <v/>
      </c>
      <c r="D6" s="42"/>
      <c r="E6" s="42"/>
      <c r="F6" s="42"/>
      <c r="G6" s="42"/>
      <c r="H6" s="44"/>
      <c r="I6" s="44"/>
      <c r="J6" s="35" t="str">
        <f t="shared" si="0"/>
        <v/>
      </c>
      <c r="K6" s="34" t="str">
        <f t="shared" si="1"/>
        <v/>
      </c>
      <c r="L6" s="42"/>
      <c r="M6" s="43"/>
      <c r="N6" s="43"/>
      <c r="O6" s="42"/>
      <c r="P6" s="44"/>
      <c r="Q6" s="34" t="str">
        <f t="shared" si="2"/>
        <v/>
      </c>
      <c r="R6" s="34" t="str">
        <f t="shared" si="3"/>
        <v/>
      </c>
      <c r="S6" s="36" t="str">
        <f t="shared" si="4"/>
        <v/>
      </c>
      <c r="T6" s="42"/>
      <c r="U6" s="51" t="str">
        <f t="shared" si="5"/>
        <v/>
      </c>
      <c r="V6" s="51" t="str">
        <f>IF($A6="","",COUNTIF($A$2:$A6,$A6))</f>
        <v/>
      </c>
    </row>
    <row r="7" spans="1:23" x14ac:dyDescent="0.3">
      <c r="A7" s="42"/>
      <c r="B7" s="42"/>
      <c r="C7" s="36" t="str">
        <f>IF($A7="","",IFERROR(INDEX(SERVIZI!$B:$B,MATCH($B7,SERVIZI!$A:$A,0)),""))</f>
        <v/>
      </c>
      <c r="D7" s="42"/>
      <c r="E7" s="42"/>
      <c r="F7" s="42"/>
      <c r="G7" s="42"/>
      <c r="H7" s="44"/>
      <c r="I7" s="44"/>
      <c r="J7" s="35" t="str">
        <f t="shared" si="0"/>
        <v/>
      </c>
      <c r="K7" s="34" t="str">
        <f t="shared" si="1"/>
        <v/>
      </c>
      <c r="L7" s="42"/>
      <c r="M7" s="43"/>
      <c r="N7" s="43"/>
      <c r="O7" s="42"/>
      <c r="P7" s="44"/>
      <c r="Q7" s="34" t="str">
        <f t="shared" si="2"/>
        <v/>
      </c>
      <c r="R7" s="34" t="str">
        <f t="shared" si="3"/>
        <v/>
      </c>
      <c r="S7" s="36" t="str">
        <f t="shared" si="4"/>
        <v/>
      </c>
      <c r="T7" s="42"/>
      <c r="U7" s="51" t="str">
        <f t="shared" si="5"/>
        <v/>
      </c>
      <c r="V7" s="51" t="str">
        <f>IF($A7="","",COUNTIF($A$2:$A7,$A7))</f>
        <v/>
      </c>
    </row>
    <row r="8" spans="1:23" x14ac:dyDescent="0.3">
      <c r="A8" s="42"/>
      <c r="B8" s="42"/>
      <c r="C8" s="36" t="str">
        <f>IF($A8="","",IFERROR(INDEX(SERVIZI!$B:$B,MATCH($B8,SERVIZI!$A:$A,0)),""))</f>
        <v/>
      </c>
      <c r="D8" s="42"/>
      <c r="E8" s="42"/>
      <c r="F8" s="42"/>
      <c r="G8" s="42"/>
      <c r="H8" s="44"/>
      <c r="I8" s="44"/>
      <c r="J8" s="35" t="str">
        <f t="shared" si="0"/>
        <v/>
      </c>
      <c r="K8" s="34" t="str">
        <f t="shared" si="1"/>
        <v/>
      </c>
      <c r="L8" s="42"/>
      <c r="M8" s="43"/>
      <c r="N8" s="43"/>
      <c r="O8" s="42"/>
      <c r="P8" s="44"/>
      <c r="Q8" s="34" t="str">
        <f t="shared" si="2"/>
        <v/>
      </c>
      <c r="R8" s="34" t="str">
        <f t="shared" si="3"/>
        <v/>
      </c>
      <c r="S8" s="36" t="str">
        <f t="shared" si="4"/>
        <v/>
      </c>
      <c r="T8" s="42"/>
      <c r="U8" s="51" t="str">
        <f t="shared" si="5"/>
        <v/>
      </c>
      <c r="V8" s="51" t="str">
        <f>IF($A8="","",COUNTIF($A$2:$A8,$A8))</f>
        <v/>
      </c>
    </row>
    <row r="9" spans="1:23" x14ac:dyDescent="0.3">
      <c r="A9" s="42"/>
      <c r="B9" s="42"/>
      <c r="C9" s="36" t="str">
        <f>IF($A9="","",IFERROR(INDEX(SERVIZI!$B:$B,MATCH($B9,SERVIZI!$A:$A,0)),""))</f>
        <v/>
      </c>
      <c r="D9" s="42"/>
      <c r="E9" s="42"/>
      <c r="F9" s="42"/>
      <c r="G9" s="42"/>
      <c r="H9" s="44"/>
      <c r="I9" s="44"/>
      <c r="J9" s="35" t="str">
        <f t="shared" si="0"/>
        <v/>
      </c>
      <c r="K9" s="34" t="str">
        <f t="shared" si="1"/>
        <v/>
      </c>
      <c r="L9" s="42"/>
      <c r="M9" s="43"/>
      <c r="N9" s="43"/>
      <c r="O9" s="42"/>
      <c r="P9" s="44"/>
      <c r="Q9" s="34" t="str">
        <f t="shared" si="2"/>
        <v/>
      </c>
      <c r="R9" s="34" t="str">
        <f t="shared" si="3"/>
        <v/>
      </c>
      <c r="S9" s="36" t="str">
        <f t="shared" si="4"/>
        <v/>
      </c>
      <c r="T9" s="42"/>
      <c r="U9" s="51" t="str">
        <f t="shared" si="5"/>
        <v/>
      </c>
      <c r="V9" s="51" t="str">
        <f>IF($A9="","",COUNTIF($A$2:$A9,$A9))</f>
        <v/>
      </c>
    </row>
    <row r="10" spans="1:23" x14ac:dyDescent="0.3">
      <c r="A10" s="42"/>
      <c r="B10" s="42"/>
      <c r="C10" s="36" t="str">
        <f>IF($A10="","",IFERROR(INDEX(SERVIZI!$B:$B,MATCH($B10,SERVIZI!$A:$A,0)),""))</f>
        <v/>
      </c>
      <c r="D10" s="42"/>
      <c r="E10" s="42"/>
      <c r="F10" s="42"/>
      <c r="G10" s="42"/>
      <c r="H10" s="44"/>
      <c r="I10" s="44"/>
      <c r="J10" s="35" t="str">
        <f t="shared" si="0"/>
        <v/>
      </c>
      <c r="K10" s="34" t="str">
        <f t="shared" si="1"/>
        <v/>
      </c>
      <c r="L10" s="42"/>
      <c r="M10" s="43"/>
      <c r="N10" s="43"/>
      <c r="O10" s="42"/>
      <c r="P10" s="44"/>
      <c r="Q10" s="34" t="str">
        <f t="shared" si="2"/>
        <v/>
      </c>
      <c r="R10" s="34" t="str">
        <f t="shared" si="3"/>
        <v/>
      </c>
      <c r="S10" s="36" t="str">
        <f t="shared" si="4"/>
        <v/>
      </c>
      <c r="T10" s="42"/>
      <c r="U10" s="51" t="str">
        <f t="shared" si="5"/>
        <v/>
      </c>
      <c r="V10" s="51" t="str">
        <f>IF($A10="","",COUNTIF($A$2:$A10,$A10))</f>
        <v/>
      </c>
    </row>
    <row r="11" spans="1:23" x14ac:dyDescent="0.3">
      <c r="A11" s="42"/>
      <c r="B11" s="42"/>
      <c r="C11" s="36" t="str">
        <f>IF($A11="","",IFERROR(INDEX(SERVIZI!$B:$B,MATCH($B11,SERVIZI!$A:$A,0)),""))</f>
        <v/>
      </c>
      <c r="D11" s="42"/>
      <c r="E11" s="42"/>
      <c r="F11" s="42"/>
      <c r="G11" s="42"/>
      <c r="H11" s="44"/>
      <c r="I11" s="44"/>
      <c r="J11" s="35" t="str">
        <f t="shared" si="0"/>
        <v/>
      </c>
      <c r="K11" s="34" t="str">
        <f t="shared" si="1"/>
        <v/>
      </c>
      <c r="L11" s="42"/>
      <c r="M11" s="43"/>
      <c r="N11" s="43"/>
      <c r="O11" s="42"/>
      <c r="P11" s="44"/>
      <c r="Q11" s="34" t="str">
        <f t="shared" si="2"/>
        <v/>
      </c>
      <c r="R11" s="34" t="str">
        <f t="shared" si="3"/>
        <v/>
      </c>
      <c r="S11" s="36" t="str">
        <f t="shared" si="4"/>
        <v/>
      </c>
      <c r="T11" s="42"/>
      <c r="U11" s="51" t="str">
        <f t="shared" si="5"/>
        <v/>
      </c>
      <c r="V11" s="51" t="str">
        <f>IF($A11="","",COUNTIF($A$2:$A11,$A11))</f>
        <v/>
      </c>
    </row>
    <row r="12" spans="1:23" x14ac:dyDescent="0.3">
      <c r="A12" s="42"/>
      <c r="B12" s="42"/>
      <c r="C12" s="36" t="str">
        <f>IF($A12="","",IFERROR(INDEX(SERVIZI!$B:$B,MATCH($B12,SERVIZI!$A:$A,0)),""))</f>
        <v/>
      </c>
      <c r="D12" s="42"/>
      <c r="E12" s="42"/>
      <c r="F12" s="42"/>
      <c r="G12" s="42"/>
      <c r="H12" s="44"/>
      <c r="I12" s="44"/>
      <c r="J12" s="35" t="str">
        <f t="shared" si="0"/>
        <v/>
      </c>
      <c r="K12" s="34" t="str">
        <f t="shared" si="1"/>
        <v/>
      </c>
      <c r="L12" s="42"/>
      <c r="M12" s="43"/>
      <c r="N12" s="43"/>
      <c r="O12" s="42"/>
      <c r="P12" s="44"/>
      <c r="Q12" s="34" t="str">
        <f t="shared" si="2"/>
        <v/>
      </c>
      <c r="R12" s="34" t="str">
        <f t="shared" si="3"/>
        <v/>
      </c>
      <c r="S12" s="36" t="str">
        <f t="shared" si="4"/>
        <v/>
      </c>
      <c r="T12" s="42"/>
      <c r="U12" s="51" t="str">
        <f t="shared" si="5"/>
        <v/>
      </c>
      <c r="V12" s="51" t="str">
        <f>IF($A12="","",COUNTIF($A$2:$A12,$A12))</f>
        <v/>
      </c>
    </row>
    <row r="13" spans="1:23" x14ac:dyDescent="0.3">
      <c r="A13" s="42"/>
      <c r="B13" s="42"/>
      <c r="C13" s="36" t="str">
        <f>IF($A13="","",IFERROR(INDEX(SERVIZI!$B:$B,MATCH($B13,SERVIZI!$A:$A,0)),""))</f>
        <v/>
      </c>
      <c r="D13" s="42"/>
      <c r="E13" s="42"/>
      <c r="F13" s="42"/>
      <c r="G13" s="42"/>
      <c r="H13" s="44"/>
      <c r="I13" s="44"/>
      <c r="J13" s="35" t="str">
        <f t="shared" si="0"/>
        <v/>
      </c>
      <c r="K13" s="34" t="str">
        <f t="shared" si="1"/>
        <v/>
      </c>
      <c r="L13" s="42"/>
      <c r="M13" s="43"/>
      <c r="N13" s="43"/>
      <c r="O13" s="42"/>
      <c r="P13" s="44"/>
      <c r="Q13" s="34" t="str">
        <f t="shared" si="2"/>
        <v/>
      </c>
      <c r="R13" s="34" t="str">
        <f t="shared" si="3"/>
        <v/>
      </c>
      <c r="S13" s="36" t="str">
        <f t="shared" si="4"/>
        <v/>
      </c>
      <c r="T13" s="42"/>
      <c r="U13" s="51" t="str">
        <f t="shared" si="5"/>
        <v/>
      </c>
      <c r="V13" s="51" t="str">
        <f>IF($A13="","",COUNTIF($A$2:$A13,$A13))</f>
        <v/>
      </c>
    </row>
    <row r="14" spans="1:23" x14ac:dyDescent="0.3">
      <c r="A14" s="42"/>
      <c r="B14" s="42"/>
      <c r="C14" s="36" t="str">
        <f>IF($A14="","",IFERROR(INDEX(SERVIZI!$B:$B,MATCH($B14,SERVIZI!$A:$A,0)),""))</f>
        <v/>
      </c>
      <c r="D14" s="42"/>
      <c r="E14" s="42"/>
      <c r="F14" s="42"/>
      <c r="G14" s="42"/>
      <c r="H14" s="44"/>
      <c r="I14" s="44"/>
      <c r="J14" s="35" t="str">
        <f t="shared" si="0"/>
        <v/>
      </c>
      <c r="K14" s="34" t="str">
        <f t="shared" si="1"/>
        <v/>
      </c>
      <c r="L14" s="42"/>
      <c r="M14" s="43"/>
      <c r="N14" s="43"/>
      <c r="O14" s="42"/>
      <c r="P14" s="44"/>
      <c r="Q14" s="34" t="str">
        <f t="shared" si="2"/>
        <v/>
      </c>
      <c r="R14" s="34" t="str">
        <f t="shared" si="3"/>
        <v/>
      </c>
      <c r="S14" s="36" t="str">
        <f t="shared" si="4"/>
        <v/>
      </c>
      <c r="T14" s="42"/>
      <c r="U14" s="51" t="str">
        <f t="shared" si="5"/>
        <v/>
      </c>
      <c r="V14" s="51" t="str">
        <f>IF($A14="","",COUNTIF($A$2:$A14,$A14))</f>
        <v/>
      </c>
    </row>
    <row r="15" spans="1:23" x14ac:dyDescent="0.3">
      <c r="A15" s="42"/>
      <c r="B15" s="42"/>
      <c r="C15" s="36" t="str">
        <f>IF($A15="","",IFERROR(INDEX(SERVIZI!$B:$B,MATCH($B15,SERVIZI!$A:$A,0)),""))</f>
        <v/>
      </c>
      <c r="D15" s="42"/>
      <c r="E15" s="42"/>
      <c r="F15" s="42"/>
      <c r="G15" s="42"/>
      <c r="H15" s="44"/>
      <c r="I15" s="44"/>
      <c r="J15" s="35" t="str">
        <f t="shared" si="0"/>
        <v/>
      </c>
      <c r="K15" s="34" t="str">
        <f t="shared" si="1"/>
        <v/>
      </c>
      <c r="L15" s="42"/>
      <c r="M15" s="43"/>
      <c r="N15" s="43"/>
      <c r="O15" s="42"/>
      <c r="P15" s="44"/>
      <c r="Q15" s="34" t="str">
        <f t="shared" si="2"/>
        <v/>
      </c>
      <c r="R15" s="34" t="str">
        <f t="shared" si="3"/>
        <v/>
      </c>
      <c r="S15" s="36" t="str">
        <f t="shared" si="4"/>
        <v/>
      </c>
      <c r="T15" s="42"/>
      <c r="U15" s="51" t="str">
        <f t="shared" si="5"/>
        <v/>
      </c>
      <c r="V15" s="51" t="str">
        <f>IF($A15="","",COUNTIF($A$2:$A15,$A15))</f>
        <v/>
      </c>
    </row>
    <row r="16" spans="1:23" x14ac:dyDescent="0.3">
      <c r="A16" s="42"/>
      <c r="B16" s="42"/>
      <c r="C16" s="36" t="str">
        <f>IF($A16="","",IFERROR(INDEX(SERVIZI!$B:$B,MATCH($B16,SERVIZI!$A:$A,0)),""))</f>
        <v/>
      </c>
      <c r="D16" s="42"/>
      <c r="E16" s="42"/>
      <c r="F16" s="42"/>
      <c r="G16" s="42"/>
      <c r="H16" s="44"/>
      <c r="I16" s="44"/>
      <c r="J16" s="35" t="str">
        <f t="shared" si="0"/>
        <v/>
      </c>
      <c r="K16" s="34" t="str">
        <f t="shared" si="1"/>
        <v/>
      </c>
      <c r="L16" s="42"/>
      <c r="M16" s="43"/>
      <c r="N16" s="43"/>
      <c r="O16" s="42"/>
      <c r="P16" s="44"/>
      <c r="Q16" s="34" t="str">
        <f t="shared" si="2"/>
        <v/>
      </c>
      <c r="R16" s="34" t="str">
        <f t="shared" si="3"/>
        <v/>
      </c>
      <c r="S16" s="36" t="str">
        <f t="shared" si="4"/>
        <v/>
      </c>
      <c r="T16" s="42"/>
      <c r="U16" s="51" t="str">
        <f t="shared" si="5"/>
        <v/>
      </c>
      <c r="V16" s="51" t="str">
        <f>IF($A16="","",COUNTIF($A$2:$A16,$A16))</f>
        <v/>
      </c>
    </row>
    <row r="17" spans="1:22" x14ac:dyDescent="0.3">
      <c r="A17" s="42"/>
      <c r="B17" s="42"/>
      <c r="C17" s="36" t="str">
        <f>IF($A17="","",IFERROR(INDEX(SERVIZI!$B:$B,MATCH($B17,SERVIZI!$A:$A,0)),""))</f>
        <v/>
      </c>
      <c r="D17" s="42"/>
      <c r="E17" s="42"/>
      <c r="F17" s="42"/>
      <c r="G17" s="42"/>
      <c r="H17" s="44"/>
      <c r="I17" s="44"/>
      <c r="J17" s="35" t="str">
        <f t="shared" si="0"/>
        <v/>
      </c>
      <c r="K17" s="34" t="str">
        <f t="shared" si="1"/>
        <v/>
      </c>
      <c r="L17" s="42"/>
      <c r="M17" s="43"/>
      <c r="N17" s="43"/>
      <c r="O17" s="42"/>
      <c r="P17" s="44"/>
      <c r="Q17" s="34" t="str">
        <f t="shared" si="2"/>
        <v/>
      </c>
      <c r="R17" s="34" t="str">
        <f t="shared" si="3"/>
        <v/>
      </c>
      <c r="S17" s="36" t="str">
        <f t="shared" si="4"/>
        <v/>
      </c>
      <c r="T17" s="42"/>
      <c r="U17" s="51" t="str">
        <f t="shared" si="5"/>
        <v/>
      </c>
      <c r="V17" s="51" t="str">
        <f>IF($A17="","",COUNTIF($A$2:$A17,$A17))</f>
        <v/>
      </c>
    </row>
    <row r="18" spans="1:22" x14ac:dyDescent="0.3">
      <c r="A18" s="42"/>
      <c r="B18" s="42"/>
      <c r="C18" s="36" t="str">
        <f>IF($A18="","",IFERROR(INDEX(SERVIZI!$B:$B,MATCH($B18,SERVIZI!$A:$A,0)),""))</f>
        <v/>
      </c>
      <c r="D18" s="42"/>
      <c r="E18" s="42"/>
      <c r="F18" s="42"/>
      <c r="G18" s="42"/>
      <c r="H18" s="44"/>
      <c r="I18" s="44"/>
      <c r="J18" s="35" t="str">
        <f t="shared" si="0"/>
        <v/>
      </c>
      <c r="K18" s="34" t="str">
        <f t="shared" si="1"/>
        <v/>
      </c>
      <c r="L18" s="42"/>
      <c r="M18" s="43"/>
      <c r="N18" s="43"/>
      <c r="O18" s="42"/>
      <c r="P18" s="44"/>
      <c r="Q18" s="34" t="str">
        <f t="shared" si="2"/>
        <v/>
      </c>
      <c r="R18" s="34" t="str">
        <f t="shared" si="3"/>
        <v/>
      </c>
      <c r="S18" s="36" t="str">
        <f t="shared" si="4"/>
        <v/>
      </c>
      <c r="T18" s="42"/>
      <c r="U18" s="51" t="str">
        <f t="shared" si="5"/>
        <v/>
      </c>
      <c r="V18" s="51" t="str">
        <f>IF($A18="","",COUNTIF($A$2:$A18,$A18))</f>
        <v/>
      </c>
    </row>
    <row r="19" spans="1:22" x14ac:dyDescent="0.3">
      <c r="A19" s="42"/>
      <c r="B19" s="42"/>
      <c r="C19" s="36" t="str">
        <f>IF($A19="","",IFERROR(INDEX(SERVIZI!$B:$B,MATCH($B19,SERVIZI!$A:$A,0)),""))</f>
        <v/>
      </c>
      <c r="D19" s="42"/>
      <c r="E19" s="42"/>
      <c r="F19" s="42"/>
      <c r="G19" s="42"/>
      <c r="H19" s="44"/>
      <c r="I19" s="44"/>
      <c r="J19" s="35" t="str">
        <f t="shared" si="0"/>
        <v/>
      </c>
      <c r="K19" s="34" t="str">
        <f t="shared" si="1"/>
        <v/>
      </c>
      <c r="L19" s="42"/>
      <c r="M19" s="43"/>
      <c r="N19" s="43"/>
      <c r="O19" s="42"/>
      <c r="P19" s="44"/>
      <c r="Q19" s="34" t="str">
        <f t="shared" si="2"/>
        <v/>
      </c>
      <c r="R19" s="34" t="str">
        <f t="shared" si="3"/>
        <v/>
      </c>
      <c r="S19" s="36" t="str">
        <f t="shared" si="4"/>
        <v/>
      </c>
      <c r="T19" s="42"/>
      <c r="U19" s="51" t="str">
        <f t="shared" si="5"/>
        <v/>
      </c>
      <c r="V19" s="51" t="str">
        <f>IF($A19="","",COUNTIF($A$2:$A19,$A19))</f>
        <v/>
      </c>
    </row>
    <row r="20" spans="1:22" x14ac:dyDescent="0.3">
      <c r="A20" s="42"/>
      <c r="B20" s="42"/>
      <c r="C20" s="36" t="str">
        <f>IF($A20="","",IFERROR(INDEX(SERVIZI!$B:$B,MATCH($B20,SERVIZI!$A:$A,0)),""))</f>
        <v/>
      </c>
      <c r="D20" s="42"/>
      <c r="E20" s="42"/>
      <c r="F20" s="42"/>
      <c r="G20" s="42"/>
      <c r="H20" s="44"/>
      <c r="I20" s="44"/>
      <c r="J20" s="35" t="str">
        <f t="shared" si="0"/>
        <v/>
      </c>
      <c r="K20" s="34" t="str">
        <f t="shared" si="1"/>
        <v/>
      </c>
      <c r="L20" s="42"/>
      <c r="M20" s="43"/>
      <c r="N20" s="43"/>
      <c r="O20" s="42"/>
      <c r="P20" s="44"/>
      <c r="Q20" s="34" t="str">
        <f t="shared" si="2"/>
        <v/>
      </c>
      <c r="R20" s="34" t="str">
        <f t="shared" si="3"/>
        <v/>
      </c>
      <c r="S20" s="36" t="str">
        <f t="shared" si="4"/>
        <v/>
      </c>
      <c r="T20" s="42"/>
      <c r="U20" s="51" t="str">
        <f t="shared" si="5"/>
        <v/>
      </c>
      <c r="V20" s="51" t="str">
        <f>IF($A20="","",COUNTIF($A$2:$A20,$A20))</f>
        <v/>
      </c>
    </row>
    <row r="21" spans="1:22" x14ac:dyDescent="0.3">
      <c r="A21" s="42"/>
      <c r="B21" s="42"/>
      <c r="C21" s="36" t="str">
        <f>IF($A21="","",IFERROR(INDEX(SERVIZI!$B:$B,MATCH($B21,SERVIZI!$A:$A,0)),""))</f>
        <v/>
      </c>
      <c r="D21" s="42"/>
      <c r="E21" s="42"/>
      <c r="F21" s="42"/>
      <c r="G21" s="42"/>
      <c r="H21" s="44"/>
      <c r="I21" s="44"/>
      <c r="J21" s="35" t="str">
        <f t="shared" si="0"/>
        <v/>
      </c>
      <c r="K21" s="34" t="str">
        <f t="shared" si="1"/>
        <v/>
      </c>
      <c r="L21" s="42"/>
      <c r="M21" s="43"/>
      <c r="N21" s="43"/>
      <c r="O21" s="42"/>
      <c r="P21" s="44"/>
      <c r="Q21" s="34" t="str">
        <f t="shared" si="2"/>
        <v/>
      </c>
      <c r="R21" s="34" t="str">
        <f t="shared" si="3"/>
        <v/>
      </c>
      <c r="S21" s="36" t="str">
        <f t="shared" si="4"/>
        <v/>
      </c>
      <c r="T21" s="42"/>
      <c r="U21" s="51" t="str">
        <f t="shared" si="5"/>
        <v/>
      </c>
      <c r="V21" s="51" t="str">
        <f>IF($A21="","",COUNTIF($A$2:$A21,$A21))</f>
        <v/>
      </c>
    </row>
    <row r="22" spans="1:22" x14ac:dyDescent="0.3">
      <c r="A22" s="42"/>
      <c r="B22" s="42"/>
      <c r="C22" s="36" t="str">
        <f>IF($A22="","",IFERROR(INDEX(SERVIZI!$B:$B,MATCH($B22,SERVIZI!$A:$A,0)),""))</f>
        <v/>
      </c>
      <c r="D22" s="42"/>
      <c r="E22" s="42"/>
      <c r="F22" s="42"/>
      <c r="G22" s="42"/>
      <c r="H22" s="44"/>
      <c r="I22" s="44"/>
      <c r="J22" s="35" t="str">
        <f t="shared" si="0"/>
        <v/>
      </c>
      <c r="K22" s="34" t="str">
        <f t="shared" si="1"/>
        <v/>
      </c>
      <c r="L22" s="42"/>
      <c r="M22" s="43"/>
      <c r="N22" s="43"/>
      <c r="O22" s="42"/>
      <c r="P22" s="44"/>
      <c r="Q22" s="34" t="str">
        <f t="shared" si="2"/>
        <v/>
      </c>
      <c r="R22" s="34" t="str">
        <f t="shared" si="3"/>
        <v/>
      </c>
      <c r="S22" s="36" t="str">
        <f t="shared" si="4"/>
        <v/>
      </c>
      <c r="T22" s="42"/>
      <c r="U22" s="51" t="str">
        <f t="shared" si="5"/>
        <v/>
      </c>
      <c r="V22" s="51" t="str">
        <f>IF($A22="","",COUNTIF($A$2:$A22,$A22))</f>
        <v/>
      </c>
    </row>
    <row r="23" spans="1:22" x14ac:dyDescent="0.3">
      <c r="A23" s="42"/>
      <c r="B23" s="42"/>
      <c r="C23" s="36" t="str">
        <f>IF($A23="","",IFERROR(INDEX(SERVIZI!$B:$B,MATCH($B23,SERVIZI!$A:$A,0)),""))</f>
        <v/>
      </c>
      <c r="D23" s="42"/>
      <c r="E23" s="42"/>
      <c r="F23" s="42"/>
      <c r="G23" s="42"/>
      <c r="H23" s="44"/>
      <c r="I23" s="44"/>
      <c r="J23" s="35" t="str">
        <f t="shared" si="0"/>
        <v/>
      </c>
      <c r="K23" s="34" t="str">
        <f t="shared" si="1"/>
        <v/>
      </c>
      <c r="L23" s="42"/>
      <c r="M23" s="43"/>
      <c r="N23" s="43"/>
      <c r="O23" s="42"/>
      <c r="P23" s="44"/>
      <c r="Q23" s="34" t="str">
        <f t="shared" si="2"/>
        <v/>
      </c>
      <c r="R23" s="34" t="str">
        <f t="shared" si="3"/>
        <v/>
      </c>
      <c r="S23" s="36" t="str">
        <f t="shared" si="4"/>
        <v/>
      </c>
      <c r="T23" s="42"/>
      <c r="U23" s="51" t="str">
        <f t="shared" si="5"/>
        <v/>
      </c>
      <c r="V23" s="51" t="str">
        <f>IF($A23="","",COUNTIF($A$2:$A23,$A23))</f>
        <v/>
      </c>
    </row>
    <row r="24" spans="1:22" x14ac:dyDescent="0.3">
      <c r="A24" s="42"/>
      <c r="B24" s="42"/>
      <c r="C24" s="36" t="str">
        <f>IF($A24="","",IFERROR(INDEX(SERVIZI!$B:$B,MATCH($B24,SERVIZI!$A:$A,0)),""))</f>
        <v/>
      </c>
      <c r="D24" s="42"/>
      <c r="E24" s="42"/>
      <c r="F24" s="42"/>
      <c r="G24" s="42"/>
      <c r="H24" s="44"/>
      <c r="I24" s="44"/>
      <c r="J24" s="35" t="str">
        <f t="shared" si="0"/>
        <v/>
      </c>
      <c r="K24" s="34" t="str">
        <f t="shared" si="1"/>
        <v/>
      </c>
      <c r="L24" s="42"/>
      <c r="M24" s="43"/>
      <c r="N24" s="43"/>
      <c r="O24" s="42"/>
      <c r="P24" s="44"/>
      <c r="Q24" s="34" t="str">
        <f t="shared" si="2"/>
        <v/>
      </c>
      <c r="R24" s="34" t="str">
        <f t="shared" si="3"/>
        <v/>
      </c>
      <c r="S24" s="36" t="str">
        <f t="shared" si="4"/>
        <v/>
      </c>
      <c r="T24" s="42"/>
      <c r="U24" s="51" t="str">
        <f t="shared" si="5"/>
        <v/>
      </c>
      <c r="V24" s="51" t="str">
        <f>IF($A24="","",COUNTIF($A$2:$A24,$A24))</f>
        <v/>
      </c>
    </row>
    <row r="25" spans="1:22" x14ac:dyDescent="0.3">
      <c r="A25" s="42"/>
      <c r="B25" s="42"/>
      <c r="C25" s="36" t="str">
        <f>IF($A25="","",IFERROR(INDEX(SERVIZI!$B:$B,MATCH($B25,SERVIZI!$A:$A,0)),""))</f>
        <v/>
      </c>
      <c r="D25" s="42"/>
      <c r="E25" s="42"/>
      <c r="F25" s="42"/>
      <c r="G25" s="42"/>
      <c r="H25" s="44"/>
      <c r="I25" s="44"/>
      <c r="J25" s="35" t="str">
        <f t="shared" si="0"/>
        <v/>
      </c>
      <c r="K25" s="34" t="str">
        <f t="shared" si="1"/>
        <v/>
      </c>
      <c r="L25" s="42"/>
      <c r="M25" s="43"/>
      <c r="N25" s="43"/>
      <c r="O25" s="42"/>
      <c r="P25" s="44"/>
      <c r="Q25" s="34" t="str">
        <f t="shared" si="2"/>
        <v/>
      </c>
      <c r="R25" s="34" t="str">
        <f t="shared" si="3"/>
        <v/>
      </c>
      <c r="S25" s="36" t="str">
        <f t="shared" si="4"/>
        <v/>
      </c>
      <c r="T25" s="42"/>
      <c r="U25" s="51" t="str">
        <f t="shared" si="5"/>
        <v/>
      </c>
      <c r="V25" s="51" t="str">
        <f>IF($A25="","",COUNTIF($A$2:$A25,$A25))</f>
        <v/>
      </c>
    </row>
    <row r="26" spans="1:22" x14ac:dyDescent="0.3">
      <c r="A26" s="42"/>
      <c r="B26" s="42"/>
      <c r="C26" s="36" t="str">
        <f>IF($A26="","",IFERROR(INDEX(SERVIZI!$B:$B,MATCH($B26,SERVIZI!$A:$A,0)),""))</f>
        <v/>
      </c>
      <c r="D26" s="42"/>
      <c r="E26" s="42"/>
      <c r="F26" s="42"/>
      <c r="G26" s="42"/>
      <c r="H26" s="44"/>
      <c r="I26" s="44"/>
      <c r="J26" s="35" t="str">
        <f t="shared" si="0"/>
        <v/>
      </c>
      <c r="K26" s="34" t="str">
        <f t="shared" si="1"/>
        <v/>
      </c>
      <c r="L26" s="42"/>
      <c r="M26" s="43"/>
      <c r="N26" s="43"/>
      <c r="O26" s="42"/>
      <c r="P26" s="44"/>
      <c r="Q26" s="34" t="str">
        <f t="shared" si="2"/>
        <v/>
      </c>
      <c r="R26" s="34" t="str">
        <f t="shared" si="3"/>
        <v/>
      </c>
      <c r="S26" s="36" t="str">
        <f t="shared" si="4"/>
        <v/>
      </c>
      <c r="T26" s="42"/>
      <c r="U26" s="51" t="str">
        <f t="shared" si="5"/>
        <v/>
      </c>
      <c r="V26" s="51" t="str">
        <f>IF($A26="","",COUNTIF($A$2:$A26,$A26))</f>
        <v/>
      </c>
    </row>
    <row r="27" spans="1:22" x14ac:dyDescent="0.3">
      <c r="A27" s="42"/>
      <c r="B27" s="42"/>
      <c r="C27" s="36" t="str">
        <f>IF($A27="","",IFERROR(INDEX(SERVIZI!$B:$B,MATCH($B27,SERVIZI!$A:$A,0)),""))</f>
        <v/>
      </c>
      <c r="D27" s="42"/>
      <c r="E27" s="42"/>
      <c r="F27" s="42"/>
      <c r="G27" s="42"/>
      <c r="H27" s="44"/>
      <c r="I27" s="44"/>
      <c r="J27" s="35" t="str">
        <f t="shared" si="0"/>
        <v/>
      </c>
      <c r="K27" s="34" t="str">
        <f t="shared" si="1"/>
        <v/>
      </c>
      <c r="L27" s="42"/>
      <c r="M27" s="43"/>
      <c r="N27" s="43"/>
      <c r="O27" s="42"/>
      <c r="P27" s="44"/>
      <c r="Q27" s="34" t="str">
        <f t="shared" si="2"/>
        <v/>
      </c>
      <c r="R27" s="34" t="str">
        <f t="shared" si="3"/>
        <v/>
      </c>
      <c r="S27" s="36" t="str">
        <f t="shared" si="4"/>
        <v/>
      </c>
      <c r="T27" s="42"/>
      <c r="U27" s="51" t="str">
        <f t="shared" si="5"/>
        <v/>
      </c>
      <c r="V27" s="51" t="str">
        <f>IF($A27="","",COUNTIF($A$2:$A27,$A27))</f>
        <v/>
      </c>
    </row>
    <row r="28" spans="1:22" x14ac:dyDescent="0.3">
      <c r="A28" s="42"/>
      <c r="B28" s="42"/>
      <c r="C28" s="36" t="str">
        <f>IF($A28="","",IFERROR(INDEX(SERVIZI!$B:$B,MATCH($B28,SERVIZI!$A:$A,0)),""))</f>
        <v/>
      </c>
      <c r="D28" s="42"/>
      <c r="E28" s="42"/>
      <c r="F28" s="42"/>
      <c r="G28" s="42"/>
      <c r="H28" s="44"/>
      <c r="I28" s="44"/>
      <c r="J28" s="35" t="str">
        <f t="shared" si="0"/>
        <v/>
      </c>
      <c r="K28" s="34" t="str">
        <f t="shared" si="1"/>
        <v/>
      </c>
      <c r="L28" s="42"/>
      <c r="M28" s="43"/>
      <c r="N28" s="43"/>
      <c r="O28" s="42"/>
      <c r="P28" s="44"/>
      <c r="Q28" s="34" t="str">
        <f t="shared" si="2"/>
        <v/>
      </c>
      <c r="R28" s="34" t="str">
        <f t="shared" si="3"/>
        <v/>
      </c>
      <c r="S28" s="36" t="str">
        <f t="shared" si="4"/>
        <v/>
      </c>
      <c r="T28" s="42"/>
      <c r="U28" s="51" t="str">
        <f t="shared" si="5"/>
        <v/>
      </c>
      <c r="V28" s="51" t="str">
        <f>IF($A28="","",COUNTIF($A$2:$A28,$A28))</f>
        <v/>
      </c>
    </row>
    <row r="29" spans="1:22" x14ac:dyDescent="0.3">
      <c r="A29" s="42"/>
      <c r="B29" s="42"/>
      <c r="C29" s="36" t="str">
        <f>IF($A29="","",IFERROR(INDEX(SERVIZI!$B:$B,MATCH($B29,SERVIZI!$A:$A,0)),""))</f>
        <v/>
      </c>
      <c r="D29" s="42"/>
      <c r="E29" s="42"/>
      <c r="F29" s="42"/>
      <c r="G29" s="42"/>
      <c r="H29" s="44"/>
      <c r="I29" s="44"/>
      <c r="J29" s="35" t="str">
        <f t="shared" si="0"/>
        <v/>
      </c>
      <c r="K29" s="34" t="str">
        <f t="shared" si="1"/>
        <v/>
      </c>
      <c r="L29" s="42"/>
      <c r="M29" s="43"/>
      <c r="N29" s="43"/>
      <c r="O29" s="42"/>
      <c r="P29" s="44"/>
      <c r="Q29" s="34" t="str">
        <f t="shared" si="2"/>
        <v/>
      </c>
      <c r="R29" s="34" t="str">
        <f t="shared" si="3"/>
        <v/>
      </c>
      <c r="S29" s="36" t="str">
        <f t="shared" si="4"/>
        <v/>
      </c>
      <c r="T29" s="42"/>
      <c r="U29" s="51" t="str">
        <f t="shared" si="5"/>
        <v/>
      </c>
      <c r="V29" s="51" t="str">
        <f>IF($A29="","",COUNTIF($A$2:$A29,$A29))</f>
        <v/>
      </c>
    </row>
    <row r="30" spans="1:22" x14ac:dyDescent="0.3">
      <c r="A30" s="42"/>
      <c r="B30" s="42"/>
      <c r="C30" s="36" t="str">
        <f>IF($A30="","",IFERROR(INDEX(SERVIZI!$B:$B,MATCH($B30,SERVIZI!$A:$A,0)),""))</f>
        <v/>
      </c>
      <c r="D30" s="42"/>
      <c r="E30" s="42"/>
      <c r="F30" s="42"/>
      <c r="G30" s="42"/>
      <c r="H30" s="44"/>
      <c r="I30" s="44"/>
      <c r="J30" s="35" t="str">
        <f t="shared" si="0"/>
        <v/>
      </c>
      <c r="K30" s="34" t="str">
        <f t="shared" si="1"/>
        <v/>
      </c>
      <c r="L30" s="42"/>
      <c r="M30" s="43"/>
      <c r="N30" s="43"/>
      <c r="O30" s="42"/>
      <c r="P30" s="44"/>
      <c r="Q30" s="34" t="str">
        <f t="shared" si="2"/>
        <v/>
      </c>
      <c r="R30" s="34" t="str">
        <f t="shared" si="3"/>
        <v/>
      </c>
      <c r="S30" s="36" t="str">
        <f t="shared" si="4"/>
        <v/>
      </c>
      <c r="T30" s="42"/>
      <c r="U30" s="51" t="str">
        <f t="shared" si="5"/>
        <v/>
      </c>
      <c r="V30" s="51" t="str">
        <f>IF($A30="","",COUNTIF($A$2:$A30,$A30))</f>
        <v/>
      </c>
    </row>
    <row r="31" spans="1:22" x14ac:dyDescent="0.3">
      <c r="A31" s="42"/>
      <c r="B31" s="42"/>
      <c r="C31" s="36" t="str">
        <f>IF($A31="","",IFERROR(INDEX(SERVIZI!$B:$B,MATCH($B31,SERVIZI!$A:$A,0)),""))</f>
        <v/>
      </c>
      <c r="D31" s="42"/>
      <c r="E31" s="42"/>
      <c r="F31" s="42"/>
      <c r="G31" s="42"/>
      <c r="H31" s="44"/>
      <c r="I31" s="44"/>
      <c r="J31" s="35" t="str">
        <f t="shared" si="0"/>
        <v/>
      </c>
      <c r="K31" s="34" t="str">
        <f t="shared" si="1"/>
        <v/>
      </c>
      <c r="L31" s="42"/>
      <c r="M31" s="43"/>
      <c r="N31" s="43"/>
      <c r="O31" s="42"/>
      <c r="P31" s="44"/>
      <c r="Q31" s="34" t="str">
        <f t="shared" si="2"/>
        <v/>
      </c>
      <c r="R31" s="34" t="str">
        <f t="shared" si="3"/>
        <v/>
      </c>
      <c r="S31" s="36" t="str">
        <f t="shared" si="4"/>
        <v/>
      </c>
      <c r="T31" s="42"/>
      <c r="U31" s="51" t="str">
        <f t="shared" si="5"/>
        <v/>
      </c>
      <c r="V31" s="51" t="str">
        <f>IF($A31="","",COUNTIF($A$2:$A31,$A31))</f>
        <v/>
      </c>
    </row>
    <row r="32" spans="1:22" x14ac:dyDescent="0.3">
      <c r="A32" s="42"/>
      <c r="B32" s="42"/>
      <c r="C32" s="36" t="str">
        <f>IF($A32="","",IFERROR(INDEX(SERVIZI!$B:$B,MATCH($B32,SERVIZI!$A:$A,0)),""))</f>
        <v/>
      </c>
      <c r="D32" s="42"/>
      <c r="E32" s="42"/>
      <c r="F32" s="42"/>
      <c r="G32" s="42"/>
      <c r="H32" s="44"/>
      <c r="I32" s="44"/>
      <c r="J32" s="35" t="str">
        <f t="shared" si="0"/>
        <v/>
      </c>
      <c r="K32" s="34" t="str">
        <f t="shared" si="1"/>
        <v/>
      </c>
      <c r="L32" s="42"/>
      <c r="M32" s="43"/>
      <c r="N32" s="43"/>
      <c r="O32" s="42"/>
      <c r="P32" s="44"/>
      <c r="Q32" s="34" t="str">
        <f t="shared" si="2"/>
        <v/>
      </c>
      <c r="R32" s="34" t="str">
        <f t="shared" si="3"/>
        <v/>
      </c>
      <c r="S32" s="36" t="str">
        <f t="shared" si="4"/>
        <v/>
      </c>
      <c r="T32" s="42"/>
      <c r="U32" s="51" t="str">
        <f t="shared" si="5"/>
        <v/>
      </c>
      <c r="V32" s="51" t="str">
        <f>IF($A32="","",COUNTIF($A$2:$A32,$A32))</f>
        <v/>
      </c>
    </row>
    <row r="33" spans="1:22" x14ac:dyDescent="0.3">
      <c r="A33" s="42"/>
      <c r="B33" s="42"/>
      <c r="C33" s="36" t="str">
        <f>IF($A33="","",IFERROR(INDEX(SERVIZI!$B:$B,MATCH($B33,SERVIZI!$A:$A,0)),""))</f>
        <v/>
      </c>
      <c r="D33" s="42"/>
      <c r="E33" s="42"/>
      <c r="F33" s="42"/>
      <c r="G33" s="42"/>
      <c r="H33" s="44"/>
      <c r="I33" s="44"/>
      <c r="J33" s="35" t="str">
        <f t="shared" si="0"/>
        <v/>
      </c>
      <c r="K33" s="34" t="str">
        <f t="shared" si="1"/>
        <v/>
      </c>
      <c r="L33" s="42"/>
      <c r="M33" s="43"/>
      <c r="N33" s="43"/>
      <c r="O33" s="42"/>
      <c r="P33" s="44"/>
      <c r="Q33" s="34" t="str">
        <f t="shared" si="2"/>
        <v/>
      </c>
      <c r="R33" s="34" t="str">
        <f t="shared" si="3"/>
        <v/>
      </c>
      <c r="S33" s="36" t="str">
        <f t="shared" si="4"/>
        <v/>
      </c>
      <c r="T33" s="42"/>
      <c r="U33" s="51" t="str">
        <f t="shared" si="5"/>
        <v/>
      </c>
      <c r="V33" s="51" t="str">
        <f>IF($A33="","",COUNTIF($A$2:$A33,$A33))</f>
        <v/>
      </c>
    </row>
    <row r="34" spans="1:22" x14ac:dyDescent="0.3">
      <c r="A34" s="42"/>
      <c r="B34" s="42"/>
      <c r="C34" s="36" t="str">
        <f>IF($A34="","",IFERROR(INDEX(SERVIZI!$B:$B,MATCH($B34,SERVIZI!$A:$A,0)),""))</f>
        <v/>
      </c>
      <c r="D34" s="42"/>
      <c r="E34" s="42"/>
      <c r="F34" s="42"/>
      <c r="G34" s="42"/>
      <c r="H34" s="44"/>
      <c r="I34" s="44"/>
      <c r="J34" s="35" t="str">
        <f t="shared" ref="J34:J65" si="6">IF($A34="","",IFERROR(($I34-$H34)/$H34,0))</f>
        <v/>
      </c>
      <c r="K34" s="34" t="str">
        <f t="shared" ref="K34:K65" si="7">IF($A34="","",$I34-$H34)</f>
        <v/>
      </c>
      <c r="L34" s="42"/>
      <c r="M34" s="43"/>
      <c r="N34" s="43"/>
      <c r="O34" s="42"/>
      <c r="P34" s="44"/>
      <c r="Q34" s="34" t="str">
        <f t="shared" ref="Q34:Q65" si="8">IF($A34="","",$H34-$P34)</f>
        <v/>
      </c>
      <c r="R34" s="34" t="str">
        <f t="shared" ref="R34:R65" si="9">IF($A34="","",IF(OR($L34="Emesso",$L34="Prestazione erogata",$L34="Fatturato",$L34="Pagato"),$H34,0))</f>
        <v/>
      </c>
      <c r="S34" s="36" t="str">
        <f t="shared" ref="S34:S65" si="10">IF($A34="","",IF($H34&gt;SOGLIA_DIR,"Direzione",IF($H34&gt;SOGLIA_PM,"Project Manager","Autonomo")))</f>
        <v/>
      </c>
      <c r="T34" s="42"/>
      <c r="U34" s="51" t="str">
        <f t="shared" si="5"/>
        <v/>
      </c>
      <c r="V34" s="51" t="str">
        <f>IF($A34="","",COUNTIF($A$2:$A34,$A34))</f>
        <v/>
      </c>
    </row>
    <row r="35" spans="1:22" x14ac:dyDescent="0.3">
      <c r="A35" s="42"/>
      <c r="B35" s="42"/>
      <c r="C35" s="36" t="str">
        <f>IF($A35="","",IFERROR(INDEX(SERVIZI!$B:$B,MATCH($B35,SERVIZI!$A:$A,0)),""))</f>
        <v/>
      </c>
      <c r="D35" s="42"/>
      <c r="E35" s="42"/>
      <c r="F35" s="42"/>
      <c r="G35" s="42"/>
      <c r="H35" s="44"/>
      <c r="I35" s="44"/>
      <c r="J35" s="35" t="str">
        <f t="shared" si="6"/>
        <v/>
      </c>
      <c r="K35" s="34" t="str">
        <f t="shared" si="7"/>
        <v/>
      </c>
      <c r="L35" s="42"/>
      <c r="M35" s="43"/>
      <c r="N35" s="43"/>
      <c r="O35" s="42"/>
      <c r="P35" s="44"/>
      <c r="Q35" s="34" t="str">
        <f t="shared" si="8"/>
        <v/>
      </c>
      <c r="R35" s="34" t="str">
        <f t="shared" si="9"/>
        <v/>
      </c>
      <c r="S35" s="36" t="str">
        <f t="shared" si="10"/>
        <v/>
      </c>
      <c r="T35" s="42"/>
      <c r="U35" s="51" t="str">
        <f t="shared" si="5"/>
        <v/>
      </c>
      <c r="V35" s="51" t="str">
        <f>IF($A35="","",COUNTIF($A$2:$A35,$A35))</f>
        <v/>
      </c>
    </row>
    <row r="36" spans="1:22" x14ac:dyDescent="0.3">
      <c r="A36" s="42"/>
      <c r="B36" s="42"/>
      <c r="C36" s="36" t="str">
        <f>IF($A36="","",IFERROR(INDEX(SERVIZI!$B:$B,MATCH($B36,SERVIZI!$A:$A,0)),""))</f>
        <v/>
      </c>
      <c r="D36" s="42"/>
      <c r="E36" s="42"/>
      <c r="F36" s="42"/>
      <c r="G36" s="42"/>
      <c r="H36" s="44"/>
      <c r="I36" s="44"/>
      <c r="J36" s="35" t="str">
        <f t="shared" si="6"/>
        <v/>
      </c>
      <c r="K36" s="34" t="str">
        <f t="shared" si="7"/>
        <v/>
      </c>
      <c r="L36" s="42"/>
      <c r="M36" s="43"/>
      <c r="N36" s="43"/>
      <c r="O36" s="42"/>
      <c r="P36" s="44"/>
      <c r="Q36" s="34" t="str">
        <f t="shared" si="8"/>
        <v/>
      </c>
      <c r="R36" s="34" t="str">
        <f t="shared" si="9"/>
        <v/>
      </c>
      <c r="S36" s="36" t="str">
        <f t="shared" si="10"/>
        <v/>
      </c>
      <c r="T36" s="42"/>
      <c r="U36" s="51" t="str">
        <f t="shared" si="5"/>
        <v/>
      </c>
      <c r="V36" s="51" t="str">
        <f>IF($A36="","",COUNTIF($A$2:$A36,$A36))</f>
        <v/>
      </c>
    </row>
    <row r="37" spans="1:22" x14ac:dyDescent="0.3">
      <c r="A37" s="42"/>
      <c r="B37" s="42"/>
      <c r="C37" s="36" t="str">
        <f>IF($A37="","",IFERROR(INDEX(SERVIZI!$B:$B,MATCH($B37,SERVIZI!$A:$A,0)),""))</f>
        <v/>
      </c>
      <c r="D37" s="42"/>
      <c r="E37" s="42"/>
      <c r="F37" s="42"/>
      <c r="G37" s="42"/>
      <c r="H37" s="44"/>
      <c r="I37" s="44"/>
      <c r="J37" s="35" t="str">
        <f t="shared" si="6"/>
        <v/>
      </c>
      <c r="K37" s="34" t="str">
        <f t="shared" si="7"/>
        <v/>
      </c>
      <c r="L37" s="42"/>
      <c r="M37" s="43"/>
      <c r="N37" s="43"/>
      <c r="O37" s="42"/>
      <c r="P37" s="44"/>
      <c r="Q37" s="34" t="str">
        <f t="shared" si="8"/>
        <v/>
      </c>
      <c r="R37" s="34" t="str">
        <f t="shared" si="9"/>
        <v/>
      </c>
      <c r="S37" s="36" t="str">
        <f t="shared" si="10"/>
        <v/>
      </c>
      <c r="T37" s="42"/>
      <c r="U37" s="51" t="str">
        <f t="shared" si="5"/>
        <v/>
      </c>
      <c r="V37" s="51" t="str">
        <f>IF($A37="","",COUNTIF($A$2:$A37,$A37))</f>
        <v/>
      </c>
    </row>
    <row r="38" spans="1:22" x14ac:dyDescent="0.3">
      <c r="A38" s="42"/>
      <c r="B38" s="42"/>
      <c r="C38" s="36" t="str">
        <f>IF($A38="","",IFERROR(INDEX(SERVIZI!$B:$B,MATCH($B38,SERVIZI!$A:$A,0)),""))</f>
        <v/>
      </c>
      <c r="D38" s="42"/>
      <c r="E38" s="42"/>
      <c r="F38" s="42"/>
      <c r="G38" s="42"/>
      <c r="H38" s="44"/>
      <c r="I38" s="44"/>
      <c r="J38" s="35" t="str">
        <f t="shared" si="6"/>
        <v/>
      </c>
      <c r="K38" s="34" t="str">
        <f t="shared" si="7"/>
        <v/>
      </c>
      <c r="L38" s="42"/>
      <c r="M38" s="43"/>
      <c r="N38" s="43"/>
      <c r="O38" s="42"/>
      <c r="P38" s="44"/>
      <c r="Q38" s="34" t="str">
        <f t="shared" si="8"/>
        <v/>
      </c>
      <c r="R38" s="34" t="str">
        <f t="shared" si="9"/>
        <v/>
      </c>
      <c r="S38" s="36" t="str">
        <f t="shared" si="10"/>
        <v/>
      </c>
      <c r="T38" s="42"/>
      <c r="U38" s="51" t="str">
        <f t="shared" si="5"/>
        <v/>
      </c>
      <c r="V38" s="51" t="str">
        <f>IF($A38="","",COUNTIF($A$2:$A38,$A38))</f>
        <v/>
      </c>
    </row>
    <row r="39" spans="1:22" x14ac:dyDescent="0.3">
      <c r="A39" s="42"/>
      <c r="B39" s="42"/>
      <c r="C39" s="36" t="str">
        <f>IF($A39="","",IFERROR(INDEX(SERVIZI!$B:$B,MATCH($B39,SERVIZI!$A:$A,0)),""))</f>
        <v/>
      </c>
      <c r="D39" s="42"/>
      <c r="E39" s="42"/>
      <c r="F39" s="42"/>
      <c r="G39" s="42"/>
      <c r="H39" s="44"/>
      <c r="I39" s="44"/>
      <c r="J39" s="35" t="str">
        <f t="shared" si="6"/>
        <v/>
      </c>
      <c r="K39" s="34" t="str">
        <f t="shared" si="7"/>
        <v/>
      </c>
      <c r="L39" s="42"/>
      <c r="M39" s="43"/>
      <c r="N39" s="43"/>
      <c r="O39" s="42"/>
      <c r="P39" s="44"/>
      <c r="Q39" s="34" t="str">
        <f t="shared" si="8"/>
        <v/>
      </c>
      <c r="R39" s="34" t="str">
        <f t="shared" si="9"/>
        <v/>
      </c>
      <c r="S39" s="36" t="str">
        <f t="shared" si="10"/>
        <v/>
      </c>
      <c r="T39" s="42"/>
      <c r="U39" s="51" t="str">
        <f t="shared" si="5"/>
        <v/>
      </c>
      <c r="V39" s="51" t="str">
        <f>IF($A39="","",COUNTIF($A$2:$A39,$A39))</f>
        <v/>
      </c>
    </row>
    <row r="40" spans="1:22" x14ac:dyDescent="0.3">
      <c r="A40" s="42"/>
      <c r="B40" s="42"/>
      <c r="C40" s="36" t="str">
        <f>IF($A40="","",IFERROR(INDEX(SERVIZI!$B:$B,MATCH($B40,SERVIZI!$A:$A,0)),""))</f>
        <v/>
      </c>
      <c r="D40" s="42"/>
      <c r="E40" s="42"/>
      <c r="F40" s="42"/>
      <c r="G40" s="42"/>
      <c r="H40" s="44"/>
      <c r="I40" s="44"/>
      <c r="J40" s="35" t="str">
        <f t="shared" si="6"/>
        <v/>
      </c>
      <c r="K40" s="34" t="str">
        <f t="shared" si="7"/>
        <v/>
      </c>
      <c r="L40" s="42"/>
      <c r="M40" s="43"/>
      <c r="N40" s="43"/>
      <c r="O40" s="42"/>
      <c r="P40" s="44"/>
      <c r="Q40" s="34" t="str">
        <f t="shared" si="8"/>
        <v/>
      </c>
      <c r="R40" s="34" t="str">
        <f t="shared" si="9"/>
        <v/>
      </c>
      <c r="S40" s="36" t="str">
        <f t="shared" si="10"/>
        <v/>
      </c>
      <c r="T40" s="42"/>
      <c r="U40" s="51" t="str">
        <f t="shared" si="5"/>
        <v/>
      </c>
      <c r="V40" s="51" t="str">
        <f>IF($A40="","",COUNTIF($A$2:$A40,$A40))</f>
        <v/>
      </c>
    </row>
    <row r="41" spans="1:22" x14ac:dyDescent="0.3">
      <c r="A41" s="42"/>
      <c r="B41" s="42"/>
      <c r="C41" s="36" t="str">
        <f>IF($A41="","",IFERROR(INDEX(SERVIZI!$B:$B,MATCH($B41,SERVIZI!$A:$A,0)),""))</f>
        <v/>
      </c>
      <c r="D41" s="42"/>
      <c r="E41" s="42"/>
      <c r="F41" s="42"/>
      <c r="G41" s="42"/>
      <c r="H41" s="44"/>
      <c r="I41" s="44"/>
      <c r="J41" s="35" t="str">
        <f t="shared" si="6"/>
        <v/>
      </c>
      <c r="K41" s="34" t="str">
        <f t="shared" si="7"/>
        <v/>
      </c>
      <c r="L41" s="42"/>
      <c r="M41" s="43"/>
      <c r="N41" s="43"/>
      <c r="O41" s="42"/>
      <c r="P41" s="44"/>
      <c r="Q41" s="34" t="str">
        <f t="shared" si="8"/>
        <v/>
      </c>
      <c r="R41" s="34" t="str">
        <f t="shared" si="9"/>
        <v/>
      </c>
      <c r="S41" s="36" t="str">
        <f t="shared" si="10"/>
        <v/>
      </c>
      <c r="T41" s="42"/>
      <c r="U41" s="51" t="str">
        <f t="shared" si="5"/>
        <v/>
      </c>
      <c r="V41" s="51" t="str">
        <f>IF($A41="","",COUNTIF($A$2:$A41,$A41))</f>
        <v/>
      </c>
    </row>
    <row r="42" spans="1:22" x14ac:dyDescent="0.3">
      <c r="A42" s="42"/>
      <c r="B42" s="42"/>
      <c r="C42" s="36" t="str">
        <f>IF($A42="","",IFERROR(INDEX(SERVIZI!$B:$B,MATCH($B42,SERVIZI!$A:$A,0)),""))</f>
        <v/>
      </c>
      <c r="D42" s="42"/>
      <c r="E42" s="42"/>
      <c r="F42" s="42"/>
      <c r="G42" s="42"/>
      <c r="H42" s="44"/>
      <c r="I42" s="44"/>
      <c r="J42" s="35" t="str">
        <f t="shared" si="6"/>
        <v/>
      </c>
      <c r="K42" s="34" t="str">
        <f t="shared" si="7"/>
        <v/>
      </c>
      <c r="L42" s="42"/>
      <c r="M42" s="43"/>
      <c r="N42" s="43"/>
      <c r="O42" s="42"/>
      <c r="P42" s="44"/>
      <c r="Q42" s="34" t="str">
        <f t="shared" si="8"/>
        <v/>
      </c>
      <c r="R42" s="34" t="str">
        <f t="shared" si="9"/>
        <v/>
      </c>
      <c r="S42" s="36" t="str">
        <f t="shared" si="10"/>
        <v/>
      </c>
      <c r="T42" s="42"/>
      <c r="U42" s="51" t="str">
        <f t="shared" si="5"/>
        <v/>
      </c>
      <c r="V42" s="51" t="str">
        <f>IF($A42="","",COUNTIF($A$2:$A42,$A42))</f>
        <v/>
      </c>
    </row>
    <row r="43" spans="1:22" x14ac:dyDescent="0.3">
      <c r="A43" s="42"/>
      <c r="B43" s="42"/>
      <c r="C43" s="36" t="str">
        <f>IF($A43="","",IFERROR(INDEX(SERVIZI!$B:$B,MATCH($B43,SERVIZI!$A:$A,0)),""))</f>
        <v/>
      </c>
      <c r="D43" s="42"/>
      <c r="E43" s="42"/>
      <c r="F43" s="42"/>
      <c r="G43" s="42"/>
      <c r="H43" s="44"/>
      <c r="I43" s="44"/>
      <c r="J43" s="35" t="str">
        <f t="shared" si="6"/>
        <v/>
      </c>
      <c r="K43" s="34" t="str">
        <f t="shared" si="7"/>
        <v/>
      </c>
      <c r="L43" s="42"/>
      <c r="M43" s="43"/>
      <c r="N43" s="43"/>
      <c r="O43" s="42"/>
      <c r="P43" s="44"/>
      <c r="Q43" s="34" t="str">
        <f t="shared" si="8"/>
        <v/>
      </c>
      <c r="R43" s="34" t="str">
        <f t="shared" si="9"/>
        <v/>
      </c>
      <c r="S43" s="36" t="str">
        <f t="shared" si="10"/>
        <v/>
      </c>
      <c r="T43" s="42"/>
      <c r="U43" s="51" t="str">
        <f t="shared" si="5"/>
        <v/>
      </c>
      <c r="V43" s="51" t="str">
        <f>IF($A43="","",COUNTIF($A$2:$A43,$A43))</f>
        <v/>
      </c>
    </row>
    <row r="44" spans="1:22" x14ac:dyDescent="0.3">
      <c r="A44" s="42"/>
      <c r="B44" s="42"/>
      <c r="C44" s="36" t="str">
        <f>IF($A44="","",IFERROR(INDEX(SERVIZI!$B:$B,MATCH($B44,SERVIZI!$A:$A,0)),""))</f>
        <v/>
      </c>
      <c r="D44" s="42"/>
      <c r="E44" s="42"/>
      <c r="F44" s="42"/>
      <c r="G44" s="42"/>
      <c r="H44" s="44"/>
      <c r="I44" s="44"/>
      <c r="J44" s="35" t="str">
        <f t="shared" si="6"/>
        <v/>
      </c>
      <c r="K44" s="34" t="str">
        <f t="shared" si="7"/>
        <v/>
      </c>
      <c r="L44" s="42"/>
      <c r="M44" s="43"/>
      <c r="N44" s="43"/>
      <c r="O44" s="42"/>
      <c r="P44" s="44"/>
      <c r="Q44" s="34" t="str">
        <f t="shared" si="8"/>
        <v/>
      </c>
      <c r="R44" s="34" t="str">
        <f t="shared" si="9"/>
        <v/>
      </c>
      <c r="S44" s="36" t="str">
        <f t="shared" si="10"/>
        <v/>
      </c>
      <c r="T44" s="42"/>
      <c r="U44" s="51" t="str">
        <f t="shared" si="5"/>
        <v/>
      </c>
      <c r="V44" s="51" t="str">
        <f>IF($A44="","",COUNTIF($A$2:$A44,$A44))</f>
        <v/>
      </c>
    </row>
    <row r="45" spans="1:22" x14ac:dyDescent="0.3">
      <c r="A45" s="42"/>
      <c r="B45" s="42"/>
      <c r="C45" s="36" t="str">
        <f>IF($A45="","",IFERROR(INDEX(SERVIZI!$B:$B,MATCH($B45,SERVIZI!$A:$A,0)),""))</f>
        <v/>
      </c>
      <c r="D45" s="42"/>
      <c r="E45" s="42"/>
      <c r="F45" s="42"/>
      <c r="G45" s="42"/>
      <c r="H45" s="44"/>
      <c r="I45" s="44"/>
      <c r="J45" s="35" t="str">
        <f t="shared" si="6"/>
        <v/>
      </c>
      <c r="K45" s="34" t="str">
        <f t="shared" si="7"/>
        <v/>
      </c>
      <c r="L45" s="42"/>
      <c r="M45" s="43"/>
      <c r="N45" s="43"/>
      <c r="O45" s="42"/>
      <c r="P45" s="44"/>
      <c r="Q45" s="34" t="str">
        <f t="shared" si="8"/>
        <v/>
      </c>
      <c r="R45" s="34" t="str">
        <f t="shared" si="9"/>
        <v/>
      </c>
      <c r="S45" s="36" t="str">
        <f t="shared" si="10"/>
        <v/>
      </c>
      <c r="T45" s="42"/>
      <c r="U45" s="51" t="str">
        <f t="shared" si="5"/>
        <v/>
      </c>
      <c r="V45" s="51" t="str">
        <f>IF($A45="","",COUNTIF($A$2:$A45,$A45))</f>
        <v/>
      </c>
    </row>
    <row r="46" spans="1:22" x14ac:dyDescent="0.3">
      <c r="A46" s="42"/>
      <c r="B46" s="42"/>
      <c r="C46" s="36" t="str">
        <f>IF($A46="","",IFERROR(INDEX(SERVIZI!$B:$B,MATCH($B46,SERVIZI!$A:$A,0)),""))</f>
        <v/>
      </c>
      <c r="D46" s="42"/>
      <c r="E46" s="42"/>
      <c r="F46" s="42"/>
      <c r="G46" s="42"/>
      <c r="H46" s="44"/>
      <c r="I46" s="44"/>
      <c r="J46" s="35" t="str">
        <f t="shared" si="6"/>
        <v/>
      </c>
      <c r="K46" s="34" t="str">
        <f t="shared" si="7"/>
        <v/>
      </c>
      <c r="L46" s="42"/>
      <c r="M46" s="43"/>
      <c r="N46" s="43"/>
      <c r="O46" s="42"/>
      <c r="P46" s="44"/>
      <c r="Q46" s="34" t="str">
        <f t="shared" si="8"/>
        <v/>
      </c>
      <c r="R46" s="34" t="str">
        <f t="shared" si="9"/>
        <v/>
      </c>
      <c r="S46" s="36" t="str">
        <f t="shared" si="10"/>
        <v/>
      </c>
      <c r="T46" s="42"/>
      <c r="U46" s="51" t="str">
        <f t="shared" si="5"/>
        <v/>
      </c>
      <c r="V46" s="51" t="str">
        <f>IF($A46="","",COUNTIF($A$2:$A46,$A46))</f>
        <v/>
      </c>
    </row>
    <row r="47" spans="1:22" x14ac:dyDescent="0.3">
      <c r="A47" s="42"/>
      <c r="B47" s="42"/>
      <c r="C47" s="36" t="str">
        <f>IF($A47="","",IFERROR(INDEX(SERVIZI!$B:$B,MATCH($B47,SERVIZI!$A:$A,0)),""))</f>
        <v/>
      </c>
      <c r="D47" s="42"/>
      <c r="E47" s="42"/>
      <c r="F47" s="42"/>
      <c r="G47" s="42"/>
      <c r="H47" s="44"/>
      <c r="I47" s="44"/>
      <c r="J47" s="35" t="str">
        <f t="shared" si="6"/>
        <v/>
      </c>
      <c r="K47" s="34" t="str">
        <f t="shared" si="7"/>
        <v/>
      </c>
      <c r="L47" s="42"/>
      <c r="M47" s="43"/>
      <c r="N47" s="43"/>
      <c r="O47" s="42"/>
      <c r="P47" s="44"/>
      <c r="Q47" s="34" t="str">
        <f t="shared" si="8"/>
        <v/>
      </c>
      <c r="R47" s="34" t="str">
        <f t="shared" si="9"/>
        <v/>
      </c>
      <c r="S47" s="36" t="str">
        <f t="shared" si="10"/>
        <v/>
      </c>
      <c r="T47" s="42"/>
      <c r="U47" s="51" t="str">
        <f t="shared" si="5"/>
        <v/>
      </c>
      <c r="V47" s="51" t="str">
        <f>IF($A47="","",COUNTIF($A$2:$A47,$A47))</f>
        <v/>
      </c>
    </row>
    <row r="48" spans="1:22" x14ac:dyDescent="0.3">
      <c r="A48" s="42"/>
      <c r="B48" s="42"/>
      <c r="C48" s="36" t="str">
        <f>IF($A48="","",IFERROR(INDEX(SERVIZI!$B:$B,MATCH($B48,SERVIZI!$A:$A,0)),""))</f>
        <v/>
      </c>
      <c r="D48" s="42"/>
      <c r="E48" s="42"/>
      <c r="F48" s="42"/>
      <c r="G48" s="42"/>
      <c r="H48" s="44"/>
      <c r="I48" s="44"/>
      <c r="J48" s="35" t="str">
        <f t="shared" si="6"/>
        <v/>
      </c>
      <c r="K48" s="34" t="str">
        <f t="shared" si="7"/>
        <v/>
      </c>
      <c r="L48" s="42"/>
      <c r="M48" s="43"/>
      <c r="N48" s="43"/>
      <c r="O48" s="42"/>
      <c r="P48" s="44"/>
      <c r="Q48" s="34" t="str">
        <f t="shared" si="8"/>
        <v/>
      </c>
      <c r="R48" s="34" t="str">
        <f t="shared" si="9"/>
        <v/>
      </c>
      <c r="S48" s="36" t="str">
        <f t="shared" si="10"/>
        <v/>
      </c>
      <c r="T48" s="42"/>
      <c r="U48" s="51" t="str">
        <f t="shared" si="5"/>
        <v/>
      </c>
      <c r="V48" s="51" t="str">
        <f>IF($A48="","",COUNTIF($A$2:$A48,$A48))</f>
        <v/>
      </c>
    </row>
    <row r="49" spans="1:22" x14ac:dyDescent="0.3">
      <c r="A49" s="42"/>
      <c r="B49" s="42"/>
      <c r="C49" s="36" t="str">
        <f>IF($A49="","",IFERROR(INDEX(SERVIZI!$B:$B,MATCH($B49,SERVIZI!$A:$A,0)),""))</f>
        <v/>
      </c>
      <c r="D49" s="42"/>
      <c r="E49" s="42"/>
      <c r="F49" s="42"/>
      <c r="G49" s="42"/>
      <c r="H49" s="44"/>
      <c r="I49" s="44"/>
      <c r="J49" s="35" t="str">
        <f t="shared" si="6"/>
        <v/>
      </c>
      <c r="K49" s="34" t="str">
        <f t="shared" si="7"/>
        <v/>
      </c>
      <c r="L49" s="42"/>
      <c r="M49" s="43"/>
      <c r="N49" s="43"/>
      <c r="O49" s="42"/>
      <c r="P49" s="44"/>
      <c r="Q49" s="34" t="str">
        <f t="shared" si="8"/>
        <v/>
      </c>
      <c r="R49" s="34" t="str">
        <f t="shared" si="9"/>
        <v/>
      </c>
      <c r="S49" s="36" t="str">
        <f t="shared" si="10"/>
        <v/>
      </c>
      <c r="T49" s="42"/>
      <c r="U49" s="51" t="str">
        <f t="shared" si="5"/>
        <v/>
      </c>
      <c r="V49" s="51" t="str">
        <f>IF($A49="","",COUNTIF($A$2:$A49,$A49))</f>
        <v/>
      </c>
    </row>
    <row r="50" spans="1:22" x14ac:dyDescent="0.3">
      <c r="A50" s="42"/>
      <c r="B50" s="42"/>
      <c r="C50" s="36" t="str">
        <f>IF($A50="","",IFERROR(INDEX(SERVIZI!$B:$B,MATCH($B50,SERVIZI!$A:$A,0)),""))</f>
        <v/>
      </c>
      <c r="D50" s="42"/>
      <c r="E50" s="42"/>
      <c r="F50" s="42"/>
      <c r="G50" s="42"/>
      <c r="H50" s="44"/>
      <c r="I50" s="44"/>
      <c r="J50" s="35" t="str">
        <f t="shared" si="6"/>
        <v/>
      </c>
      <c r="K50" s="34" t="str">
        <f t="shared" si="7"/>
        <v/>
      </c>
      <c r="L50" s="42"/>
      <c r="M50" s="43"/>
      <c r="N50" s="43"/>
      <c r="O50" s="42"/>
      <c r="P50" s="44"/>
      <c r="Q50" s="34" t="str">
        <f t="shared" si="8"/>
        <v/>
      </c>
      <c r="R50" s="34" t="str">
        <f t="shared" si="9"/>
        <v/>
      </c>
      <c r="S50" s="36" t="str">
        <f t="shared" si="10"/>
        <v/>
      </c>
      <c r="T50" s="42"/>
      <c r="U50" s="51" t="str">
        <f t="shared" si="5"/>
        <v/>
      </c>
      <c r="V50" s="51" t="str">
        <f>IF($A50="","",COUNTIF($A$2:$A50,$A50))</f>
        <v/>
      </c>
    </row>
    <row r="51" spans="1:22" x14ac:dyDescent="0.3">
      <c r="A51" s="42"/>
      <c r="B51" s="42"/>
      <c r="C51" s="36" t="str">
        <f>IF($A51="","",IFERROR(INDEX(SERVIZI!$B:$B,MATCH($B51,SERVIZI!$A:$A,0)),""))</f>
        <v/>
      </c>
      <c r="D51" s="42"/>
      <c r="E51" s="42"/>
      <c r="F51" s="42"/>
      <c r="G51" s="42"/>
      <c r="H51" s="44"/>
      <c r="I51" s="44"/>
      <c r="J51" s="35" t="str">
        <f t="shared" si="6"/>
        <v/>
      </c>
      <c r="K51" s="34" t="str">
        <f t="shared" si="7"/>
        <v/>
      </c>
      <c r="L51" s="42"/>
      <c r="M51" s="43"/>
      <c r="N51" s="43"/>
      <c r="O51" s="42"/>
      <c r="P51" s="44"/>
      <c r="Q51" s="34" t="str">
        <f t="shared" si="8"/>
        <v/>
      </c>
      <c r="R51" s="34" t="str">
        <f t="shared" si="9"/>
        <v/>
      </c>
      <c r="S51" s="36" t="str">
        <f t="shared" si="10"/>
        <v/>
      </c>
      <c r="T51" s="42"/>
      <c r="U51" s="51" t="str">
        <f t="shared" si="5"/>
        <v/>
      </c>
      <c r="V51" s="51" t="str">
        <f>IF($A51="","",COUNTIF($A$2:$A51,$A51))</f>
        <v/>
      </c>
    </row>
    <row r="52" spans="1:22" x14ac:dyDescent="0.3">
      <c r="A52" s="42"/>
      <c r="B52" s="42"/>
      <c r="C52" s="36" t="str">
        <f>IF($A52="","",IFERROR(INDEX(SERVIZI!$B:$B,MATCH($B52,SERVIZI!$A:$A,0)),""))</f>
        <v/>
      </c>
      <c r="D52" s="42"/>
      <c r="E52" s="42"/>
      <c r="F52" s="42"/>
      <c r="G52" s="42"/>
      <c r="H52" s="44"/>
      <c r="I52" s="44"/>
      <c r="J52" s="35" t="str">
        <f t="shared" si="6"/>
        <v/>
      </c>
      <c r="K52" s="34" t="str">
        <f t="shared" si="7"/>
        <v/>
      </c>
      <c r="L52" s="42"/>
      <c r="M52" s="43"/>
      <c r="N52" s="43"/>
      <c r="O52" s="42"/>
      <c r="P52" s="44"/>
      <c r="Q52" s="34" t="str">
        <f t="shared" si="8"/>
        <v/>
      </c>
      <c r="R52" s="34" t="str">
        <f t="shared" si="9"/>
        <v/>
      </c>
      <c r="S52" s="36" t="str">
        <f t="shared" si="10"/>
        <v/>
      </c>
      <c r="T52" s="42"/>
      <c r="U52" s="51" t="str">
        <f t="shared" si="5"/>
        <v/>
      </c>
      <c r="V52" s="51" t="str">
        <f>IF($A52="","",COUNTIF($A$2:$A52,$A52))</f>
        <v/>
      </c>
    </row>
    <row r="53" spans="1:22" x14ac:dyDescent="0.3">
      <c r="A53" s="42"/>
      <c r="B53" s="42"/>
      <c r="C53" s="36" t="str">
        <f>IF($A53="","",IFERROR(INDEX(SERVIZI!$B:$B,MATCH($B53,SERVIZI!$A:$A,0)),""))</f>
        <v/>
      </c>
      <c r="D53" s="42"/>
      <c r="E53" s="42"/>
      <c r="F53" s="42"/>
      <c r="G53" s="42"/>
      <c r="H53" s="44"/>
      <c r="I53" s="44"/>
      <c r="J53" s="35" t="str">
        <f t="shared" si="6"/>
        <v/>
      </c>
      <c r="K53" s="34" t="str">
        <f t="shared" si="7"/>
        <v/>
      </c>
      <c r="L53" s="42"/>
      <c r="M53" s="43"/>
      <c r="N53" s="43"/>
      <c r="O53" s="42"/>
      <c r="P53" s="44"/>
      <c r="Q53" s="34" t="str">
        <f t="shared" si="8"/>
        <v/>
      </c>
      <c r="R53" s="34" t="str">
        <f t="shared" si="9"/>
        <v/>
      </c>
      <c r="S53" s="36" t="str">
        <f t="shared" si="10"/>
        <v/>
      </c>
      <c r="T53" s="42"/>
      <c r="U53" s="51" t="str">
        <f t="shared" si="5"/>
        <v/>
      </c>
      <c r="V53" s="51" t="str">
        <f>IF($A53="","",COUNTIF($A$2:$A53,$A53))</f>
        <v/>
      </c>
    </row>
    <row r="54" spans="1:22" x14ac:dyDescent="0.3">
      <c r="A54" s="42"/>
      <c r="B54" s="42"/>
      <c r="C54" s="36" t="str">
        <f>IF($A54="","",IFERROR(INDEX(SERVIZI!$B:$B,MATCH($B54,SERVIZI!$A:$A,0)),""))</f>
        <v/>
      </c>
      <c r="D54" s="42"/>
      <c r="E54" s="42"/>
      <c r="F54" s="42"/>
      <c r="G54" s="42"/>
      <c r="H54" s="44"/>
      <c r="I54" s="44"/>
      <c r="J54" s="35" t="str">
        <f t="shared" si="6"/>
        <v/>
      </c>
      <c r="K54" s="34" t="str">
        <f t="shared" si="7"/>
        <v/>
      </c>
      <c r="L54" s="42"/>
      <c r="M54" s="43"/>
      <c r="N54" s="43"/>
      <c r="O54" s="42"/>
      <c r="P54" s="44"/>
      <c r="Q54" s="34" t="str">
        <f t="shared" si="8"/>
        <v/>
      </c>
      <c r="R54" s="34" t="str">
        <f t="shared" si="9"/>
        <v/>
      </c>
      <c r="S54" s="36" t="str">
        <f t="shared" si="10"/>
        <v/>
      </c>
      <c r="T54" s="42"/>
      <c r="U54" s="51" t="str">
        <f t="shared" si="5"/>
        <v/>
      </c>
      <c r="V54" s="51" t="str">
        <f>IF($A54="","",COUNTIF($A$2:$A54,$A54))</f>
        <v/>
      </c>
    </row>
    <row r="55" spans="1:22" x14ac:dyDescent="0.3">
      <c r="A55" s="42"/>
      <c r="B55" s="42"/>
      <c r="C55" s="36" t="str">
        <f>IF($A55="","",IFERROR(INDEX(SERVIZI!$B:$B,MATCH($B55,SERVIZI!$A:$A,0)),""))</f>
        <v/>
      </c>
      <c r="D55" s="42"/>
      <c r="E55" s="42"/>
      <c r="F55" s="42"/>
      <c r="G55" s="42"/>
      <c r="H55" s="44"/>
      <c r="I55" s="44"/>
      <c r="J55" s="35" t="str">
        <f t="shared" si="6"/>
        <v/>
      </c>
      <c r="K55" s="34" t="str">
        <f t="shared" si="7"/>
        <v/>
      </c>
      <c r="L55" s="42"/>
      <c r="M55" s="43"/>
      <c r="N55" s="43"/>
      <c r="O55" s="42"/>
      <c r="P55" s="44"/>
      <c r="Q55" s="34" t="str">
        <f t="shared" si="8"/>
        <v/>
      </c>
      <c r="R55" s="34" t="str">
        <f t="shared" si="9"/>
        <v/>
      </c>
      <c r="S55" s="36" t="str">
        <f t="shared" si="10"/>
        <v/>
      </c>
      <c r="T55" s="42"/>
      <c r="U55" s="51" t="str">
        <f t="shared" si="5"/>
        <v/>
      </c>
      <c r="V55" s="51" t="str">
        <f>IF($A55="","",COUNTIF($A$2:$A55,$A55))</f>
        <v/>
      </c>
    </row>
    <row r="56" spans="1:22" x14ac:dyDescent="0.3">
      <c r="A56" s="42"/>
      <c r="B56" s="42"/>
      <c r="C56" s="36" t="str">
        <f>IF($A56="","",IFERROR(INDEX(SERVIZI!$B:$B,MATCH($B56,SERVIZI!$A:$A,0)),""))</f>
        <v/>
      </c>
      <c r="D56" s="42"/>
      <c r="E56" s="42"/>
      <c r="F56" s="42"/>
      <c r="G56" s="42"/>
      <c r="H56" s="44"/>
      <c r="I56" s="44"/>
      <c r="J56" s="35" t="str">
        <f t="shared" si="6"/>
        <v/>
      </c>
      <c r="K56" s="34" t="str">
        <f t="shared" si="7"/>
        <v/>
      </c>
      <c r="L56" s="42"/>
      <c r="M56" s="43"/>
      <c r="N56" s="43"/>
      <c r="O56" s="42"/>
      <c r="P56" s="44"/>
      <c r="Q56" s="34" t="str">
        <f t="shared" si="8"/>
        <v/>
      </c>
      <c r="R56" s="34" t="str">
        <f t="shared" si="9"/>
        <v/>
      </c>
      <c r="S56" s="36" t="str">
        <f t="shared" si="10"/>
        <v/>
      </c>
      <c r="T56" s="42"/>
      <c r="U56" s="51" t="str">
        <f t="shared" si="5"/>
        <v/>
      </c>
      <c r="V56" s="51" t="str">
        <f>IF($A56="","",COUNTIF($A$2:$A56,$A56))</f>
        <v/>
      </c>
    </row>
    <row r="57" spans="1:22" x14ac:dyDescent="0.3">
      <c r="A57" s="42"/>
      <c r="B57" s="42"/>
      <c r="C57" s="36" t="str">
        <f>IF($A57="","",IFERROR(INDEX(SERVIZI!$B:$B,MATCH($B57,SERVIZI!$A:$A,0)),""))</f>
        <v/>
      </c>
      <c r="D57" s="42"/>
      <c r="E57" s="42"/>
      <c r="F57" s="42"/>
      <c r="G57" s="42"/>
      <c r="H57" s="44"/>
      <c r="I57" s="44"/>
      <c r="J57" s="35" t="str">
        <f t="shared" si="6"/>
        <v/>
      </c>
      <c r="K57" s="34" t="str">
        <f t="shared" si="7"/>
        <v/>
      </c>
      <c r="L57" s="42"/>
      <c r="M57" s="43"/>
      <c r="N57" s="43"/>
      <c r="O57" s="42"/>
      <c r="P57" s="44"/>
      <c r="Q57" s="34" t="str">
        <f t="shared" si="8"/>
        <v/>
      </c>
      <c r="R57" s="34" t="str">
        <f t="shared" si="9"/>
        <v/>
      </c>
      <c r="S57" s="36" t="str">
        <f t="shared" si="10"/>
        <v/>
      </c>
      <c r="T57" s="42"/>
      <c r="U57" s="51" t="str">
        <f t="shared" si="5"/>
        <v/>
      </c>
      <c r="V57" s="51" t="str">
        <f>IF($A57="","",COUNTIF($A$2:$A57,$A57))</f>
        <v/>
      </c>
    </row>
    <row r="58" spans="1:22" x14ac:dyDescent="0.3">
      <c r="A58" s="42"/>
      <c r="B58" s="42"/>
      <c r="C58" s="36" t="str">
        <f>IF($A58="","",IFERROR(INDEX(SERVIZI!$B:$B,MATCH($B58,SERVIZI!$A:$A,0)),""))</f>
        <v/>
      </c>
      <c r="D58" s="42"/>
      <c r="E58" s="42"/>
      <c r="F58" s="42"/>
      <c r="G58" s="42"/>
      <c r="H58" s="44"/>
      <c r="I58" s="44"/>
      <c r="J58" s="35" t="str">
        <f t="shared" si="6"/>
        <v/>
      </c>
      <c r="K58" s="34" t="str">
        <f t="shared" si="7"/>
        <v/>
      </c>
      <c r="L58" s="42"/>
      <c r="M58" s="43"/>
      <c r="N58" s="43"/>
      <c r="O58" s="42"/>
      <c r="P58" s="44"/>
      <c r="Q58" s="34" t="str">
        <f t="shared" si="8"/>
        <v/>
      </c>
      <c r="R58" s="34" t="str">
        <f t="shared" si="9"/>
        <v/>
      </c>
      <c r="S58" s="36" t="str">
        <f t="shared" si="10"/>
        <v/>
      </c>
      <c r="T58" s="42"/>
      <c r="U58" s="51" t="str">
        <f t="shared" si="5"/>
        <v/>
      </c>
      <c r="V58" s="51" t="str">
        <f>IF($A58="","",COUNTIF($A$2:$A58,$A58))</f>
        <v/>
      </c>
    </row>
    <row r="59" spans="1:22" x14ac:dyDescent="0.3">
      <c r="A59" s="42"/>
      <c r="B59" s="42"/>
      <c r="C59" s="36" t="str">
        <f>IF($A59="","",IFERROR(INDEX(SERVIZI!$B:$B,MATCH($B59,SERVIZI!$A:$A,0)),""))</f>
        <v/>
      </c>
      <c r="D59" s="42"/>
      <c r="E59" s="42"/>
      <c r="F59" s="42"/>
      <c r="G59" s="42"/>
      <c r="H59" s="44"/>
      <c r="I59" s="44"/>
      <c r="J59" s="35" t="str">
        <f t="shared" si="6"/>
        <v/>
      </c>
      <c r="K59" s="34" t="str">
        <f t="shared" si="7"/>
        <v/>
      </c>
      <c r="L59" s="42"/>
      <c r="M59" s="43"/>
      <c r="N59" s="43"/>
      <c r="O59" s="42"/>
      <c r="P59" s="44"/>
      <c r="Q59" s="34" t="str">
        <f t="shared" si="8"/>
        <v/>
      </c>
      <c r="R59" s="34" t="str">
        <f t="shared" si="9"/>
        <v/>
      </c>
      <c r="S59" s="36" t="str">
        <f t="shared" si="10"/>
        <v/>
      </c>
      <c r="T59" s="42"/>
      <c r="U59" s="51" t="str">
        <f t="shared" si="5"/>
        <v/>
      </c>
      <c r="V59" s="51" t="str">
        <f>IF($A59="","",COUNTIF($A$2:$A59,$A59))</f>
        <v/>
      </c>
    </row>
    <row r="60" spans="1:22" x14ac:dyDescent="0.3">
      <c r="A60" s="42"/>
      <c r="B60" s="42"/>
      <c r="C60" s="36" t="str">
        <f>IF($A60="","",IFERROR(INDEX(SERVIZI!$B:$B,MATCH($B60,SERVIZI!$A:$A,0)),""))</f>
        <v/>
      </c>
      <c r="D60" s="42"/>
      <c r="E60" s="42"/>
      <c r="F60" s="42"/>
      <c r="G60" s="42"/>
      <c r="H60" s="44"/>
      <c r="I60" s="44"/>
      <c r="J60" s="35" t="str">
        <f t="shared" si="6"/>
        <v/>
      </c>
      <c r="K60" s="34" t="str">
        <f t="shared" si="7"/>
        <v/>
      </c>
      <c r="L60" s="42"/>
      <c r="M60" s="43"/>
      <c r="N60" s="43"/>
      <c r="O60" s="42"/>
      <c r="P60" s="44"/>
      <c r="Q60" s="34" t="str">
        <f t="shared" si="8"/>
        <v/>
      </c>
      <c r="R60" s="34" t="str">
        <f t="shared" si="9"/>
        <v/>
      </c>
      <c r="S60" s="36" t="str">
        <f t="shared" si="10"/>
        <v/>
      </c>
      <c r="T60" s="42"/>
      <c r="U60" s="51" t="str">
        <f t="shared" si="5"/>
        <v/>
      </c>
      <c r="V60" s="51" t="str">
        <f>IF($A60="","",COUNTIF($A$2:$A60,$A60))</f>
        <v/>
      </c>
    </row>
    <row r="61" spans="1:22" x14ac:dyDescent="0.3">
      <c r="A61" s="42"/>
      <c r="B61" s="42"/>
      <c r="C61" s="36" t="str">
        <f>IF($A61="","",IFERROR(INDEX(SERVIZI!$B:$B,MATCH($B61,SERVIZI!$A:$A,0)),""))</f>
        <v/>
      </c>
      <c r="D61" s="42"/>
      <c r="E61" s="42"/>
      <c r="F61" s="42"/>
      <c r="G61" s="42"/>
      <c r="H61" s="44"/>
      <c r="I61" s="44"/>
      <c r="J61" s="35" t="str">
        <f t="shared" si="6"/>
        <v/>
      </c>
      <c r="K61" s="34" t="str">
        <f t="shared" si="7"/>
        <v/>
      </c>
      <c r="L61" s="42"/>
      <c r="M61" s="43"/>
      <c r="N61" s="43"/>
      <c r="O61" s="42"/>
      <c r="P61" s="44"/>
      <c r="Q61" s="34" t="str">
        <f t="shared" si="8"/>
        <v/>
      </c>
      <c r="R61" s="34" t="str">
        <f t="shared" si="9"/>
        <v/>
      </c>
      <c r="S61" s="36" t="str">
        <f t="shared" si="10"/>
        <v/>
      </c>
      <c r="T61" s="42"/>
      <c r="U61" s="51" t="str">
        <f t="shared" si="5"/>
        <v/>
      </c>
      <c r="V61" s="51" t="str">
        <f>IF($A61="","",COUNTIF($A$2:$A61,$A61))</f>
        <v/>
      </c>
    </row>
    <row r="62" spans="1:22" x14ac:dyDescent="0.3">
      <c r="A62" s="42"/>
      <c r="B62" s="42"/>
      <c r="C62" s="36" t="str">
        <f>IF($A62="","",IFERROR(INDEX(SERVIZI!$B:$B,MATCH($B62,SERVIZI!$A:$A,0)),""))</f>
        <v/>
      </c>
      <c r="D62" s="42"/>
      <c r="E62" s="42"/>
      <c r="F62" s="42"/>
      <c r="G62" s="42"/>
      <c r="H62" s="44"/>
      <c r="I62" s="44"/>
      <c r="J62" s="35" t="str">
        <f t="shared" si="6"/>
        <v/>
      </c>
      <c r="K62" s="34" t="str">
        <f t="shared" si="7"/>
        <v/>
      </c>
      <c r="L62" s="42"/>
      <c r="M62" s="43"/>
      <c r="N62" s="43"/>
      <c r="O62" s="42"/>
      <c r="P62" s="44"/>
      <c r="Q62" s="34" t="str">
        <f t="shared" si="8"/>
        <v/>
      </c>
      <c r="R62" s="34" t="str">
        <f t="shared" si="9"/>
        <v/>
      </c>
      <c r="S62" s="36" t="str">
        <f t="shared" si="10"/>
        <v/>
      </c>
      <c r="T62" s="42"/>
      <c r="U62" s="51" t="str">
        <f t="shared" si="5"/>
        <v/>
      </c>
      <c r="V62" s="51" t="str">
        <f>IF($A62="","",COUNTIF($A$2:$A62,$A62))</f>
        <v/>
      </c>
    </row>
    <row r="63" spans="1:22" x14ac:dyDescent="0.3">
      <c r="A63" s="42"/>
      <c r="B63" s="42"/>
      <c r="C63" s="36" t="str">
        <f>IF($A63="","",IFERROR(INDEX(SERVIZI!$B:$B,MATCH($B63,SERVIZI!$A:$A,0)),""))</f>
        <v/>
      </c>
      <c r="D63" s="42"/>
      <c r="E63" s="42"/>
      <c r="F63" s="42"/>
      <c r="G63" s="42"/>
      <c r="H63" s="44"/>
      <c r="I63" s="44"/>
      <c r="J63" s="35" t="str">
        <f t="shared" si="6"/>
        <v/>
      </c>
      <c r="K63" s="34" t="str">
        <f t="shared" si="7"/>
        <v/>
      </c>
      <c r="L63" s="42"/>
      <c r="M63" s="43"/>
      <c r="N63" s="43"/>
      <c r="O63" s="42"/>
      <c r="P63" s="44"/>
      <c r="Q63" s="34" t="str">
        <f t="shared" si="8"/>
        <v/>
      </c>
      <c r="R63" s="34" t="str">
        <f t="shared" si="9"/>
        <v/>
      </c>
      <c r="S63" s="36" t="str">
        <f t="shared" si="10"/>
        <v/>
      </c>
      <c r="T63" s="42"/>
      <c r="U63" s="51" t="str">
        <f t="shared" si="5"/>
        <v/>
      </c>
      <c r="V63" s="51" t="str">
        <f>IF($A63="","",COUNTIF($A$2:$A63,$A63))</f>
        <v/>
      </c>
    </row>
    <row r="64" spans="1:22" x14ac:dyDescent="0.3">
      <c r="A64" s="42"/>
      <c r="B64" s="42"/>
      <c r="C64" s="36" t="str">
        <f>IF($A64="","",IFERROR(INDEX(SERVIZI!$B:$B,MATCH($B64,SERVIZI!$A:$A,0)),""))</f>
        <v/>
      </c>
      <c r="D64" s="42"/>
      <c r="E64" s="42"/>
      <c r="F64" s="42"/>
      <c r="G64" s="42"/>
      <c r="H64" s="44"/>
      <c r="I64" s="44"/>
      <c r="J64" s="35" t="str">
        <f t="shared" si="6"/>
        <v/>
      </c>
      <c r="K64" s="34" t="str">
        <f t="shared" si="7"/>
        <v/>
      </c>
      <c r="L64" s="42"/>
      <c r="M64" s="43"/>
      <c r="N64" s="43"/>
      <c r="O64" s="42"/>
      <c r="P64" s="44"/>
      <c r="Q64" s="34" t="str">
        <f t="shared" si="8"/>
        <v/>
      </c>
      <c r="R64" s="34" t="str">
        <f t="shared" si="9"/>
        <v/>
      </c>
      <c r="S64" s="36" t="str">
        <f t="shared" si="10"/>
        <v/>
      </c>
      <c r="T64" s="42"/>
      <c r="U64" s="51" t="str">
        <f t="shared" si="5"/>
        <v/>
      </c>
      <c r="V64" s="51" t="str">
        <f>IF($A64="","",COUNTIF($A$2:$A64,$A64))</f>
        <v/>
      </c>
    </row>
    <row r="65" spans="1:22" x14ac:dyDescent="0.3">
      <c r="A65" s="42"/>
      <c r="B65" s="42"/>
      <c r="C65" s="36" t="str">
        <f>IF($A65="","",IFERROR(INDEX(SERVIZI!$B:$B,MATCH($B65,SERVIZI!$A:$A,0)),""))</f>
        <v/>
      </c>
      <c r="D65" s="42"/>
      <c r="E65" s="42"/>
      <c r="F65" s="42"/>
      <c r="G65" s="42"/>
      <c r="H65" s="44"/>
      <c r="I65" s="44"/>
      <c r="J65" s="35" t="str">
        <f t="shared" si="6"/>
        <v/>
      </c>
      <c r="K65" s="34" t="str">
        <f t="shared" si="7"/>
        <v/>
      </c>
      <c r="L65" s="42"/>
      <c r="M65" s="43"/>
      <c r="N65" s="43"/>
      <c r="O65" s="42"/>
      <c r="P65" s="44"/>
      <c r="Q65" s="34" t="str">
        <f t="shared" si="8"/>
        <v/>
      </c>
      <c r="R65" s="34" t="str">
        <f t="shared" si="9"/>
        <v/>
      </c>
      <c r="S65" s="36" t="str">
        <f t="shared" si="10"/>
        <v/>
      </c>
      <c r="T65" s="42"/>
      <c r="U65" s="51" t="str">
        <f t="shared" si="5"/>
        <v/>
      </c>
      <c r="V65" s="51" t="str">
        <f>IF($A65="","",COUNTIF($A$2:$A65,$A65))</f>
        <v/>
      </c>
    </row>
    <row r="66" spans="1:22" x14ac:dyDescent="0.3">
      <c r="A66" s="42"/>
      <c r="B66" s="42"/>
      <c r="C66" s="36" t="str">
        <f>IF($A66="","",IFERROR(INDEX(SERVIZI!$B:$B,MATCH($B66,SERVIZI!$A:$A,0)),""))</f>
        <v/>
      </c>
      <c r="D66" s="42"/>
      <c r="E66" s="42"/>
      <c r="F66" s="42"/>
      <c r="G66" s="42"/>
      <c r="H66" s="44"/>
      <c r="I66" s="44"/>
      <c r="J66" s="35" t="str">
        <f t="shared" ref="J66:J97" si="11">IF($A66="","",IFERROR(($I66-$H66)/$H66,0))</f>
        <v/>
      </c>
      <c r="K66" s="34" t="str">
        <f t="shared" ref="K66:K97" si="12">IF($A66="","",$I66-$H66)</f>
        <v/>
      </c>
      <c r="L66" s="42"/>
      <c r="M66" s="43"/>
      <c r="N66" s="43"/>
      <c r="O66" s="42"/>
      <c r="P66" s="44"/>
      <c r="Q66" s="34" t="str">
        <f t="shared" ref="Q66:Q97" si="13">IF($A66="","",$H66-$P66)</f>
        <v/>
      </c>
      <c r="R66" s="34" t="str">
        <f t="shared" ref="R66:R97" si="14">IF($A66="","",IF(OR($L66="Emesso",$L66="Prestazione erogata",$L66="Fatturato",$L66="Pagato"),$H66,0))</f>
        <v/>
      </c>
      <c r="S66" s="36" t="str">
        <f t="shared" ref="S66:S97" si="15">IF($A66="","",IF($H66&gt;SOGLIA_DIR,"Direzione",IF($H66&gt;SOGLIA_PM,"Project Manager","Autonomo")))</f>
        <v/>
      </c>
      <c r="T66" s="42"/>
      <c r="U66" s="51" t="str">
        <f t="shared" si="5"/>
        <v/>
      </c>
      <c r="V66" s="51" t="str">
        <f>IF($A66="","",COUNTIF($A$2:$A66,$A66))</f>
        <v/>
      </c>
    </row>
    <row r="67" spans="1:22" x14ac:dyDescent="0.3">
      <c r="A67" s="42"/>
      <c r="B67" s="42"/>
      <c r="C67" s="36" t="str">
        <f>IF($A67="","",IFERROR(INDEX(SERVIZI!$B:$B,MATCH($B67,SERVIZI!$A:$A,0)),""))</f>
        <v/>
      </c>
      <c r="D67" s="42"/>
      <c r="E67" s="42"/>
      <c r="F67" s="42"/>
      <c r="G67" s="42"/>
      <c r="H67" s="44"/>
      <c r="I67" s="44"/>
      <c r="J67" s="35" t="str">
        <f t="shared" si="11"/>
        <v/>
      </c>
      <c r="K67" s="34" t="str">
        <f t="shared" si="12"/>
        <v/>
      </c>
      <c r="L67" s="42"/>
      <c r="M67" s="43"/>
      <c r="N67" s="43"/>
      <c r="O67" s="42"/>
      <c r="P67" s="44"/>
      <c r="Q67" s="34" t="str">
        <f t="shared" si="13"/>
        <v/>
      </c>
      <c r="R67" s="34" t="str">
        <f t="shared" si="14"/>
        <v/>
      </c>
      <c r="S67" s="36" t="str">
        <f t="shared" si="15"/>
        <v/>
      </c>
      <c r="T67" s="42"/>
      <c r="U67" s="51" t="str">
        <f t="shared" ref="U67:U130" si="16">IF($A67="","",SUMIF($A:$A,$A67,$H:$H))</f>
        <v/>
      </c>
      <c r="V67" s="51" t="str">
        <f>IF($A67="","",COUNTIF($A$2:$A67,$A67))</f>
        <v/>
      </c>
    </row>
    <row r="68" spans="1:22" x14ac:dyDescent="0.3">
      <c r="A68" s="42"/>
      <c r="B68" s="42"/>
      <c r="C68" s="36" t="str">
        <f>IF($A68="","",IFERROR(INDEX(SERVIZI!$B:$B,MATCH($B68,SERVIZI!$A:$A,0)),""))</f>
        <v/>
      </c>
      <c r="D68" s="42"/>
      <c r="E68" s="42"/>
      <c r="F68" s="42"/>
      <c r="G68" s="42"/>
      <c r="H68" s="44"/>
      <c r="I68" s="44"/>
      <c r="J68" s="35" t="str">
        <f t="shared" si="11"/>
        <v/>
      </c>
      <c r="K68" s="34" t="str">
        <f t="shared" si="12"/>
        <v/>
      </c>
      <c r="L68" s="42"/>
      <c r="M68" s="43"/>
      <c r="N68" s="43"/>
      <c r="O68" s="42"/>
      <c r="P68" s="44"/>
      <c r="Q68" s="34" t="str">
        <f t="shared" si="13"/>
        <v/>
      </c>
      <c r="R68" s="34" t="str">
        <f t="shared" si="14"/>
        <v/>
      </c>
      <c r="S68" s="36" t="str">
        <f t="shared" si="15"/>
        <v/>
      </c>
      <c r="T68" s="42"/>
      <c r="U68" s="51" t="str">
        <f t="shared" si="16"/>
        <v/>
      </c>
      <c r="V68" s="51" t="str">
        <f>IF($A68="","",COUNTIF($A$2:$A68,$A68))</f>
        <v/>
      </c>
    </row>
    <row r="69" spans="1:22" x14ac:dyDescent="0.3">
      <c r="A69" s="42"/>
      <c r="B69" s="42"/>
      <c r="C69" s="36" t="str">
        <f>IF($A69="","",IFERROR(INDEX(SERVIZI!$B:$B,MATCH($B69,SERVIZI!$A:$A,0)),""))</f>
        <v/>
      </c>
      <c r="D69" s="42"/>
      <c r="E69" s="42"/>
      <c r="F69" s="42"/>
      <c r="G69" s="42"/>
      <c r="H69" s="44"/>
      <c r="I69" s="44"/>
      <c r="J69" s="35" t="str">
        <f t="shared" si="11"/>
        <v/>
      </c>
      <c r="K69" s="34" t="str">
        <f t="shared" si="12"/>
        <v/>
      </c>
      <c r="L69" s="42"/>
      <c r="M69" s="43"/>
      <c r="N69" s="43"/>
      <c r="O69" s="42"/>
      <c r="P69" s="44"/>
      <c r="Q69" s="34" t="str">
        <f t="shared" si="13"/>
        <v/>
      </c>
      <c r="R69" s="34" t="str">
        <f t="shared" si="14"/>
        <v/>
      </c>
      <c r="S69" s="36" t="str">
        <f t="shared" si="15"/>
        <v/>
      </c>
      <c r="T69" s="42"/>
      <c r="U69" s="51" t="str">
        <f t="shared" si="16"/>
        <v/>
      </c>
      <c r="V69" s="51" t="str">
        <f>IF($A69="","",COUNTIF($A$2:$A69,$A69))</f>
        <v/>
      </c>
    </row>
    <row r="70" spans="1:22" x14ac:dyDescent="0.3">
      <c r="A70" s="42"/>
      <c r="B70" s="42"/>
      <c r="C70" s="36" t="str">
        <f>IF($A70="","",IFERROR(INDEX(SERVIZI!$B:$B,MATCH($B70,SERVIZI!$A:$A,0)),""))</f>
        <v/>
      </c>
      <c r="D70" s="42"/>
      <c r="E70" s="42"/>
      <c r="F70" s="42"/>
      <c r="G70" s="42"/>
      <c r="H70" s="44"/>
      <c r="I70" s="44"/>
      <c r="J70" s="35" t="str">
        <f t="shared" si="11"/>
        <v/>
      </c>
      <c r="K70" s="34" t="str">
        <f t="shared" si="12"/>
        <v/>
      </c>
      <c r="L70" s="42"/>
      <c r="M70" s="43"/>
      <c r="N70" s="43"/>
      <c r="O70" s="42"/>
      <c r="P70" s="44"/>
      <c r="Q70" s="34" t="str">
        <f t="shared" si="13"/>
        <v/>
      </c>
      <c r="R70" s="34" t="str">
        <f t="shared" si="14"/>
        <v/>
      </c>
      <c r="S70" s="36" t="str">
        <f t="shared" si="15"/>
        <v/>
      </c>
      <c r="T70" s="42"/>
      <c r="U70" s="51" t="str">
        <f t="shared" si="16"/>
        <v/>
      </c>
      <c r="V70" s="51" t="str">
        <f>IF($A70="","",COUNTIF($A$2:$A70,$A70))</f>
        <v/>
      </c>
    </row>
    <row r="71" spans="1:22" x14ac:dyDescent="0.3">
      <c r="A71" s="42"/>
      <c r="B71" s="42"/>
      <c r="C71" s="36" t="str">
        <f>IF($A71="","",IFERROR(INDEX(SERVIZI!$B:$B,MATCH($B71,SERVIZI!$A:$A,0)),""))</f>
        <v/>
      </c>
      <c r="D71" s="42"/>
      <c r="E71" s="42"/>
      <c r="F71" s="42"/>
      <c r="G71" s="42"/>
      <c r="H71" s="44"/>
      <c r="I71" s="44"/>
      <c r="J71" s="35" t="str">
        <f t="shared" si="11"/>
        <v/>
      </c>
      <c r="K71" s="34" t="str">
        <f t="shared" si="12"/>
        <v/>
      </c>
      <c r="L71" s="42"/>
      <c r="M71" s="43"/>
      <c r="N71" s="43"/>
      <c r="O71" s="42"/>
      <c r="P71" s="44"/>
      <c r="Q71" s="34" t="str">
        <f t="shared" si="13"/>
        <v/>
      </c>
      <c r="R71" s="34" t="str">
        <f t="shared" si="14"/>
        <v/>
      </c>
      <c r="S71" s="36" t="str">
        <f t="shared" si="15"/>
        <v/>
      </c>
      <c r="T71" s="42"/>
      <c r="U71" s="51" t="str">
        <f t="shared" si="16"/>
        <v/>
      </c>
      <c r="V71" s="51" t="str">
        <f>IF($A71="","",COUNTIF($A$2:$A71,$A71))</f>
        <v/>
      </c>
    </row>
    <row r="72" spans="1:22" x14ac:dyDescent="0.3">
      <c r="A72" s="42"/>
      <c r="B72" s="42"/>
      <c r="C72" s="36" t="str">
        <f>IF($A72="","",IFERROR(INDEX(SERVIZI!$B:$B,MATCH($B72,SERVIZI!$A:$A,0)),""))</f>
        <v/>
      </c>
      <c r="D72" s="42"/>
      <c r="E72" s="42"/>
      <c r="F72" s="42"/>
      <c r="G72" s="42"/>
      <c r="H72" s="44"/>
      <c r="I72" s="44"/>
      <c r="J72" s="35" t="str">
        <f t="shared" si="11"/>
        <v/>
      </c>
      <c r="K72" s="34" t="str">
        <f t="shared" si="12"/>
        <v/>
      </c>
      <c r="L72" s="42"/>
      <c r="M72" s="43"/>
      <c r="N72" s="43"/>
      <c r="O72" s="42"/>
      <c r="P72" s="44"/>
      <c r="Q72" s="34" t="str">
        <f t="shared" si="13"/>
        <v/>
      </c>
      <c r="R72" s="34" t="str">
        <f t="shared" si="14"/>
        <v/>
      </c>
      <c r="S72" s="36" t="str">
        <f t="shared" si="15"/>
        <v/>
      </c>
      <c r="T72" s="42"/>
      <c r="U72" s="51" t="str">
        <f t="shared" si="16"/>
        <v/>
      </c>
      <c r="V72" s="51" t="str">
        <f>IF($A72="","",COUNTIF($A$2:$A72,$A72))</f>
        <v/>
      </c>
    </row>
    <row r="73" spans="1:22" x14ac:dyDescent="0.3">
      <c r="A73" s="42"/>
      <c r="B73" s="42"/>
      <c r="C73" s="36" t="str">
        <f>IF($A73="","",IFERROR(INDEX(SERVIZI!$B:$B,MATCH($B73,SERVIZI!$A:$A,0)),""))</f>
        <v/>
      </c>
      <c r="D73" s="42"/>
      <c r="E73" s="42"/>
      <c r="F73" s="42"/>
      <c r="G73" s="42"/>
      <c r="H73" s="44"/>
      <c r="I73" s="44"/>
      <c r="J73" s="35" t="str">
        <f t="shared" si="11"/>
        <v/>
      </c>
      <c r="K73" s="34" t="str">
        <f t="shared" si="12"/>
        <v/>
      </c>
      <c r="L73" s="42"/>
      <c r="M73" s="43"/>
      <c r="N73" s="43"/>
      <c r="O73" s="42"/>
      <c r="P73" s="44"/>
      <c r="Q73" s="34" t="str">
        <f t="shared" si="13"/>
        <v/>
      </c>
      <c r="R73" s="34" t="str">
        <f t="shared" si="14"/>
        <v/>
      </c>
      <c r="S73" s="36" t="str">
        <f t="shared" si="15"/>
        <v/>
      </c>
      <c r="T73" s="42"/>
      <c r="U73" s="51" t="str">
        <f t="shared" si="16"/>
        <v/>
      </c>
      <c r="V73" s="51" t="str">
        <f>IF($A73="","",COUNTIF($A$2:$A73,$A73))</f>
        <v/>
      </c>
    </row>
    <row r="74" spans="1:22" x14ac:dyDescent="0.3">
      <c r="A74" s="42"/>
      <c r="B74" s="42"/>
      <c r="C74" s="36" t="str">
        <f>IF($A74="","",IFERROR(INDEX(SERVIZI!$B:$B,MATCH($B74,SERVIZI!$A:$A,0)),""))</f>
        <v/>
      </c>
      <c r="D74" s="42"/>
      <c r="E74" s="42"/>
      <c r="F74" s="42"/>
      <c r="G74" s="42"/>
      <c r="H74" s="44"/>
      <c r="I74" s="44"/>
      <c r="J74" s="35" t="str">
        <f t="shared" si="11"/>
        <v/>
      </c>
      <c r="K74" s="34" t="str">
        <f t="shared" si="12"/>
        <v/>
      </c>
      <c r="L74" s="42"/>
      <c r="M74" s="43"/>
      <c r="N74" s="43"/>
      <c r="O74" s="42"/>
      <c r="P74" s="44"/>
      <c r="Q74" s="34" t="str">
        <f t="shared" si="13"/>
        <v/>
      </c>
      <c r="R74" s="34" t="str">
        <f t="shared" si="14"/>
        <v/>
      </c>
      <c r="S74" s="36" t="str">
        <f t="shared" si="15"/>
        <v/>
      </c>
      <c r="T74" s="42"/>
      <c r="U74" s="51" t="str">
        <f t="shared" si="16"/>
        <v/>
      </c>
      <c r="V74" s="51" t="str">
        <f>IF($A74="","",COUNTIF($A$2:$A74,$A74))</f>
        <v/>
      </c>
    </row>
    <row r="75" spans="1:22" x14ac:dyDescent="0.3">
      <c r="A75" s="42"/>
      <c r="B75" s="42"/>
      <c r="C75" s="36" t="str">
        <f>IF($A75="","",IFERROR(INDEX(SERVIZI!$B:$B,MATCH($B75,SERVIZI!$A:$A,0)),""))</f>
        <v/>
      </c>
      <c r="D75" s="42"/>
      <c r="E75" s="42"/>
      <c r="F75" s="42"/>
      <c r="G75" s="42"/>
      <c r="H75" s="44"/>
      <c r="I75" s="44"/>
      <c r="J75" s="35" t="str">
        <f t="shared" si="11"/>
        <v/>
      </c>
      <c r="K75" s="34" t="str">
        <f t="shared" si="12"/>
        <v/>
      </c>
      <c r="L75" s="42"/>
      <c r="M75" s="43"/>
      <c r="N75" s="43"/>
      <c r="O75" s="42"/>
      <c r="P75" s="44"/>
      <c r="Q75" s="34" t="str">
        <f t="shared" si="13"/>
        <v/>
      </c>
      <c r="R75" s="34" t="str">
        <f t="shared" si="14"/>
        <v/>
      </c>
      <c r="S75" s="36" t="str">
        <f t="shared" si="15"/>
        <v/>
      </c>
      <c r="T75" s="42"/>
      <c r="U75" s="51" t="str">
        <f t="shared" si="16"/>
        <v/>
      </c>
      <c r="V75" s="51" t="str">
        <f>IF($A75="","",COUNTIF($A$2:$A75,$A75))</f>
        <v/>
      </c>
    </row>
    <row r="76" spans="1:22" x14ac:dyDescent="0.3">
      <c r="A76" s="42"/>
      <c r="B76" s="42"/>
      <c r="C76" s="36" t="str">
        <f>IF($A76="","",IFERROR(INDEX(SERVIZI!$B:$B,MATCH($B76,SERVIZI!$A:$A,0)),""))</f>
        <v/>
      </c>
      <c r="D76" s="42"/>
      <c r="E76" s="42"/>
      <c r="F76" s="42"/>
      <c r="G76" s="42"/>
      <c r="H76" s="44"/>
      <c r="I76" s="44"/>
      <c r="J76" s="35" t="str">
        <f t="shared" si="11"/>
        <v/>
      </c>
      <c r="K76" s="34" t="str">
        <f t="shared" si="12"/>
        <v/>
      </c>
      <c r="L76" s="42"/>
      <c r="M76" s="43"/>
      <c r="N76" s="43"/>
      <c r="O76" s="42"/>
      <c r="P76" s="44"/>
      <c r="Q76" s="34" t="str">
        <f t="shared" si="13"/>
        <v/>
      </c>
      <c r="R76" s="34" t="str">
        <f t="shared" si="14"/>
        <v/>
      </c>
      <c r="S76" s="36" t="str">
        <f t="shared" si="15"/>
        <v/>
      </c>
      <c r="T76" s="42"/>
      <c r="U76" s="51" t="str">
        <f t="shared" si="16"/>
        <v/>
      </c>
      <c r="V76" s="51" t="str">
        <f>IF($A76="","",COUNTIF($A$2:$A76,$A76))</f>
        <v/>
      </c>
    </row>
    <row r="77" spans="1:22" x14ac:dyDescent="0.3">
      <c r="A77" s="42"/>
      <c r="B77" s="42"/>
      <c r="C77" s="36" t="str">
        <f>IF($A77="","",IFERROR(INDEX(SERVIZI!$B:$B,MATCH($B77,SERVIZI!$A:$A,0)),""))</f>
        <v/>
      </c>
      <c r="D77" s="42"/>
      <c r="E77" s="42"/>
      <c r="F77" s="42"/>
      <c r="G77" s="42"/>
      <c r="H77" s="44"/>
      <c r="I77" s="44"/>
      <c r="J77" s="35" t="str">
        <f t="shared" si="11"/>
        <v/>
      </c>
      <c r="K77" s="34" t="str">
        <f t="shared" si="12"/>
        <v/>
      </c>
      <c r="L77" s="42"/>
      <c r="M77" s="43"/>
      <c r="N77" s="43"/>
      <c r="O77" s="42"/>
      <c r="P77" s="44"/>
      <c r="Q77" s="34" t="str">
        <f t="shared" si="13"/>
        <v/>
      </c>
      <c r="R77" s="34" t="str">
        <f t="shared" si="14"/>
        <v/>
      </c>
      <c r="S77" s="36" t="str">
        <f t="shared" si="15"/>
        <v/>
      </c>
      <c r="T77" s="42"/>
      <c r="U77" s="51" t="str">
        <f t="shared" si="16"/>
        <v/>
      </c>
      <c r="V77" s="51" t="str">
        <f>IF($A77="","",COUNTIF($A$2:$A77,$A77))</f>
        <v/>
      </c>
    </row>
    <row r="78" spans="1:22" x14ac:dyDescent="0.3">
      <c r="A78" s="42"/>
      <c r="B78" s="42"/>
      <c r="C78" s="36" t="str">
        <f>IF($A78="","",IFERROR(INDEX(SERVIZI!$B:$B,MATCH($B78,SERVIZI!$A:$A,0)),""))</f>
        <v/>
      </c>
      <c r="D78" s="42"/>
      <c r="E78" s="42"/>
      <c r="F78" s="42"/>
      <c r="G78" s="42"/>
      <c r="H78" s="44"/>
      <c r="I78" s="44"/>
      <c r="J78" s="35" t="str">
        <f t="shared" si="11"/>
        <v/>
      </c>
      <c r="K78" s="34" t="str">
        <f t="shared" si="12"/>
        <v/>
      </c>
      <c r="L78" s="42"/>
      <c r="M78" s="43"/>
      <c r="N78" s="43"/>
      <c r="O78" s="42"/>
      <c r="P78" s="44"/>
      <c r="Q78" s="34" t="str">
        <f t="shared" si="13"/>
        <v/>
      </c>
      <c r="R78" s="34" t="str">
        <f t="shared" si="14"/>
        <v/>
      </c>
      <c r="S78" s="36" t="str">
        <f t="shared" si="15"/>
        <v/>
      </c>
      <c r="T78" s="42"/>
      <c r="U78" s="51" t="str">
        <f t="shared" si="16"/>
        <v/>
      </c>
      <c r="V78" s="51" t="str">
        <f>IF($A78="","",COUNTIF($A$2:$A78,$A78))</f>
        <v/>
      </c>
    </row>
    <row r="79" spans="1:22" x14ac:dyDescent="0.3">
      <c r="A79" s="42"/>
      <c r="B79" s="42"/>
      <c r="C79" s="36" t="str">
        <f>IF($A79="","",IFERROR(INDEX(SERVIZI!$B:$B,MATCH($B79,SERVIZI!$A:$A,0)),""))</f>
        <v/>
      </c>
      <c r="D79" s="42"/>
      <c r="E79" s="42"/>
      <c r="F79" s="42"/>
      <c r="G79" s="42"/>
      <c r="H79" s="44"/>
      <c r="I79" s="44"/>
      <c r="J79" s="35" t="str">
        <f t="shared" si="11"/>
        <v/>
      </c>
      <c r="K79" s="34" t="str">
        <f t="shared" si="12"/>
        <v/>
      </c>
      <c r="L79" s="42"/>
      <c r="M79" s="43"/>
      <c r="N79" s="43"/>
      <c r="O79" s="42"/>
      <c r="P79" s="44"/>
      <c r="Q79" s="34" t="str">
        <f t="shared" si="13"/>
        <v/>
      </c>
      <c r="R79" s="34" t="str">
        <f t="shared" si="14"/>
        <v/>
      </c>
      <c r="S79" s="36" t="str">
        <f t="shared" si="15"/>
        <v/>
      </c>
      <c r="T79" s="42"/>
      <c r="U79" s="51" t="str">
        <f t="shared" si="16"/>
        <v/>
      </c>
      <c r="V79" s="51" t="str">
        <f>IF($A79="","",COUNTIF($A$2:$A79,$A79))</f>
        <v/>
      </c>
    </row>
    <row r="80" spans="1:22" x14ac:dyDescent="0.3">
      <c r="A80" s="42"/>
      <c r="B80" s="42"/>
      <c r="C80" s="36" t="str">
        <f>IF($A80="","",IFERROR(INDEX(SERVIZI!$B:$B,MATCH($B80,SERVIZI!$A:$A,0)),""))</f>
        <v/>
      </c>
      <c r="D80" s="42"/>
      <c r="E80" s="42"/>
      <c r="F80" s="42"/>
      <c r="G80" s="42"/>
      <c r="H80" s="44"/>
      <c r="I80" s="44"/>
      <c r="J80" s="35" t="str">
        <f t="shared" si="11"/>
        <v/>
      </c>
      <c r="K80" s="34" t="str">
        <f t="shared" si="12"/>
        <v/>
      </c>
      <c r="L80" s="42"/>
      <c r="M80" s="43"/>
      <c r="N80" s="43"/>
      <c r="O80" s="42"/>
      <c r="P80" s="44"/>
      <c r="Q80" s="34" t="str">
        <f t="shared" si="13"/>
        <v/>
      </c>
      <c r="R80" s="34" t="str">
        <f t="shared" si="14"/>
        <v/>
      </c>
      <c r="S80" s="36" t="str">
        <f t="shared" si="15"/>
        <v/>
      </c>
      <c r="T80" s="42"/>
      <c r="U80" s="51" t="str">
        <f t="shared" si="16"/>
        <v/>
      </c>
      <c r="V80" s="51" t="str">
        <f>IF($A80="","",COUNTIF($A$2:$A80,$A80))</f>
        <v/>
      </c>
    </row>
    <row r="81" spans="1:22" x14ac:dyDescent="0.3">
      <c r="A81" s="42"/>
      <c r="B81" s="42"/>
      <c r="C81" s="36" t="str">
        <f>IF($A81="","",IFERROR(INDEX(SERVIZI!$B:$B,MATCH($B81,SERVIZI!$A:$A,0)),""))</f>
        <v/>
      </c>
      <c r="D81" s="42"/>
      <c r="E81" s="42"/>
      <c r="F81" s="42"/>
      <c r="G81" s="42"/>
      <c r="H81" s="44"/>
      <c r="I81" s="44"/>
      <c r="J81" s="35" t="str">
        <f t="shared" si="11"/>
        <v/>
      </c>
      <c r="K81" s="34" t="str">
        <f t="shared" si="12"/>
        <v/>
      </c>
      <c r="L81" s="42"/>
      <c r="M81" s="43"/>
      <c r="N81" s="43"/>
      <c r="O81" s="42"/>
      <c r="P81" s="44"/>
      <c r="Q81" s="34" t="str">
        <f t="shared" si="13"/>
        <v/>
      </c>
      <c r="R81" s="34" t="str">
        <f t="shared" si="14"/>
        <v/>
      </c>
      <c r="S81" s="36" t="str">
        <f t="shared" si="15"/>
        <v/>
      </c>
      <c r="T81" s="42"/>
      <c r="U81" s="51" t="str">
        <f t="shared" si="16"/>
        <v/>
      </c>
      <c r="V81" s="51" t="str">
        <f>IF($A81="","",COUNTIF($A$2:$A81,$A81))</f>
        <v/>
      </c>
    </row>
    <row r="82" spans="1:22" x14ac:dyDescent="0.3">
      <c r="A82" s="42"/>
      <c r="B82" s="42"/>
      <c r="C82" s="36" t="str">
        <f>IF($A82="","",IFERROR(INDEX(SERVIZI!$B:$B,MATCH($B82,SERVIZI!$A:$A,0)),""))</f>
        <v/>
      </c>
      <c r="D82" s="42"/>
      <c r="E82" s="42"/>
      <c r="F82" s="42"/>
      <c r="G82" s="42"/>
      <c r="H82" s="44"/>
      <c r="I82" s="44"/>
      <c r="J82" s="35" t="str">
        <f t="shared" si="11"/>
        <v/>
      </c>
      <c r="K82" s="34" t="str">
        <f t="shared" si="12"/>
        <v/>
      </c>
      <c r="L82" s="42"/>
      <c r="M82" s="43"/>
      <c r="N82" s="43"/>
      <c r="O82" s="42"/>
      <c r="P82" s="44"/>
      <c r="Q82" s="34" t="str">
        <f t="shared" si="13"/>
        <v/>
      </c>
      <c r="R82" s="34" t="str">
        <f t="shared" si="14"/>
        <v/>
      </c>
      <c r="S82" s="36" t="str">
        <f t="shared" si="15"/>
        <v/>
      </c>
      <c r="T82" s="42"/>
      <c r="U82" s="51" t="str">
        <f t="shared" si="16"/>
        <v/>
      </c>
      <c r="V82" s="51" t="str">
        <f>IF($A82="","",COUNTIF($A$2:$A82,$A82))</f>
        <v/>
      </c>
    </row>
    <row r="83" spans="1:22" x14ac:dyDescent="0.3">
      <c r="A83" s="42"/>
      <c r="B83" s="42"/>
      <c r="C83" s="36" t="str">
        <f>IF($A83="","",IFERROR(INDEX(SERVIZI!$B:$B,MATCH($B83,SERVIZI!$A:$A,0)),""))</f>
        <v/>
      </c>
      <c r="D83" s="42"/>
      <c r="E83" s="42"/>
      <c r="F83" s="42"/>
      <c r="G83" s="42"/>
      <c r="H83" s="44"/>
      <c r="I83" s="44"/>
      <c r="J83" s="35" t="str">
        <f t="shared" si="11"/>
        <v/>
      </c>
      <c r="K83" s="34" t="str">
        <f t="shared" si="12"/>
        <v/>
      </c>
      <c r="L83" s="42"/>
      <c r="M83" s="43"/>
      <c r="N83" s="43"/>
      <c r="O83" s="42"/>
      <c r="P83" s="44"/>
      <c r="Q83" s="34" t="str">
        <f t="shared" si="13"/>
        <v/>
      </c>
      <c r="R83" s="34" t="str">
        <f t="shared" si="14"/>
        <v/>
      </c>
      <c r="S83" s="36" t="str">
        <f t="shared" si="15"/>
        <v/>
      </c>
      <c r="T83" s="42"/>
      <c r="U83" s="51" t="str">
        <f t="shared" si="16"/>
        <v/>
      </c>
      <c r="V83" s="51" t="str">
        <f>IF($A83="","",COUNTIF($A$2:$A83,$A83))</f>
        <v/>
      </c>
    </row>
    <row r="84" spans="1:22" x14ac:dyDescent="0.3">
      <c r="A84" s="42"/>
      <c r="B84" s="42"/>
      <c r="C84" s="36" t="str">
        <f>IF($A84="","",IFERROR(INDEX(SERVIZI!$B:$B,MATCH($B84,SERVIZI!$A:$A,0)),""))</f>
        <v/>
      </c>
      <c r="D84" s="42"/>
      <c r="E84" s="42"/>
      <c r="F84" s="42"/>
      <c r="G84" s="42"/>
      <c r="H84" s="44"/>
      <c r="I84" s="44"/>
      <c r="J84" s="35" t="str">
        <f t="shared" si="11"/>
        <v/>
      </c>
      <c r="K84" s="34" t="str">
        <f t="shared" si="12"/>
        <v/>
      </c>
      <c r="L84" s="42"/>
      <c r="M84" s="43"/>
      <c r="N84" s="43"/>
      <c r="O84" s="42"/>
      <c r="P84" s="44"/>
      <c r="Q84" s="34" t="str">
        <f t="shared" si="13"/>
        <v/>
      </c>
      <c r="R84" s="34" t="str">
        <f t="shared" si="14"/>
        <v/>
      </c>
      <c r="S84" s="36" t="str">
        <f t="shared" si="15"/>
        <v/>
      </c>
      <c r="T84" s="42"/>
      <c r="U84" s="51" t="str">
        <f t="shared" si="16"/>
        <v/>
      </c>
      <c r="V84" s="51" t="str">
        <f>IF($A84="","",COUNTIF($A$2:$A84,$A84))</f>
        <v/>
      </c>
    </row>
    <row r="85" spans="1:22" x14ac:dyDescent="0.3">
      <c r="A85" s="42"/>
      <c r="B85" s="42"/>
      <c r="C85" s="36" t="str">
        <f>IF($A85="","",IFERROR(INDEX(SERVIZI!$B:$B,MATCH($B85,SERVIZI!$A:$A,0)),""))</f>
        <v/>
      </c>
      <c r="D85" s="42"/>
      <c r="E85" s="42"/>
      <c r="F85" s="42"/>
      <c r="G85" s="42"/>
      <c r="H85" s="44"/>
      <c r="I85" s="44"/>
      <c r="J85" s="35" t="str">
        <f t="shared" si="11"/>
        <v/>
      </c>
      <c r="K85" s="34" t="str">
        <f t="shared" si="12"/>
        <v/>
      </c>
      <c r="L85" s="42"/>
      <c r="M85" s="43"/>
      <c r="N85" s="43"/>
      <c r="O85" s="42"/>
      <c r="P85" s="44"/>
      <c r="Q85" s="34" t="str">
        <f t="shared" si="13"/>
        <v/>
      </c>
      <c r="R85" s="34" t="str">
        <f t="shared" si="14"/>
        <v/>
      </c>
      <c r="S85" s="36" t="str">
        <f t="shared" si="15"/>
        <v/>
      </c>
      <c r="T85" s="42"/>
      <c r="U85" s="51" t="str">
        <f t="shared" si="16"/>
        <v/>
      </c>
      <c r="V85" s="51" t="str">
        <f>IF($A85="","",COUNTIF($A$2:$A85,$A85))</f>
        <v/>
      </c>
    </row>
    <row r="86" spans="1:22" x14ac:dyDescent="0.3">
      <c r="A86" s="42"/>
      <c r="B86" s="42"/>
      <c r="C86" s="36" t="str">
        <f>IF($A86="","",IFERROR(INDEX(SERVIZI!$B:$B,MATCH($B86,SERVIZI!$A:$A,0)),""))</f>
        <v/>
      </c>
      <c r="D86" s="42"/>
      <c r="E86" s="42"/>
      <c r="F86" s="42"/>
      <c r="G86" s="42"/>
      <c r="H86" s="44"/>
      <c r="I86" s="44"/>
      <c r="J86" s="35" t="str">
        <f t="shared" si="11"/>
        <v/>
      </c>
      <c r="K86" s="34" t="str">
        <f t="shared" si="12"/>
        <v/>
      </c>
      <c r="L86" s="42"/>
      <c r="M86" s="43"/>
      <c r="N86" s="43"/>
      <c r="O86" s="42"/>
      <c r="P86" s="44"/>
      <c r="Q86" s="34" t="str">
        <f t="shared" si="13"/>
        <v/>
      </c>
      <c r="R86" s="34" t="str">
        <f t="shared" si="14"/>
        <v/>
      </c>
      <c r="S86" s="36" t="str">
        <f t="shared" si="15"/>
        <v/>
      </c>
      <c r="T86" s="42"/>
      <c r="U86" s="51" t="str">
        <f t="shared" si="16"/>
        <v/>
      </c>
      <c r="V86" s="51" t="str">
        <f>IF($A86="","",COUNTIF($A$2:$A86,$A86))</f>
        <v/>
      </c>
    </row>
    <row r="87" spans="1:22" x14ac:dyDescent="0.3">
      <c r="A87" s="42"/>
      <c r="B87" s="42"/>
      <c r="C87" s="36" t="str">
        <f>IF($A87="","",IFERROR(INDEX(SERVIZI!$B:$B,MATCH($B87,SERVIZI!$A:$A,0)),""))</f>
        <v/>
      </c>
      <c r="D87" s="42"/>
      <c r="E87" s="42"/>
      <c r="F87" s="42"/>
      <c r="G87" s="42"/>
      <c r="H87" s="44"/>
      <c r="I87" s="44"/>
      <c r="J87" s="35" t="str">
        <f t="shared" si="11"/>
        <v/>
      </c>
      <c r="K87" s="34" t="str">
        <f t="shared" si="12"/>
        <v/>
      </c>
      <c r="L87" s="42"/>
      <c r="M87" s="43"/>
      <c r="N87" s="43"/>
      <c r="O87" s="42"/>
      <c r="P87" s="44"/>
      <c r="Q87" s="34" t="str">
        <f t="shared" si="13"/>
        <v/>
      </c>
      <c r="R87" s="34" t="str">
        <f t="shared" si="14"/>
        <v/>
      </c>
      <c r="S87" s="36" t="str">
        <f t="shared" si="15"/>
        <v/>
      </c>
      <c r="T87" s="42"/>
      <c r="U87" s="51" t="str">
        <f t="shared" si="16"/>
        <v/>
      </c>
      <c r="V87" s="51" t="str">
        <f>IF($A87="","",COUNTIF($A$2:$A87,$A87))</f>
        <v/>
      </c>
    </row>
    <row r="88" spans="1:22" x14ac:dyDescent="0.3">
      <c r="A88" s="42"/>
      <c r="B88" s="42"/>
      <c r="C88" s="36" t="str">
        <f>IF($A88="","",IFERROR(INDEX(SERVIZI!$B:$B,MATCH($B88,SERVIZI!$A:$A,0)),""))</f>
        <v/>
      </c>
      <c r="D88" s="42"/>
      <c r="E88" s="42"/>
      <c r="F88" s="42"/>
      <c r="G88" s="42"/>
      <c r="H88" s="44"/>
      <c r="I88" s="44"/>
      <c r="J88" s="35" t="str">
        <f t="shared" si="11"/>
        <v/>
      </c>
      <c r="K88" s="34" t="str">
        <f t="shared" si="12"/>
        <v/>
      </c>
      <c r="L88" s="42"/>
      <c r="M88" s="43"/>
      <c r="N88" s="43"/>
      <c r="O88" s="42"/>
      <c r="P88" s="44"/>
      <c r="Q88" s="34" t="str">
        <f t="shared" si="13"/>
        <v/>
      </c>
      <c r="R88" s="34" t="str">
        <f t="shared" si="14"/>
        <v/>
      </c>
      <c r="S88" s="36" t="str">
        <f t="shared" si="15"/>
        <v/>
      </c>
      <c r="T88" s="42"/>
      <c r="U88" s="51" t="str">
        <f t="shared" si="16"/>
        <v/>
      </c>
      <c r="V88" s="51" t="str">
        <f>IF($A88="","",COUNTIF($A$2:$A88,$A88))</f>
        <v/>
      </c>
    </row>
    <row r="89" spans="1:22" x14ac:dyDescent="0.3">
      <c r="A89" s="42"/>
      <c r="B89" s="42"/>
      <c r="C89" s="36" t="str">
        <f>IF($A89="","",IFERROR(INDEX(SERVIZI!$B:$B,MATCH($B89,SERVIZI!$A:$A,0)),""))</f>
        <v/>
      </c>
      <c r="D89" s="42"/>
      <c r="E89" s="42"/>
      <c r="F89" s="42"/>
      <c r="G89" s="42"/>
      <c r="H89" s="44"/>
      <c r="I89" s="44"/>
      <c r="J89" s="35" t="str">
        <f t="shared" si="11"/>
        <v/>
      </c>
      <c r="K89" s="34" t="str">
        <f t="shared" si="12"/>
        <v/>
      </c>
      <c r="L89" s="42"/>
      <c r="M89" s="43"/>
      <c r="N89" s="43"/>
      <c r="O89" s="42"/>
      <c r="P89" s="44"/>
      <c r="Q89" s="34" t="str">
        <f t="shared" si="13"/>
        <v/>
      </c>
      <c r="R89" s="34" t="str">
        <f t="shared" si="14"/>
        <v/>
      </c>
      <c r="S89" s="36" t="str">
        <f t="shared" si="15"/>
        <v/>
      </c>
      <c r="T89" s="42"/>
      <c r="U89" s="51" t="str">
        <f t="shared" si="16"/>
        <v/>
      </c>
      <c r="V89" s="51" t="str">
        <f>IF($A89="","",COUNTIF($A$2:$A89,$A89))</f>
        <v/>
      </c>
    </row>
    <row r="90" spans="1:22" x14ac:dyDescent="0.3">
      <c r="A90" s="42"/>
      <c r="B90" s="42"/>
      <c r="C90" s="36" t="str">
        <f>IF($A90="","",IFERROR(INDEX(SERVIZI!$B:$B,MATCH($B90,SERVIZI!$A:$A,0)),""))</f>
        <v/>
      </c>
      <c r="D90" s="42"/>
      <c r="E90" s="42"/>
      <c r="F90" s="42"/>
      <c r="G90" s="42"/>
      <c r="H90" s="44"/>
      <c r="I90" s="44"/>
      <c r="J90" s="35" t="str">
        <f t="shared" si="11"/>
        <v/>
      </c>
      <c r="K90" s="34" t="str">
        <f t="shared" si="12"/>
        <v/>
      </c>
      <c r="L90" s="42"/>
      <c r="M90" s="43"/>
      <c r="N90" s="43"/>
      <c r="O90" s="42"/>
      <c r="P90" s="44"/>
      <c r="Q90" s="34" t="str">
        <f t="shared" si="13"/>
        <v/>
      </c>
      <c r="R90" s="34" t="str">
        <f t="shared" si="14"/>
        <v/>
      </c>
      <c r="S90" s="36" t="str">
        <f t="shared" si="15"/>
        <v/>
      </c>
      <c r="T90" s="42"/>
      <c r="U90" s="51" t="str">
        <f t="shared" si="16"/>
        <v/>
      </c>
      <c r="V90" s="51" t="str">
        <f>IF($A90="","",COUNTIF($A$2:$A90,$A90))</f>
        <v/>
      </c>
    </row>
    <row r="91" spans="1:22" x14ac:dyDescent="0.3">
      <c r="A91" s="42"/>
      <c r="B91" s="42"/>
      <c r="C91" s="36" t="str">
        <f>IF($A91="","",IFERROR(INDEX(SERVIZI!$B:$B,MATCH($B91,SERVIZI!$A:$A,0)),""))</f>
        <v/>
      </c>
      <c r="D91" s="42"/>
      <c r="E91" s="42"/>
      <c r="F91" s="42"/>
      <c r="G91" s="42"/>
      <c r="H91" s="44"/>
      <c r="I91" s="44"/>
      <c r="J91" s="35" t="str">
        <f t="shared" si="11"/>
        <v/>
      </c>
      <c r="K91" s="34" t="str">
        <f t="shared" si="12"/>
        <v/>
      </c>
      <c r="L91" s="42"/>
      <c r="M91" s="43"/>
      <c r="N91" s="43"/>
      <c r="O91" s="42"/>
      <c r="P91" s="44"/>
      <c r="Q91" s="34" t="str">
        <f t="shared" si="13"/>
        <v/>
      </c>
      <c r="R91" s="34" t="str">
        <f t="shared" si="14"/>
        <v/>
      </c>
      <c r="S91" s="36" t="str">
        <f t="shared" si="15"/>
        <v/>
      </c>
      <c r="T91" s="42"/>
      <c r="U91" s="51" t="str">
        <f t="shared" si="16"/>
        <v/>
      </c>
      <c r="V91" s="51" t="str">
        <f>IF($A91="","",COUNTIF($A$2:$A91,$A91))</f>
        <v/>
      </c>
    </row>
    <row r="92" spans="1:22" x14ac:dyDescent="0.3">
      <c r="A92" s="42"/>
      <c r="B92" s="42"/>
      <c r="C92" s="36" t="str">
        <f>IF($A92="","",IFERROR(INDEX(SERVIZI!$B:$B,MATCH($B92,SERVIZI!$A:$A,0)),""))</f>
        <v/>
      </c>
      <c r="D92" s="42"/>
      <c r="E92" s="42"/>
      <c r="F92" s="42"/>
      <c r="G92" s="42"/>
      <c r="H92" s="44"/>
      <c r="I92" s="44"/>
      <c r="J92" s="35" t="str">
        <f t="shared" si="11"/>
        <v/>
      </c>
      <c r="K92" s="34" t="str">
        <f t="shared" si="12"/>
        <v/>
      </c>
      <c r="L92" s="42"/>
      <c r="M92" s="43"/>
      <c r="N92" s="43"/>
      <c r="O92" s="42"/>
      <c r="P92" s="44"/>
      <c r="Q92" s="34" t="str">
        <f t="shared" si="13"/>
        <v/>
      </c>
      <c r="R92" s="34" t="str">
        <f t="shared" si="14"/>
        <v/>
      </c>
      <c r="S92" s="36" t="str">
        <f t="shared" si="15"/>
        <v/>
      </c>
      <c r="T92" s="42"/>
      <c r="U92" s="51" t="str">
        <f t="shared" si="16"/>
        <v/>
      </c>
      <c r="V92" s="51" t="str">
        <f>IF($A92="","",COUNTIF($A$2:$A92,$A92))</f>
        <v/>
      </c>
    </row>
    <row r="93" spans="1:22" x14ac:dyDescent="0.3">
      <c r="A93" s="42"/>
      <c r="B93" s="42"/>
      <c r="C93" s="36" t="str">
        <f>IF($A93="","",IFERROR(INDEX(SERVIZI!$B:$B,MATCH($B93,SERVIZI!$A:$A,0)),""))</f>
        <v/>
      </c>
      <c r="D93" s="42"/>
      <c r="E93" s="42"/>
      <c r="F93" s="42"/>
      <c r="G93" s="42"/>
      <c r="H93" s="44"/>
      <c r="I93" s="44"/>
      <c r="J93" s="35" t="str">
        <f t="shared" si="11"/>
        <v/>
      </c>
      <c r="K93" s="34" t="str">
        <f t="shared" si="12"/>
        <v/>
      </c>
      <c r="L93" s="42"/>
      <c r="M93" s="43"/>
      <c r="N93" s="43"/>
      <c r="O93" s="42"/>
      <c r="P93" s="44"/>
      <c r="Q93" s="34" t="str">
        <f t="shared" si="13"/>
        <v/>
      </c>
      <c r="R93" s="34" t="str">
        <f t="shared" si="14"/>
        <v/>
      </c>
      <c r="S93" s="36" t="str">
        <f t="shared" si="15"/>
        <v/>
      </c>
      <c r="T93" s="42"/>
      <c r="U93" s="51" t="str">
        <f t="shared" si="16"/>
        <v/>
      </c>
      <c r="V93" s="51" t="str">
        <f>IF($A93="","",COUNTIF($A$2:$A93,$A93))</f>
        <v/>
      </c>
    </row>
    <row r="94" spans="1:22" x14ac:dyDescent="0.3">
      <c r="A94" s="42"/>
      <c r="B94" s="42"/>
      <c r="C94" s="36" t="str">
        <f>IF($A94="","",IFERROR(INDEX(SERVIZI!$B:$B,MATCH($B94,SERVIZI!$A:$A,0)),""))</f>
        <v/>
      </c>
      <c r="D94" s="42"/>
      <c r="E94" s="42"/>
      <c r="F94" s="42"/>
      <c r="G94" s="42"/>
      <c r="H94" s="44"/>
      <c r="I94" s="44"/>
      <c r="J94" s="35" t="str">
        <f t="shared" si="11"/>
        <v/>
      </c>
      <c r="K94" s="34" t="str">
        <f t="shared" si="12"/>
        <v/>
      </c>
      <c r="L94" s="42"/>
      <c r="M94" s="43"/>
      <c r="N94" s="43"/>
      <c r="O94" s="42"/>
      <c r="P94" s="44"/>
      <c r="Q94" s="34" t="str">
        <f t="shared" si="13"/>
        <v/>
      </c>
      <c r="R94" s="34" t="str">
        <f t="shared" si="14"/>
        <v/>
      </c>
      <c r="S94" s="36" t="str">
        <f t="shared" si="15"/>
        <v/>
      </c>
      <c r="T94" s="42"/>
      <c r="U94" s="51" t="str">
        <f t="shared" si="16"/>
        <v/>
      </c>
      <c r="V94" s="51" t="str">
        <f>IF($A94="","",COUNTIF($A$2:$A94,$A94))</f>
        <v/>
      </c>
    </row>
    <row r="95" spans="1:22" x14ac:dyDescent="0.3">
      <c r="A95" s="42"/>
      <c r="B95" s="42"/>
      <c r="C95" s="36" t="str">
        <f>IF($A95="","",IFERROR(INDEX(SERVIZI!$B:$B,MATCH($B95,SERVIZI!$A:$A,0)),""))</f>
        <v/>
      </c>
      <c r="D95" s="42"/>
      <c r="E95" s="42"/>
      <c r="F95" s="42"/>
      <c r="G95" s="42"/>
      <c r="H95" s="44"/>
      <c r="I95" s="44"/>
      <c r="J95" s="35" t="str">
        <f t="shared" si="11"/>
        <v/>
      </c>
      <c r="K95" s="34" t="str">
        <f t="shared" si="12"/>
        <v/>
      </c>
      <c r="L95" s="42"/>
      <c r="M95" s="43"/>
      <c r="N95" s="43"/>
      <c r="O95" s="42"/>
      <c r="P95" s="44"/>
      <c r="Q95" s="34" t="str">
        <f t="shared" si="13"/>
        <v/>
      </c>
      <c r="R95" s="34" t="str">
        <f t="shared" si="14"/>
        <v/>
      </c>
      <c r="S95" s="36" t="str">
        <f t="shared" si="15"/>
        <v/>
      </c>
      <c r="T95" s="42"/>
      <c r="U95" s="51" t="str">
        <f t="shared" si="16"/>
        <v/>
      </c>
      <c r="V95" s="51" t="str">
        <f>IF($A95="","",COUNTIF($A$2:$A95,$A95))</f>
        <v/>
      </c>
    </row>
    <row r="96" spans="1:22" x14ac:dyDescent="0.3">
      <c r="A96" s="42"/>
      <c r="B96" s="42"/>
      <c r="C96" s="36" t="str">
        <f>IF($A96="","",IFERROR(INDEX(SERVIZI!$B:$B,MATCH($B96,SERVIZI!$A:$A,0)),""))</f>
        <v/>
      </c>
      <c r="D96" s="42"/>
      <c r="E96" s="42"/>
      <c r="F96" s="42"/>
      <c r="G96" s="42"/>
      <c r="H96" s="44"/>
      <c r="I96" s="44"/>
      <c r="J96" s="35" t="str">
        <f t="shared" si="11"/>
        <v/>
      </c>
      <c r="K96" s="34" t="str">
        <f t="shared" si="12"/>
        <v/>
      </c>
      <c r="L96" s="42"/>
      <c r="M96" s="43"/>
      <c r="N96" s="43"/>
      <c r="O96" s="42"/>
      <c r="P96" s="44"/>
      <c r="Q96" s="34" t="str">
        <f t="shared" si="13"/>
        <v/>
      </c>
      <c r="R96" s="34" t="str">
        <f t="shared" si="14"/>
        <v/>
      </c>
      <c r="S96" s="36" t="str">
        <f t="shared" si="15"/>
        <v/>
      </c>
      <c r="T96" s="42"/>
      <c r="U96" s="51" t="str">
        <f t="shared" si="16"/>
        <v/>
      </c>
      <c r="V96" s="51" t="str">
        <f>IF($A96="","",COUNTIF($A$2:$A96,$A96))</f>
        <v/>
      </c>
    </row>
    <row r="97" spans="1:22" x14ac:dyDescent="0.3">
      <c r="A97" s="42"/>
      <c r="B97" s="42"/>
      <c r="C97" s="36" t="str">
        <f>IF($A97="","",IFERROR(INDEX(SERVIZI!$B:$B,MATCH($B97,SERVIZI!$A:$A,0)),""))</f>
        <v/>
      </c>
      <c r="D97" s="42"/>
      <c r="E97" s="42"/>
      <c r="F97" s="42"/>
      <c r="G97" s="42"/>
      <c r="H97" s="44"/>
      <c r="I97" s="44"/>
      <c r="J97" s="35" t="str">
        <f t="shared" si="11"/>
        <v/>
      </c>
      <c r="K97" s="34" t="str">
        <f t="shared" si="12"/>
        <v/>
      </c>
      <c r="L97" s="42"/>
      <c r="M97" s="43"/>
      <c r="N97" s="43"/>
      <c r="O97" s="42"/>
      <c r="P97" s="44"/>
      <c r="Q97" s="34" t="str">
        <f t="shared" si="13"/>
        <v/>
      </c>
      <c r="R97" s="34" t="str">
        <f t="shared" si="14"/>
        <v/>
      </c>
      <c r="S97" s="36" t="str">
        <f t="shared" si="15"/>
        <v/>
      </c>
      <c r="T97" s="42"/>
      <c r="U97" s="51" t="str">
        <f t="shared" si="16"/>
        <v/>
      </c>
      <c r="V97" s="51" t="str">
        <f>IF($A97="","",COUNTIF($A$2:$A97,$A97))</f>
        <v/>
      </c>
    </row>
    <row r="98" spans="1:22" x14ac:dyDescent="0.3">
      <c r="A98" s="42"/>
      <c r="B98" s="42"/>
      <c r="C98" s="36" t="str">
        <f>IF($A98="","",IFERROR(INDEX(SERVIZI!$B:$B,MATCH($B98,SERVIZI!$A:$A,0)),""))</f>
        <v/>
      </c>
      <c r="D98" s="42"/>
      <c r="E98" s="42"/>
      <c r="F98" s="42"/>
      <c r="G98" s="42"/>
      <c r="H98" s="44"/>
      <c r="I98" s="44"/>
      <c r="J98" s="35" t="str">
        <f t="shared" ref="J98:J129" si="17">IF($A98="","",IFERROR(($I98-$H98)/$H98,0))</f>
        <v/>
      </c>
      <c r="K98" s="34" t="str">
        <f t="shared" ref="K98:K129" si="18">IF($A98="","",$I98-$H98)</f>
        <v/>
      </c>
      <c r="L98" s="42"/>
      <c r="M98" s="43"/>
      <c r="N98" s="43"/>
      <c r="O98" s="42"/>
      <c r="P98" s="44"/>
      <c r="Q98" s="34" t="str">
        <f t="shared" ref="Q98:Q129" si="19">IF($A98="","",$H98-$P98)</f>
        <v/>
      </c>
      <c r="R98" s="34" t="str">
        <f t="shared" ref="R98:R129" si="20">IF($A98="","",IF(OR($L98="Emesso",$L98="Prestazione erogata",$L98="Fatturato",$L98="Pagato"),$H98,0))</f>
        <v/>
      </c>
      <c r="S98" s="36" t="str">
        <f t="shared" ref="S98:S129" si="21">IF($A98="","",IF($H98&gt;SOGLIA_DIR,"Direzione",IF($H98&gt;SOGLIA_PM,"Project Manager","Autonomo")))</f>
        <v/>
      </c>
      <c r="T98" s="42"/>
      <c r="U98" s="51" t="str">
        <f t="shared" si="16"/>
        <v/>
      </c>
      <c r="V98" s="51" t="str">
        <f>IF($A98="","",COUNTIF($A$2:$A98,$A98))</f>
        <v/>
      </c>
    </row>
    <row r="99" spans="1:22" x14ac:dyDescent="0.3">
      <c r="A99" s="42"/>
      <c r="B99" s="42"/>
      <c r="C99" s="36" t="str">
        <f>IF($A99="","",IFERROR(INDEX(SERVIZI!$B:$B,MATCH($B99,SERVIZI!$A:$A,0)),""))</f>
        <v/>
      </c>
      <c r="D99" s="42"/>
      <c r="E99" s="42"/>
      <c r="F99" s="42"/>
      <c r="G99" s="42"/>
      <c r="H99" s="44"/>
      <c r="I99" s="44"/>
      <c r="J99" s="35" t="str">
        <f t="shared" si="17"/>
        <v/>
      </c>
      <c r="K99" s="34" t="str">
        <f t="shared" si="18"/>
        <v/>
      </c>
      <c r="L99" s="42"/>
      <c r="M99" s="43"/>
      <c r="N99" s="43"/>
      <c r="O99" s="42"/>
      <c r="P99" s="44"/>
      <c r="Q99" s="34" t="str">
        <f t="shared" si="19"/>
        <v/>
      </c>
      <c r="R99" s="34" t="str">
        <f t="shared" si="20"/>
        <v/>
      </c>
      <c r="S99" s="36" t="str">
        <f t="shared" si="21"/>
        <v/>
      </c>
      <c r="T99" s="42"/>
      <c r="U99" s="51" t="str">
        <f t="shared" si="16"/>
        <v/>
      </c>
      <c r="V99" s="51" t="str">
        <f>IF($A99="","",COUNTIF($A$2:$A99,$A99))</f>
        <v/>
      </c>
    </row>
    <row r="100" spans="1:22" x14ac:dyDescent="0.3">
      <c r="A100" s="42"/>
      <c r="B100" s="42"/>
      <c r="C100" s="36" t="str">
        <f>IF($A100="","",IFERROR(INDEX(SERVIZI!$B:$B,MATCH($B100,SERVIZI!$A:$A,0)),""))</f>
        <v/>
      </c>
      <c r="D100" s="42"/>
      <c r="E100" s="42"/>
      <c r="F100" s="42"/>
      <c r="G100" s="42"/>
      <c r="H100" s="44"/>
      <c r="I100" s="44"/>
      <c r="J100" s="35" t="str">
        <f t="shared" si="17"/>
        <v/>
      </c>
      <c r="K100" s="34" t="str">
        <f t="shared" si="18"/>
        <v/>
      </c>
      <c r="L100" s="42"/>
      <c r="M100" s="43"/>
      <c r="N100" s="43"/>
      <c r="O100" s="42"/>
      <c r="P100" s="44"/>
      <c r="Q100" s="34" t="str">
        <f t="shared" si="19"/>
        <v/>
      </c>
      <c r="R100" s="34" t="str">
        <f t="shared" si="20"/>
        <v/>
      </c>
      <c r="S100" s="36" t="str">
        <f t="shared" si="21"/>
        <v/>
      </c>
      <c r="T100" s="42"/>
      <c r="U100" s="51" t="str">
        <f t="shared" si="16"/>
        <v/>
      </c>
      <c r="V100" s="51" t="str">
        <f>IF($A100="","",COUNTIF($A$2:$A100,$A100))</f>
        <v/>
      </c>
    </row>
    <row r="101" spans="1:22" x14ac:dyDescent="0.3">
      <c r="A101" s="42"/>
      <c r="B101" s="42"/>
      <c r="C101" s="36" t="str">
        <f>IF($A101="","",IFERROR(INDEX(SERVIZI!$B:$B,MATCH($B101,SERVIZI!$A:$A,0)),""))</f>
        <v/>
      </c>
      <c r="D101" s="42"/>
      <c r="E101" s="42"/>
      <c r="F101" s="42"/>
      <c r="G101" s="42"/>
      <c r="H101" s="44"/>
      <c r="I101" s="44"/>
      <c r="J101" s="35" t="str">
        <f t="shared" si="17"/>
        <v/>
      </c>
      <c r="K101" s="34" t="str">
        <f t="shared" si="18"/>
        <v/>
      </c>
      <c r="L101" s="42"/>
      <c r="M101" s="43"/>
      <c r="N101" s="43"/>
      <c r="O101" s="42"/>
      <c r="P101" s="44"/>
      <c r="Q101" s="34" t="str">
        <f t="shared" si="19"/>
        <v/>
      </c>
      <c r="R101" s="34" t="str">
        <f t="shared" si="20"/>
        <v/>
      </c>
      <c r="S101" s="36" t="str">
        <f t="shared" si="21"/>
        <v/>
      </c>
      <c r="T101" s="42"/>
      <c r="U101" s="51" t="str">
        <f t="shared" si="16"/>
        <v/>
      </c>
      <c r="V101" s="51" t="str">
        <f>IF($A101="","",COUNTIF($A$2:$A101,$A101))</f>
        <v/>
      </c>
    </row>
    <row r="102" spans="1:22" x14ac:dyDescent="0.3">
      <c r="A102" s="42"/>
      <c r="B102" s="42"/>
      <c r="C102" s="36" t="str">
        <f>IF($A102="","",IFERROR(INDEX(SERVIZI!$B:$B,MATCH($B102,SERVIZI!$A:$A,0)),""))</f>
        <v/>
      </c>
      <c r="D102" s="42"/>
      <c r="E102" s="42"/>
      <c r="F102" s="42"/>
      <c r="G102" s="42"/>
      <c r="H102" s="44"/>
      <c r="I102" s="44"/>
      <c r="J102" s="35" t="str">
        <f t="shared" si="17"/>
        <v/>
      </c>
      <c r="K102" s="34" t="str">
        <f t="shared" si="18"/>
        <v/>
      </c>
      <c r="L102" s="42"/>
      <c r="M102" s="43"/>
      <c r="N102" s="43"/>
      <c r="O102" s="42"/>
      <c r="P102" s="44"/>
      <c r="Q102" s="34" t="str">
        <f t="shared" si="19"/>
        <v/>
      </c>
      <c r="R102" s="34" t="str">
        <f t="shared" si="20"/>
        <v/>
      </c>
      <c r="S102" s="36" t="str">
        <f t="shared" si="21"/>
        <v/>
      </c>
      <c r="T102" s="42"/>
      <c r="U102" s="51" t="str">
        <f t="shared" si="16"/>
        <v/>
      </c>
      <c r="V102" s="51" t="str">
        <f>IF($A102="","",COUNTIF($A$2:$A102,$A102))</f>
        <v/>
      </c>
    </row>
    <row r="103" spans="1:22" x14ac:dyDescent="0.3">
      <c r="A103" s="42"/>
      <c r="B103" s="42"/>
      <c r="C103" s="36" t="str">
        <f>IF($A103="","",IFERROR(INDEX(SERVIZI!$B:$B,MATCH($B103,SERVIZI!$A:$A,0)),""))</f>
        <v/>
      </c>
      <c r="D103" s="42"/>
      <c r="E103" s="42"/>
      <c r="F103" s="42"/>
      <c r="G103" s="42"/>
      <c r="H103" s="44"/>
      <c r="I103" s="44"/>
      <c r="J103" s="35" t="str">
        <f t="shared" si="17"/>
        <v/>
      </c>
      <c r="K103" s="34" t="str">
        <f t="shared" si="18"/>
        <v/>
      </c>
      <c r="L103" s="42"/>
      <c r="M103" s="43"/>
      <c r="N103" s="43"/>
      <c r="O103" s="42"/>
      <c r="P103" s="44"/>
      <c r="Q103" s="34" t="str">
        <f t="shared" si="19"/>
        <v/>
      </c>
      <c r="R103" s="34" t="str">
        <f t="shared" si="20"/>
        <v/>
      </c>
      <c r="S103" s="36" t="str">
        <f t="shared" si="21"/>
        <v/>
      </c>
      <c r="T103" s="42"/>
      <c r="U103" s="51" t="str">
        <f t="shared" si="16"/>
        <v/>
      </c>
      <c r="V103" s="51" t="str">
        <f>IF($A103="","",COUNTIF($A$2:$A103,$A103))</f>
        <v/>
      </c>
    </row>
    <row r="104" spans="1:22" x14ac:dyDescent="0.3">
      <c r="A104" s="42"/>
      <c r="B104" s="42"/>
      <c r="C104" s="36" t="str">
        <f>IF($A104="","",IFERROR(INDEX(SERVIZI!$B:$B,MATCH($B104,SERVIZI!$A:$A,0)),""))</f>
        <v/>
      </c>
      <c r="D104" s="42"/>
      <c r="E104" s="42"/>
      <c r="F104" s="42"/>
      <c r="G104" s="42"/>
      <c r="H104" s="44"/>
      <c r="I104" s="44"/>
      <c r="J104" s="35" t="str">
        <f t="shared" si="17"/>
        <v/>
      </c>
      <c r="K104" s="34" t="str">
        <f t="shared" si="18"/>
        <v/>
      </c>
      <c r="L104" s="42"/>
      <c r="M104" s="43"/>
      <c r="N104" s="43"/>
      <c r="O104" s="42"/>
      <c r="P104" s="44"/>
      <c r="Q104" s="34" t="str">
        <f t="shared" si="19"/>
        <v/>
      </c>
      <c r="R104" s="34" t="str">
        <f t="shared" si="20"/>
        <v/>
      </c>
      <c r="S104" s="36" t="str">
        <f t="shared" si="21"/>
        <v/>
      </c>
      <c r="T104" s="42"/>
      <c r="U104" s="51" t="str">
        <f t="shared" si="16"/>
        <v/>
      </c>
      <c r="V104" s="51" t="str">
        <f>IF($A104="","",COUNTIF($A$2:$A104,$A104))</f>
        <v/>
      </c>
    </row>
    <row r="105" spans="1:22" x14ac:dyDescent="0.3">
      <c r="A105" s="42"/>
      <c r="B105" s="42"/>
      <c r="C105" s="36" t="str">
        <f>IF($A105="","",IFERROR(INDEX(SERVIZI!$B:$B,MATCH($B105,SERVIZI!$A:$A,0)),""))</f>
        <v/>
      </c>
      <c r="D105" s="42"/>
      <c r="E105" s="42"/>
      <c r="F105" s="42"/>
      <c r="G105" s="42"/>
      <c r="H105" s="44"/>
      <c r="I105" s="44"/>
      <c r="J105" s="35" t="str">
        <f t="shared" si="17"/>
        <v/>
      </c>
      <c r="K105" s="34" t="str">
        <f t="shared" si="18"/>
        <v/>
      </c>
      <c r="L105" s="42"/>
      <c r="M105" s="43"/>
      <c r="N105" s="43"/>
      <c r="O105" s="42"/>
      <c r="P105" s="44"/>
      <c r="Q105" s="34" t="str">
        <f t="shared" si="19"/>
        <v/>
      </c>
      <c r="R105" s="34" t="str">
        <f t="shared" si="20"/>
        <v/>
      </c>
      <c r="S105" s="36" t="str">
        <f t="shared" si="21"/>
        <v/>
      </c>
      <c r="T105" s="42"/>
      <c r="U105" s="51" t="str">
        <f t="shared" si="16"/>
        <v/>
      </c>
      <c r="V105" s="51" t="str">
        <f>IF($A105="","",COUNTIF($A$2:$A105,$A105))</f>
        <v/>
      </c>
    </row>
    <row r="106" spans="1:22" x14ac:dyDescent="0.3">
      <c r="A106" s="42"/>
      <c r="B106" s="42"/>
      <c r="C106" s="36" t="str">
        <f>IF($A106="","",IFERROR(INDEX(SERVIZI!$B:$B,MATCH($B106,SERVIZI!$A:$A,0)),""))</f>
        <v/>
      </c>
      <c r="D106" s="42"/>
      <c r="E106" s="42"/>
      <c r="F106" s="42"/>
      <c r="G106" s="42"/>
      <c r="H106" s="44"/>
      <c r="I106" s="44"/>
      <c r="J106" s="35" t="str">
        <f t="shared" si="17"/>
        <v/>
      </c>
      <c r="K106" s="34" t="str">
        <f t="shared" si="18"/>
        <v/>
      </c>
      <c r="L106" s="42"/>
      <c r="M106" s="43"/>
      <c r="N106" s="43"/>
      <c r="O106" s="42"/>
      <c r="P106" s="44"/>
      <c r="Q106" s="34" t="str">
        <f t="shared" si="19"/>
        <v/>
      </c>
      <c r="R106" s="34" t="str">
        <f t="shared" si="20"/>
        <v/>
      </c>
      <c r="S106" s="36" t="str">
        <f t="shared" si="21"/>
        <v/>
      </c>
      <c r="T106" s="42"/>
      <c r="U106" s="51" t="str">
        <f t="shared" si="16"/>
        <v/>
      </c>
      <c r="V106" s="51" t="str">
        <f>IF($A106="","",COUNTIF($A$2:$A106,$A106))</f>
        <v/>
      </c>
    </row>
    <row r="107" spans="1:22" x14ac:dyDescent="0.3">
      <c r="A107" s="42"/>
      <c r="B107" s="42"/>
      <c r="C107" s="36" t="str">
        <f>IF($A107="","",IFERROR(INDEX(SERVIZI!$B:$B,MATCH($B107,SERVIZI!$A:$A,0)),""))</f>
        <v/>
      </c>
      <c r="D107" s="42"/>
      <c r="E107" s="42"/>
      <c r="F107" s="42"/>
      <c r="G107" s="42"/>
      <c r="H107" s="44"/>
      <c r="I107" s="44"/>
      <c r="J107" s="35" t="str">
        <f t="shared" si="17"/>
        <v/>
      </c>
      <c r="K107" s="34" t="str">
        <f t="shared" si="18"/>
        <v/>
      </c>
      <c r="L107" s="42"/>
      <c r="M107" s="43"/>
      <c r="N107" s="43"/>
      <c r="O107" s="42"/>
      <c r="P107" s="44"/>
      <c r="Q107" s="34" t="str">
        <f t="shared" si="19"/>
        <v/>
      </c>
      <c r="R107" s="34" t="str">
        <f t="shared" si="20"/>
        <v/>
      </c>
      <c r="S107" s="36" t="str">
        <f t="shared" si="21"/>
        <v/>
      </c>
      <c r="T107" s="42"/>
      <c r="U107" s="51" t="str">
        <f t="shared" si="16"/>
        <v/>
      </c>
      <c r="V107" s="51" t="str">
        <f>IF($A107="","",COUNTIF($A$2:$A107,$A107))</f>
        <v/>
      </c>
    </row>
    <row r="108" spans="1:22" x14ac:dyDescent="0.3">
      <c r="A108" s="42"/>
      <c r="B108" s="42"/>
      <c r="C108" s="36" t="str">
        <f>IF($A108="","",IFERROR(INDEX(SERVIZI!$B:$B,MATCH($B108,SERVIZI!$A:$A,0)),""))</f>
        <v/>
      </c>
      <c r="D108" s="42"/>
      <c r="E108" s="42"/>
      <c r="F108" s="42"/>
      <c r="G108" s="42"/>
      <c r="H108" s="44"/>
      <c r="I108" s="44"/>
      <c r="J108" s="35" t="str">
        <f t="shared" si="17"/>
        <v/>
      </c>
      <c r="K108" s="34" t="str">
        <f t="shared" si="18"/>
        <v/>
      </c>
      <c r="L108" s="42"/>
      <c r="M108" s="43"/>
      <c r="N108" s="43"/>
      <c r="O108" s="42"/>
      <c r="P108" s="44"/>
      <c r="Q108" s="34" t="str">
        <f t="shared" si="19"/>
        <v/>
      </c>
      <c r="R108" s="34" t="str">
        <f t="shared" si="20"/>
        <v/>
      </c>
      <c r="S108" s="36" t="str">
        <f t="shared" si="21"/>
        <v/>
      </c>
      <c r="T108" s="42"/>
      <c r="U108" s="51" t="str">
        <f t="shared" si="16"/>
        <v/>
      </c>
      <c r="V108" s="51" t="str">
        <f>IF($A108="","",COUNTIF($A$2:$A108,$A108))</f>
        <v/>
      </c>
    </row>
    <row r="109" spans="1:22" x14ac:dyDescent="0.3">
      <c r="A109" s="42"/>
      <c r="B109" s="42"/>
      <c r="C109" s="36" t="str">
        <f>IF($A109="","",IFERROR(INDEX(SERVIZI!$B:$B,MATCH($B109,SERVIZI!$A:$A,0)),""))</f>
        <v/>
      </c>
      <c r="D109" s="42"/>
      <c r="E109" s="42"/>
      <c r="F109" s="42"/>
      <c r="G109" s="42"/>
      <c r="H109" s="44"/>
      <c r="I109" s="44"/>
      <c r="J109" s="35" t="str">
        <f t="shared" si="17"/>
        <v/>
      </c>
      <c r="K109" s="34" t="str">
        <f t="shared" si="18"/>
        <v/>
      </c>
      <c r="L109" s="42"/>
      <c r="M109" s="43"/>
      <c r="N109" s="43"/>
      <c r="O109" s="42"/>
      <c r="P109" s="44"/>
      <c r="Q109" s="34" t="str">
        <f t="shared" si="19"/>
        <v/>
      </c>
      <c r="R109" s="34" t="str">
        <f t="shared" si="20"/>
        <v/>
      </c>
      <c r="S109" s="36" t="str">
        <f t="shared" si="21"/>
        <v/>
      </c>
      <c r="T109" s="42"/>
      <c r="U109" s="51" t="str">
        <f t="shared" si="16"/>
        <v/>
      </c>
      <c r="V109" s="51" t="str">
        <f>IF($A109="","",COUNTIF($A$2:$A109,$A109))</f>
        <v/>
      </c>
    </row>
    <row r="110" spans="1:22" x14ac:dyDescent="0.3">
      <c r="A110" s="42"/>
      <c r="B110" s="42"/>
      <c r="C110" s="36" t="str">
        <f>IF($A110="","",IFERROR(INDEX(SERVIZI!$B:$B,MATCH($B110,SERVIZI!$A:$A,0)),""))</f>
        <v/>
      </c>
      <c r="D110" s="42"/>
      <c r="E110" s="42"/>
      <c r="F110" s="42"/>
      <c r="G110" s="42"/>
      <c r="H110" s="44"/>
      <c r="I110" s="44"/>
      <c r="J110" s="35" t="str">
        <f t="shared" si="17"/>
        <v/>
      </c>
      <c r="K110" s="34" t="str">
        <f t="shared" si="18"/>
        <v/>
      </c>
      <c r="L110" s="42"/>
      <c r="M110" s="43"/>
      <c r="N110" s="43"/>
      <c r="O110" s="42"/>
      <c r="P110" s="44"/>
      <c r="Q110" s="34" t="str">
        <f t="shared" si="19"/>
        <v/>
      </c>
      <c r="R110" s="34" t="str">
        <f t="shared" si="20"/>
        <v/>
      </c>
      <c r="S110" s="36" t="str">
        <f t="shared" si="21"/>
        <v/>
      </c>
      <c r="T110" s="42"/>
      <c r="U110" s="51" t="str">
        <f t="shared" si="16"/>
        <v/>
      </c>
      <c r="V110" s="51" t="str">
        <f>IF($A110="","",COUNTIF($A$2:$A110,$A110))</f>
        <v/>
      </c>
    </row>
    <row r="111" spans="1:22" x14ac:dyDescent="0.3">
      <c r="A111" s="42"/>
      <c r="B111" s="42"/>
      <c r="C111" s="36" t="str">
        <f>IF($A111="","",IFERROR(INDEX(SERVIZI!$B:$B,MATCH($B111,SERVIZI!$A:$A,0)),""))</f>
        <v/>
      </c>
      <c r="D111" s="42"/>
      <c r="E111" s="42"/>
      <c r="F111" s="42"/>
      <c r="G111" s="42"/>
      <c r="H111" s="44"/>
      <c r="I111" s="44"/>
      <c r="J111" s="35" t="str">
        <f t="shared" si="17"/>
        <v/>
      </c>
      <c r="K111" s="34" t="str">
        <f t="shared" si="18"/>
        <v/>
      </c>
      <c r="L111" s="42"/>
      <c r="M111" s="43"/>
      <c r="N111" s="43"/>
      <c r="O111" s="42"/>
      <c r="P111" s="44"/>
      <c r="Q111" s="34" t="str">
        <f t="shared" si="19"/>
        <v/>
      </c>
      <c r="R111" s="34" t="str">
        <f t="shared" si="20"/>
        <v/>
      </c>
      <c r="S111" s="36" t="str">
        <f t="shared" si="21"/>
        <v/>
      </c>
      <c r="T111" s="42"/>
      <c r="U111" s="51" t="str">
        <f t="shared" si="16"/>
        <v/>
      </c>
      <c r="V111" s="51" t="str">
        <f>IF($A111="","",COUNTIF($A$2:$A111,$A111))</f>
        <v/>
      </c>
    </row>
    <row r="112" spans="1:22" x14ac:dyDescent="0.3">
      <c r="A112" s="42"/>
      <c r="B112" s="42"/>
      <c r="C112" s="36" t="str">
        <f>IF($A112="","",IFERROR(INDEX(SERVIZI!$B:$B,MATCH($B112,SERVIZI!$A:$A,0)),""))</f>
        <v/>
      </c>
      <c r="D112" s="42"/>
      <c r="E112" s="42"/>
      <c r="F112" s="42"/>
      <c r="G112" s="42"/>
      <c r="H112" s="44"/>
      <c r="I112" s="44"/>
      <c r="J112" s="35" t="str">
        <f t="shared" si="17"/>
        <v/>
      </c>
      <c r="K112" s="34" t="str">
        <f t="shared" si="18"/>
        <v/>
      </c>
      <c r="L112" s="42"/>
      <c r="M112" s="43"/>
      <c r="N112" s="43"/>
      <c r="O112" s="42"/>
      <c r="P112" s="44"/>
      <c r="Q112" s="34" t="str">
        <f t="shared" si="19"/>
        <v/>
      </c>
      <c r="R112" s="34" t="str">
        <f t="shared" si="20"/>
        <v/>
      </c>
      <c r="S112" s="36" t="str">
        <f t="shared" si="21"/>
        <v/>
      </c>
      <c r="T112" s="42"/>
      <c r="U112" s="51" t="str">
        <f t="shared" si="16"/>
        <v/>
      </c>
      <c r="V112" s="51" t="str">
        <f>IF($A112="","",COUNTIF($A$2:$A112,$A112))</f>
        <v/>
      </c>
    </row>
    <row r="113" spans="1:22" x14ac:dyDescent="0.3">
      <c r="A113" s="42"/>
      <c r="B113" s="42"/>
      <c r="C113" s="36" t="str">
        <f>IF($A113="","",IFERROR(INDEX(SERVIZI!$B:$B,MATCH($B113,SERVIZI!$A:$A,0)),""))</f>
        <v/>
      </c>
      <c r="D113" s="42"/>
      <c r="E113" s="42"/>
      <c r="F113" s="42"/>
      <c r="G113" s="42"/>
      <c r="H113" s="44"/>
      <c r="I113" s="44"/>
      <c r="J113" s="35" t="str">
        <f t="shared" si="17"/>
        <v/>
      </c>
      <c r="K113" s="34" t="str">
        <f t="shared" si="18"/>
        <v/>
      </c>
      <c r="L113" s="42"/>
      <c r="M113" s="43"/>
      <c r="N113" s="43"/>
      <c r="O113" s="42"/>
      <c r="P113" s="44"/>
      <c r="Q113" s="34" t="str">
        <f t="shared" si="19"/>
        <v/>
      </c>
      <c r="R113" s="34" t="str">
        <f t="shared" si="20"/>
        <v/>
      </c>
      <c r="S113" s="36" t="str">
        <f t="shared" si="21"/>
        <v/>
      </c>
      <c r="T113" s="42"/>
      <c r="U113" s="51" t="str">
        <f t="shared" si="16"/>
        <v/>
      </c>
      <c r="V113" s="51" t="str">
        <f>IF($A113="","",COUNTIF($A$2:$A113,$A113))</f>
        <v/>
      </c>
    </row>
    <row r="114" spans="1:22" x14ac:dyDescent="0.3">
      <c r="A114" s="42"/>
      <c r="B114" s="42"/>
      <c r="C114" s="36" t="str">
        <f>IF($A114="","",IFERROR(INDEX(SERVIZI!$B:$B,MATCH($B114,SERVIZI!$A:$A,0)),""))</f>
        <v/>
      </c>
      <c r="D114" s="42"/>
      <c r="E114" s="42"/>
      <c r="F114" s="42"/>
      <c r="G114" s="42"/>
      <c r="H114" s="44"/>
      <c r="I114" s="44"/>
      <c r="J114" s="35" t="str">
        <f t="shared" si="17"/>
        <v/>
      </c>
      <c r="K114" s="34" t="str">
        <f t="shared" si="18"/>
        <v/>
      </c>
      <c r="L114" s="42"/>
      <c r="M114" s="43"/>
      <c r="N114" s="43"/>
      <c r="O114" s="42"/>
      <c r="P114" s="44"/>
      <c r="Q114" s="34" t="str">
        <f t="shared" si="19"/>
        <v/>
      </c>
      <c r="R114" s="34" t="str">
        <f t="shared" si="20"/>
        <v/>
      </c>
      <c r="S114" s="36" t="str">
        <f t="shared" si="21"/>
        <v/>
      </c>
      <c r="T114" s="42"/>
      <c r="U114" s="51" t="str">
        <f t="shared" si="16"/>
        <v/>
      </c>
      <c r="V114" s="51" t="str">
        <f>IF($A114="","",COUNTIF($A$2:$A114,$A114))</f>
        <v/>
      </c>
    </row>
    <row r="115" spans="1:22" x14ac:dyDescent="0.3">
      <c r="A115" s="42"/>
      <c r="B115" s="42"/>
      <c r="C115" s="36" t="str">
        <f>IF($A115="","",IFERROR(INDEX(SERVIZI!$B:$B,MATCH($B115,SERVIZI!$A:$A,0)),""))</f>
        <v/>
      </c>
      <c r="D115" s="42"/>
      <c r="E115" s="42"/>
      <c r="F115" s="42"/>
      <c r="G115" s="42"/>
      <c r="H115" s="44"/>
      <c r="I115" s="44"/>
      <c r="J115" s="35" t="str">
        <f t="shared" si="17"/>
        <v/>
      </c>
      <c r="K115" s="34" t="str">
        <f t="shared" si="18"/>
        <v/>
      </c>
      <c r="L115" s="42"/>
      <c r="M115" s="43"/>
      <c r="N115" s="43"/>
      <c r="O115" s="42"/>
      <c r="P115" s="44"/>
      <c r="Q115" s="34" t="str">
        <f t="shared" si="19"/>
        <v/>
      </c>
      <c r="R115" s="34" t="str">
        <f t="shared" si="20"/>
        <v/>
      </c>
      <c r="S115" s="36" t="str">
        <f t="shared" si="21"/>
        <v/>
      </c>
      <c r="T115" s="42"/>
      <c r="U115" s="51" t="str">
        <f t="shared" si="16"/>
        <v/>
      </c>
      <c r="V115" s="51" t="str">
        <f>IF($A115="","",COUNTIF($A$2:$A115,$A115))</f>
        <v/>
      </c>
    </row>
    <row r="116" spans="1:22" x14ac:dyDescent="0.3">
      <c r="A116" s="42"/>
      <c r="B116" s="42"/>
      <c r="C116" s="36" t="str">
        <f>IF($A116="","",IFERROR(INDEX(SERVIZI!$B:$B,MATCH($B116,SERVIZI!$A:$A,0)),""))</f>
        <v/>
      </c>
      <c r="D116" s="42"/>
      <c r="E116" s="42"/>
      <c r="F116" s="42"/>
      <c r="G116" s="42"/>
      <c r="H116" s="44"/>
      <c r="I116" s="44"/>
      <c r="J116" s="35" t="str">
        <f t="shared" si="17"/>
        <v/>
      </c>
      <c r="K116" s="34" t="str">
        <f t="shared" si="18"/>
        <v/>
      </c>
      <c r="L116" s="42"/>
      <c r="M116" s="43"/>
      <c r="N116" s="43"/>
      <c r="O116" s="42"/>
      <c r="P116" s="44"/>
      <c r="Q116" s="34" t="str">
        <f t="shared" si="19"/>
        <v/>
      </c>
      <c r="R116" s="34" t="str">
        <f t="shared" si="20"/>
        <v/>
      </c>
      <c r="S116" s="36" t="str">
        <f t="shared" si="21"/>
        <v/>
      </c>
      <c r="T116" s="42"/>
      <c r="U116" s="51" t="str">
        <f t="shared" si="16"/>
        <v/>
      </c>
      <c r="V116" s="51" t="str">
        <f>IF($A116="","",COUNTIF($A$2:$A116,$A116))</f>
        <v/>
      </c>
    </row>
    <row r="117" spans="1:22" x14ac:dyDescent="0.3">
      <c r="A117" s="42"/>
      <c r="B117" s="42"/>
      <c r="C117" s="36" t="str">
        <f>IF($A117="","",IFERROR(INDEX(SERVIZI!$B:$B,MATCH($B117,SERVIZI!$A:$A,0)),""))</f>
        <v/>
      </c>
      <c r="D117" s="42"/>
      <c r="E117" s="42"/>
      <c r="F117" s="42"/>
      <c r="G117" s="42"/>
      <c r="H117" s="44"/>
      <c r="I117" s="44"/>
      <c r="J117" s="35" t="str">
        <f t="shared" si="17"/>
        <v/>
      </c>
      <c r="K117" s="34" t="str">
        <f t="shared" si="18"/>
        <v/>
      </c>
      <c r="L117" s="42"/>
      <c r="M117" s="43"/>
      <c r="N117" s="43"/>
      <c r="O117" s="42"/>
      <c r="P117" s="44"/>
      <c r="Q117" s="34" t="str">
        <f t="shared" si="19"/>
        <v/>
      </c>
      <c r="R117" s="34" t="str">
        <f t="shared" si="20"/>
        <v/>
      </c>
      <c r="S117" s="36" t="str">
        <f t="shared" si="21"/>
        <v/>
      </c>
      <c r="T117" s="42"/>
      <c r="U117" s="51" t="str">
        <f t="shared" si="16"/>
        <v/>
      </c>
      <c r="V117" s="51" t="str">
        <f>IF($A117="","",COUNTIF($A$2:$A117,$A117))</f>
        <v/>
      </c>
    </row>
    <row r="118" spans="1:22" x14ac:dyDescent="0.3">
      <c r="A118" s="42"/>
      <c r="B118" s="42"/>
      <c r="C118" s="36" t="str">
        <f>IF($A118="","",IFERROR(INDEX(SERVIZI!$B:$B,MATCH($B118,SERVIZI!$A:$A,0)),""))</f>
        <v/>
      </c>
      <c r="D118" s="42"/>
      <c r="E118" s="42"/>
      <c r="F118" s="42"/>
      <c r="G118" s="42"/>
      <c r="H118" s="44"/>
      <c r="I118" s="44"/>
      <c r="J118" s="35" t="str">
        <f t="shared" si="17"/>
        <v/>
      </c>
      <c r="K118" s="34" t="str">
        <f t="shared" si="18"/>
        <v/>
      </c>
      <c r="L118" s="42"/>
      <c r="M118" s="43"/>
      <c r="N118" s="43"/>
      <c r="O118" s="42"/>
      <c r="P118" s="44"/>
      <c r="Q118" s="34" t="str">
        <f t="shared" si="19"/>
        <v/>
      </c>
      <c r="R118" s="34" t="str">
        <f t="shared" si="20"/>
        <v/>
      </c>
      <c r="S118" s="36" t="str">
        <f t="shared" si="21"/>
        <v/>
      </c>
      <c r="T118" s="42"/>
      <c r="U118" s="51" t="str">
        <f t="shared" si="16"/>
        <v/>
      </c>
      <c r="V118" s="51" t="str">
        <f>IF($A118="","",COUNTIF($A$2:$A118,$A118))</f>
        <v/>
      </c>
    </row>
    <row r="119" spans="1:22" x14ac:dyDescent="0.3">
      <c r="A119" s="42"/>
      <c r="B119" s="42"/>
      <c r="C119" s="36" t="str">
        <f>IF($A119="","",IFERROR(INDEX(SERVIZI!$B:$B,MATCH($B119,SERVIZI!$A:$A,0)),""))</f>
        <v/>
      </c>
      <c r="D119" s="42"/>
      <c r="E119" s="42"/>
      <c r="F119" s="42"/>
      <c r="G119" s="42"/>
      <c r="H119" s="44"/>
      <c r="I119" s="44"/>
      <c r="J119" s="35" t="str">
        <f t="shared" si="17"/>
        <v/>
      </c>
      <c r="K119" s="34" t="str">
        <f t="shared" si="18"/>
        <v/>
      </c>
      <c r="L119" s="42"/>
      <c r="M119" s="43"/>
      <c r="N119" s="43"/>
      <c r="O119" s="42"/>
      <c r="P119" s="44"/>
      <c r="Q119" s="34" t="str">
        <f t="shared" si="19"/>
        <v/>
      </c>
      <c r="R119" s="34" t="str">
        <f t="shared" si="20"/>
        <v/>
      </c>
      <c r="S119" s="36" t="str">
        <f t="shared" si="21"/>
        <v/>
      </c>
      <c r="T119" s="42"/>
      <c r="U119" s="51" t="str">
        <f t="shared" si="16"/>
        <v/>
      </c>
      <c r="V119" s="51" t="str">
        <f>IF($A119="","",COUNTIF($A$2:$A119,$A119))</f>
        <v/>
      </c>
    </row>
    <row r="120" spans="1:22" x14ac:dyDescent="0.3">
      <c r="A120" s="42"/>
      <c r="B120" s="42"/>
      <c r="C120" s="36" t="str">
        <f>IF($A120="","",IFERROR(INDEX(SERVIZI!$B:$B,MATCH($B120,SERVIZI!$A:$A,0)),""))</f>
        <v/>
      </c>
      <c r="D120" s="42"/>
      <c r="E120" s="42"/>
      <c r="F120" s="42"/>
      <c r="G120" s="42"/>
      <c r="H120" s="44"/>
      <c r="I120" s="44"/>
      <c r="J120" s="35" t="str">
        <f t="shared" si="17"/>
        <v/>
      </c>
      <c r="K120" s="34" t="str">
        <f t="shared" si="18"/>
        <v/>
      </c>
      <c r="L120" s="42"/>
      <c r="M120" s="43"/>
      <c r="N120" s="43"/>
      <c r="O120" s="42"/>
      <c r="P120" s="44"/>
      <c r="Q120" s="34" t="str">
        <f t="shared" si="19"/>
        <v/>
      </c>
      <c r="R120" s="34" t="str">
        <f t="shared" si="20"/>
        <v/>
      </c>
      <c r="S120" s="36" t="str">
        <f t="shared" si="21"/>
        <v/>
      </c>
      <c r="T120" s="42"/>
      <c r="U120" s="51" t="str">
        <f t="shared" si="16"/>
        <v/>
      </c>
      <c r="V120" s="51" t="str">
        <f>IF($A120="","",COUNTIF($A$2:$A120,$A120))</f>
        <v/>
      </c>
    </row>
    <row r="121" spans="1:22" x14ac:dyDescent="0.3">
      <c r="A121" s="42"/>
      <c r="B121" s="42"/>
      <c r="C121" s="36" t="str">
        <f>IF($A121="","",IFERROR(INDEX(SERVIZI!$B:$B,MATCH($B121,SERVIZI!$A:$A,0)),""))</f>
        <v/>
      </c>
      <c r="D121" s="42"/>
      <c r="E121" s="42"/>
      <c r="F121" s="42"/>
      <c r="G121" s="42"/>
      <c r="H121" s="44"/>
      <c r="I121" s="44"/>
      <c r="J121" s="35" t="str">
        <f t="shared" si="17"/>
        <v/>
      </c>
      <c r="K121" s="34" t="str">
        <f t="shared" si="18"/>
        <v/>
      </c>
      <c r="L121" s="42"/>
      <c r="M121" s="43"/>
      <c r="N121" s="43"/>
      <c r="O121" s="42"/>
      <c r="P121" s="44"/>
      <c r="Q121" s="34" t="str">
        <f t="shared" si="19"/>
        <v/>
      </c>
      <c r="R121" s="34" t="str">
        <f t="shared" si="20"/>
        <v/>
      </c>
      <c r="S121" s="36" t="str">
        <f t="shared" si="21"/>
        <v/>
      </c>
      <c r="T121" s="42"/>
      <c r="U121" s="51" t="str">
        <f t="shared" si="16"/>
        <v/>
      </c>
      <c r="V121" s="51" t="str">
        <f>IF($A121="","",COUNTIF($A$2:$A121,$A121))</f>
        <v/>
      </c>
    </row>
    <row r="122" spans="1:22" x14ac:dyDescent="0.3">
      <c r="A122" s="42"/>
      <c r="B122" s="42"/>
      <c r="C122" s="36" t="str">
        <f>IF($A122="","",IFERROR(INDEX(SERVIZI!$B:$B,MATCH($B122,SERVIZI!$A:$A,0)),""))</f>
        <v/>
      </c>
      <c r="D122" s="42"/>
      <c r="E122" s="42"/>
      <c r="F122" s="42"/>
      <c r="G122" s="42"/>
      <c r="H122" s="44"/>
      <c r="I122" s="44"/>
      <c r="J122" s="35" t="str">
        <f t="shared" si="17"/>
        <v/>
      </c>
      <c r="K122" s="34" t="str">
        <f t="shared" si="18"/>
        <v/>
      </c>
      <c r="L122" s="42"/>
      <c r="M122" s="43"/>
      <c r="N122" s="43"/>
      <c r="O122" s="42"/>
      <c r="P122" s="44"/>
      <c r="Q122" s="34" t="str">
        <f t="shared" si="19"/>
        <v/>
      </c>
      <c r="R122" s="34" t="str">
        <f t="shared" si="20"/>
        <v/>
      </c>
      <c r="S122" s="36" t="str">
        <f t="shared" si="21"/>
        <v/>
      </c>
      <c r="T122" s="42"/>
      <c r="U122" s="51" t="str">
        <f t="shared" si="16"/>
        <v/>
      </c>
      <c r="V122" s="51" t="str">
        <f>IF($A122="","",COUNTIF($A$2:$A122,$A122))</f>
        <v/>
      </c>
    </row>
    <row r="123" spans="1:22" x14ac:dyDescent="0.3">
      <c r="A123" s="42"/>
      <c r="B123" s="42"/>
      <c r="C123" s="36" t="str">
        <f>IF($A123="","",IFERROR(INDEX(SERVIZI!$B:$B,MATCH($B123,SERVIZI!$A:$A,0)),""))</f>
        <v/>
      </c>
      <c r="D123" s="42"/>
      <c r="E123" s="42"/>
      <c r="F123" s="42"/>
      <c r="G123" s="42"/>
      <c r="H123" s="44"/>
      <c r="I123" s="44"/>
      <c r="J123" s="35" t="str">
        <f t="shared" si="17"/>
        <v/>
      </c>
      <c r="K123" s="34" t="str">
        <f t="shared" si="18"/>
        <v/>
      </c>
      <c r="L123" s="42"/>
      <c r="M123" s="43"/>
      <c r="N123" s="43"/>
      <c r="O123" s="42"/>
      <c r="P123" s="44"/>
      <c r="Q123" s="34" t="str">
        <f t="shared" si="19"/>
        <v/>
      </c>
      <c r="R123" s="34" t="str">
        <f t="shared" si="20"/>
        <v/>
      </c>
      <c r="S123" s="36" t="str">
        <f t="shared" si="21"/>
        <v/>
      </c>
      <c r="T123" s="42"/>
      <c r="U123" s="51" t="str">
        <f t="shared" si="16"/>
        <v/>
      </c>
      <c r="V123" s="51" t="str">
        <f>IF($A123="","",COUNTIF($A$2:$A123,$A123))</f>
        <v/>
      </c>
    </row>
    <row r="124" spans="1:22" x14ac:dyDescent="0.3">
      <c r="A124" s="42"/>
      <c r="B124" s="42"/>
      <c r="C124" s="36" t="str">
        <f>IF($A124="","",IFERROR(INDEX(SERVIZI!$B:$B,MATCH($B124,SERVIZI!$A:$A,0)),""))</f>
        <v/>
      </c>
      <c r="D124" s="42"/>
      <c r="E124" s="42"/>
      <c r="F124" s="42"/>
      <c r="G124" s="42"/>
      <c r="H124" s="44"/>
      <c r="I124" s="44"/>
      <c r="J124" s="35" t="str">
        <f t="shared" si="17"/>
        <v/>
      </c>
      <c r="K124" s="34" t="str">
        <f t="shared" si="18"/>
        <v/>
      </c>
      <c r="L124" s="42"/>
      <c r="M124" s="43"/>
      <c r="N124" s="43"/>
      <c r="O124" s="42"/>
      <c r="P124" s="44"/>
      <c r="Q124" s="34" t="str">
        <f t="shared" si="19"/>
        <v/>
      </c>
      <c r="R124" s="34" t="str">
        <f t="shared" si="20"/>
        <v/>
      </c>
      <c r="S124" s="36" t="str">
        <f t="shared" si="21"/>
        <v/>
      </c>
      <c r="T124" s="42"/>
      <c r="U124" s="51" t="str">
        <f t="shared" si="16"/>
        <v/>
      </c>
      <c r="V124" s="51" t="str">
        <f>IF($A124="","",COUNTIF($A$2:$A124,$A124))</f>
        <v/>
      </c>
    </row>
    <row r="125" spans="1:22" x14ac:dyDescent="0.3">
      <c r="A125" s="42"/>
      <c r="B125" s="42"/>
      <c r="C125" s="36" t="str">
        <f>IF($A125="","",IFERROR(INDEX(SERVIZI!$B:$B,MATCH($B125,SERVIZI!$A:$A,0)),""))</f>
        <v/>
      </c>
      <c r="D125" s="42"/>
      <c r="E125" s="42"/>
      <c r="F125" s="42"/>
      <c r="G125" s="42"/>
      <c r="H125" s="44"/>
      <c r="I125" s="44"/>
      <c r="J125" s="35" t="str">
        <f t="shared" si="17"/>
        <v/>
      </c>
      <c r="K125" s="34" t="str">
        <f t="shared" si="18"/>
        <v/>
      </c>
      <c r="L125" s="42"/>
      <c r="M125" s="43"/>
      <c r="N125" s="43"/>
      <c r="O125" s="42"/>
      <c r="P125" s="44"/>
      <c r="Q125" s="34" t="str">
        <f t="shared" si="19"/>
        <v/>
      </c>
      <c r="R125" s="34" t="str">
        <f t="shared" si="20"/>
        <v/>
      </c>
      <c r="S125" s="36" t="str">
        <f t="shared" si="21"/>
        <v/>
      </c>
      <c r="T125" s="42"/>
      <c r="U125" s="51" t="str">
        <f t="shared" si="16"/>
        <v/>
      </c>
      <c r="V125" s="51" t="str">
        <f>IF($A125="","",COUNTIF($A$2:$A125,$A125))</f>
        <v/>
      </c>
    </row>
    <row r="126" spans="1:22" x14ac:dyDescent="0.3">
      <c r="A126" s="42"/>
      <c r="B126" s="42"/>
      <c r="C126" s="36" t="str">
        <f>IF($A126="","",IFERROR(INDEX(SERVIZI!$B:$B,MATCH($B126,SERVIZI!$A:$A,0)),""))</f>
        <v/>
      </c>
      <c r="D126" s="42"/>
      <c r="E126" s="42"/>
      <c r="F126" s="42"/>
      <c r="G126" s="42"/>
      <c r="H126" s="44"/>
      <c r="I126" s="44"/>
      <c r="J126" s="35" t="str">
        <f t="shared" si="17"/>
        <v/>
      </c>
      <c r="K126" s="34" t="str">
        <f t="shared" si="18"/>
        <v/>
      </c>
      <c r="L126" s="42"/>
      <c r="M126" s="43"/>
      <c r="N126" s="43"/>
      <c r="O126" s="42"/>
      <c r="P126" s="44"/>
      <c r="Q126" s="34" t="str">
        <f t="shared" si="19"/>
        <v/>
      </c>
      <c r="R126" s="34" t="str">
        <f t="shared" si="20"/>
        <v/>
      </c>
      <c r="S126" s="36" t="str">
        <f t="shared" si="21"/>
        <v/>
      </c>
      <c r="T126" s="42"/>
      <c r="U126" s="51" t="str">
        <f t="shared" si="16"/>
        <v/>
      </c>
      <c r="V126" s="51" t="str">
        <f>IF($A126="","",COUNTIF($A$2:$A126,$A126))</f>
        <v/>
      </c>
    </row>
    <row r="127" spans="1:22" x14ac:dyDescent="0.3">
      <c r="A127" s="42"/>
      <c r="B127" s="42"/>
      <c r="C127" s="36" t="str">
        <f>IF($A127="","",IFERROR(INDEX(SERVIZI!$B:$B,MATCH($B127,SERVIZI!$A:$A,0)),""))</f>
        <v/>
      </c>
      <c r="D127" s="42"/>
      <c r="E127" s="42"/>
      <c r="F127" s="42"/>
      <c r="G127" s="42"/>
      <c r="H127" s="44"/>
      <c r="I127" s="44"/>
      <c r="J127" s="35" t="str">
        <f t="shared" si="17"/>
        <v/>
      </c>
      <c r="K127" s="34" t="str">
        <f t="shared" si="18"/>
        <v/>
      </c>
      <c r="L127" s="42"/>
      <c r="M127" s="43"/>
      <c r="N127" s="43"/>
      <c r="O127" s="42"/>
      <c r="P127" s="44"/>
      <c r="Q127" s="34" t="str">
        <f t="shared" si="19"/>
        <v/>
      </c>
      <c r="R127" s="34" t="str">
        <f t="shared" si="20"/>
        <v/>
      </c>
      <c r="S127" s="36" t="str">
        <f t="shared" si="21"/>
        <v/>
      </c>
      <c r="T127" s="42"/>
      <c r="U127" s="51" t="str">
        <f t="shared" si="16"/>
        <v/>
      </c>
      <c r="V127" s="51" t="str">
        <f>IF($A127="","",COUNTIF($A$2:$A127,$A127))</f>
        <v/>
      </c>
    </row>
    <row r="128" spans="1:22" x14ac:dyDescent="0.3">
      <c r="A128" s="42"/>
      <c r="B128" s="42"/>
      <c r="C128" s="36" t="str">
        <f>IF($A128="","",IFERROR(INDEX(SERVIZI!$B:$B,MATCH($B128,SERVIZI!$A:$A,0)),""))</f>
        <v/>
      </c>
      <c r="D128" s="42"/>
      <c r="E128" s="42"/>
      <c r="F128" s="42"/>
      <c r="G128" s="42"/>
      <c r="H128" s="44"/>
      <c r="I128" s="44"/>
      <c r="J128" s="35" t="str">
        <f t="shared" si="17"/>
        <v/>
      </c>
      <c r="K128" s="34" t="str">
        <f t="shared" si="18"/>
        <v/>
      </c>
      <c r="L128" s="42"/>
      <c r="M128" s="43"/>
      <c r="N128" s="43"/>
      <c r="O128" s="42"/>
      <c r="P128" s="44"/>
      <c r="Q128" s="34" t="str">
        <f t="shared" si="19"/>
        <v/>
      </c>
      <c r="R128" s="34" t="str">
        <f t="shared" si="20"/>
        <v/>
      </c>
      <c r="S128" s="36" t="str">
        <f t="shared" si="21"/>
        <v/>
      </c>
      <c r="T128" s="42"/>
      <c r="U128" s="51" t="str">
        <f t="shared" si="16"/>
        <v/>
      </c>
      <c r="V128" s="51" t="str">
        <f>IF($A128="","",COUNTIF($A$2:$A128,$A128))</f>
        <v/>
      </c>
    </row>
    <row r="129" spans="1:22" x14ac:dyDescent="0.3">
      <c r="A129" s="42"/>
      <c r="B129" s="42"/>
      <c r="C129" s="36" t="str">
        <f>IF($A129="","",IFERROR(INDEX(SERVIZI!$B:$B,MATCH($B129,SERVIZI!$A:$A,0)),""))</f>
        <v/>
      </c>
      <c r="D129" s="42"/>
      <c r="E129" s="42"/>
      <c r="F129" s="42"/>
      <c r="G129" s="42"/>
      <c r="H129" s="44"/>
      <c r="I129" s="44"/>
      <c r="J129" s="35" t="str">
        <f t="shared" si="17"/>
        <v/>
      </c>
      <c r="K129" s="34" t="str">
        <f t="shared" si="18"/>
        <v/>
      </c>
      <c r="L129" s="42"/>
      <c r="M129" s="43"/>
      <c r="N129" s="43"/>
      <c r="O129" s="42"/>
      <c r="P129" s="44"/>
      <c r="Q129" s="34" t="str">
        <f t="shared" si="19"/>
        <v/>
      </c>
      <c r="R129" s="34" t="str">
        <f t="shared" si="20"/>
        <v/>
      </c>
      <c r="S129" s="36" t="str">
        <f t="shared" si="21"/>
        <v/>
      </c>
      <c r="T129" s="42"/>
      <c r="U129" s="51" t="str">
        <f t="shared" si="16"/>
        <v/>
      </c>
      <c r="V129" s="51" t="str">
        <f>IF($A129="","",COUNTIF($A$2:$A129,$A129))</f>
        <v/>
      </c>
    </row>
    <row r="130" spans="1:22" x14ac:dyDescent="0.3">
      <c r="A130" s="42"/>
      <c r="B130" s="42"/>
      <c r="C130" s="36" t="str">
        <f>IF($A130="","",IFERROR(INDEX(SERVIZI!$B:$B,MATCH($B130,SERVIZI!$A:$A,0)),""))</f>
        <v/>
      </c>
      <c r="D130" s="42"/>
      <c r="E130" s="42"/>
      <c r="F130" s="42"/>
      <c r="G130" s="42"/>
      <c r="H130" s="44"/>
      <c r="I130" s="44"/>
      <c r="J130" s="35" t="str">
        <f t="shared" ref="J130:J161" si="22">IF($A130="","",IFERROR(($I130-$H130)/$H130,0))</f>
        <v/>
      </c>
      <c r="K130" s="34" t="str">
        <f t="shared" ref="K130:K161" si="23">IF($A130="","",$I130-$H130)</f>
        <v/>
      </c>
      <c r="L130" s="42"/>
      <c r="M130" s="43"/>
      <c r="N130" s="43"/>
      <c r="O130" s="42"/>
      <c r="P130" s="44"/>
      <c r="Q130" s="34" t="str">
        <f t="shared" ref="Q130:Q161" si="24">IF($A130="","",$H130-$P130)</f>
        <v/>
      </c>
      <c r="R130" s="34" t="str">
        <f t="shared" ref="R130:R161" si="25">IF($A130="","",IF(OR($L130="Emesso",$L130="Prestazione erogata",$L130="Fatturato",$L130="Pagato"),$H130,0))</f>
        <v/>
      </c>
      <c r="S130" s="36" t="str">
        <f t="shared" ref="S130:S161" si="26">IF($A130="","",IF($H130&gt;SOGLIA_DIR,"Direzione",IF($H130&gt;SOGLIA_PM,"Project Manager","Autonomo")))</f>
        <v/>
      </c>
      <c r="T130" s="42"/>
      <c r="U130" s="51" t="str">
        <f t="shared" si="16"/>
        <v/>
      </c>
      <c r="V130" s="51" t="str">
        <f>IF($A130="","",COUNTIF($A$2:$A130,$A130))</f>
        <v/>
      </c>
    </row>
    <row r="131" spans="1:22" x14ac:dyDescent="0.3">
      <c r="A131" s="42"/>
      <c r="B131" s="42"/>
      <c r="C131" s="36" t="str">
        <f>IF($A131="","",IFERROR(INDEX(SERVIZI!$B:$B,MATCH($B131,SERVIZI!$A:$A,0)),""))</f>
        <v/>
      </c>
      <c r="D131" s="42"/>
      <c r="E131" s="42"/>
      <c r="F131" s="42"/>
      <c r="G131" s="42"/>
      <c r="H131" s="44"/>
      <c r="I131" s="44"/>
      <c r="J131" s="35" t="str">
        <f t="shared" si="22"/>
        <v/>
      </c>
      <c r="K131" s="34" t="str">
        <f t="shared" si="23"/>
        <v/>
      </c>
      <c r="L131" s="42"/>
      <c r="M131" s="43"/>
      <c r="N131" s="43"/>
      <c r="O131" s="42"/>
      <c r="P131" s="44"/>
      <c r="Q131" s="34" t="str">
        <f t="shared" si="24"/>
        <v/>
      </c>
      <c r="R131" s="34" t="str">
        <f t="shared" si="25"/>
        <v/>
      </c>
      <c r="S131" s="36" t="str">
        <f t="shared" si="26"/>
        <v/>
      </c>
      <c r="T131" s="42"/>
      <c r="U131" s="51" t="str">
        <f t="shared" ref="U131:U194" si="27">IF($A131="","",SUMIF($A:$A,$A131,$H:$H))</f>
        <v/>
      </c>
      <c r="V131" s="51" t="str">
        <f>IF($A131="","",COUNTIF($A$2:$A131,$A131))</f>
        <v/>
      </c>
    </row>
    <row r="132" spans="1:22" x14ac:dyDescent="0.3">
      <c r="A132" s="42"/>
      <c r="B132" s="42"/>
      <c r="C132" s="36" t="str">
        <f>IF($A132="","",IFERROR(INDEX(SERVIZI!$B:$B,MATCH($B132,SERVIZI!$A:$A,0)),""))</f>
        <v/>
      </c>
      <c r="D132" s="42"/>
      <c r="E132" s="42"/>
      <c r="F132" s="42"/>
      <c r="G132" s="42"/>
      <c r="H132" s="44"/>
      <c r="I132" s="44"/>
      <c r="J132" s="35" t="str">
        <f t="shared" si="22"/>
        <v/>
      </c>
      <c r="K132" s="34" t="str">
        <f t="shared" si="23"/>
        <v/>
      </c>
      <c r="L132" s="42"/>
      <c r="M132" s="43"/>
      <c r="N132" s="43"/>
      <c r="O132" s="42"/>
      <c r="P132" s="44"/>
      <c r="Q132" s="34" t="str">
        <f t="shared" si="24"/>
        <v/>
      </c>
      <c r="R132" s="34" t="str">
        <f t="shared" si="25"/>
        <v/>
      </c>
      <c r="S132" s="36" t="str">
        <f t="shared" si="26"/>
        <v/>
      </c>
      <c r="T132" s="42"/>
      <c r="U132" s="51" t="str">
        <f t="shared" si="27"/>
        <v/>
      </c>
      <c r="V132" s="51" t="str">
        <f>IF($A132="","",COUNTIF($A$2:$A132,$A132))</f>
        <v/>
      </c>
    </row>
    <row r="133" spans="1:22" x14ac:dyDescent="0.3">
      <c r="A133" s="42"/>
      <c r="B133" s="42"/>
      <c r="C133" s="36" t="str">
        <f>IF($A133="","",IFERROR(INDEX(SERVIZI!$B:$B,MATCH($B133,SERVIZI!$A:$A,0)),""))</f>
        <v/>
      </c>
      <c r="D133" s="42"/>
      <c r="E133" s="42"/>
      <c r="F133" s="42"/>
      <c r="G133" s="42"/>
      <c r="H133" s="44"/>
      <c r="I133" s="44"/>
      <c r="J133" s="35" t="str">
        <f t="shared" si="22"/>
        <v/>
      </c>
      <c r="K133" s="34" t="str">
        <f t="shared" si="23"/>
        <v/>
      </c>
      <c r="L133" s="42"/>
      <c r="M133" s="43"/>
      <c r="N133" s="43"/>
      <c r="O133" s="42"/>
      <c r="P133" s="44"/>
      <c r="Q133" s="34" t="str">
        <f t="shared" si="24"/>
        <v/>
      </c>
      <c r="R133" s="34" t="str">
        <f t="shared" si="25"/>
        <v/>
      </c>
      <c r="S133" s="36" t="str">
        <f t="shared" si="26"/>
        <v/>
      </c>
      <c r="T133" s="42"/>
      <c r="U133" s="51" t="str">
        <f t="shared" si="27"/>
        <v/>
      </c>
      <c r="V133" s="51" t="str">
        <f>IF($A133="","",COUNTIF($A$2:$A133,$A133))</f>
        <v/>
      </c>
    </row>
    <row r="134" spans="1:22" x14ac:dyDescent="0.3">
      <c r="A134" s="42"/>
      <c r="B134" s="42"/>
      <c r="C134" s="36" t="str">
        <f>IF($A134="","",IFERROR(INDEX(SERVIZI!$B:$B,MATCH($B134,SERVIZI!$A:$A,0)),""))</f>
        <v/>
      </c>
      <c r="D134" s="42"/>
      <c r="E134" s="42"/>
      <c r="F134" s="42"/>
      <c r="G134" s="42"/>
      <c r="H134" s="44"/>
      <c r="I134" s="44"/>
      <c r="J134" s="35" t="str">
        <f t="shared" si="22"/>
        <v/>
      </c>
      <c r="K134" s="34" t="str">
        <f t="shared" si="23"/>
        <v/>
      </c>
      <c r="L134" s="42"/>
      <c r="M134" s="43"/>
      <c r="N134" s="43"/>
      <c r="O134" s="42"/>
      <c r="P134" s="44"/>
      <c r="Q134" s="34" t="str">
        <f t="shared" si="24"/>
        <v/>
      </c>
      <c r="R134" s="34" t="str">
        <f t="shared" si="25"/>
        <v/>
      </c>
      <c r="S134" s="36" t="str">
        <f t="shared" si="26"/>
        <v/>
      </c>
      <c r="T134" s="42"/>
      <c r="U134" s="51" t="str">
        <f t="shared" si="27"/>
        <v/>
      </c>
      <c r="V134" s="51" t="str">
        <f>IF($A134="","",COUNTIF($A$2:$A134,$A134))</f>
        <v/>
      </c>
    </row>
    <row r="135" spans="1:22" x14ac:dyDescent="0.3">
      <c r="A135" s="42"/>
      <c r="B135" s="42"/>
      <c r="C135" s="36" t="str">
        <f>IF($A135="","",IFERROR(INDEX(SERVIZI!$B:$B,MATCH($B135,SERVIZI!$A:$A,0)),""))</f>
        <v/>
      </c>
      <c r="D135" s="42"/>
      <c r="E135" s="42"/>
      <c r="F135" s="42"/>
      <c r="G135" s="42"/>
      <c r="H135" s="44"/>
      <c r="I135" s="44"/>
      <c r="J135" s="35" t="str">
        <f t="shared" si="22"/>
        <v/>
      </c>
      <c r="K135" s="34" t="str">
        <f t="shared" si="23"/>
        <v/>
      </c>
      <c r="L135" s="42"/>
      <c r="M135" s="43"/>
      <c r="N135" s="43"/>
      <c r="O135" s="42"/>
      <c r="P135" s="44"/>
      <c r="Q135" s="34" t="str">
        <f t="shared" si="24"/>
        <v/>
      </c>
      <c r="R135" s="34" t="str">
        <f t="shared" si="25"/>
        <v/>
      </c>
      <c r="S135" s="36" t="str">
        <f t="shared" si="26"/>
        <v/>
      </c>
      <c r="T135" s="42"/>
      <c r="U135" s="51" t="str">
        <f t="shared" si="27"/>
        <v/>
      </c>
      <c r="V135" s="51" t="str">
        <f>IF($A135="","",COUNTIF($A$2:$A135,$A135))</f>
        <v/>
      </c>
    </row>
    <row r="136" spans="1:22" x14ac:dyDescent="0.3">
      <c r="A136" s="42"/>
      <c r="B136" s="42"/>
      <c r="C136" s="36" t="str">
        <f>IF($A136="","",IFERROR(INDEX(SERVIZI!$B:$B,MATCH($B136,SERVIZI!$A:$A,0)),""))</f>
        <v/>
      </c>
      <c r="D136" s="42"/>
      <c r="E136" s="42"/>
      <c r="F136" s="42"/>
      <c r="G136" s="42"/>
      <c r="H136" s="44"/>
      <c r="I136" s="44"/>
      <c r="J136" s="35" t="str">
        <f t="shared" si="22"/>
        <v/>
      </c>
      <c r="K136" s="34" t="str">
        <f t="shared" si="23"/>
        <v/>
      </c>
      <c r="L136" s="42"/>
      <c r="M136" s="43"/>
      <c r="N136" s="43"/>
      <c r="O136" s="42"/>
      <c r="P136" s="44"/>
      <c r="Q136" s="34" t="str">
        <f t="shared" si="24"/>
        <v/>
      </c>
      <c r="R136" s="34" t="str">
        <f t="shared" si="25"/>
        <v/>
      </c>
      <c r="S136" s="36" t="str">
        <f t="shared" si="26"/>
        <v/>
      </c>
      <c r="T136" s="42"/>
      <c r="U136" s="51" t="str">
        <f t="shared" si="27"/>
        <v/>
      </c>
      <c r="V136" s="51" t="str">
        <f>IF($A136="","",COUNTIF($A$2:$A136,$A136))</f>
        <v/>
      </c>
    </row>
    <row r="137" spans="1:22" x14ac:dyDescent="0.3">
      <c r="A137" s="42"/>
      <c r="B137" s="42"/>
      <c r="C137" s="36" t="str">
        <f>IF($A137="","",IFERROR(INDEX(SERVIZI!$B:$B,MATCH($B137,SERVIZI!$A:$A,0)),""))</f>
        <v/>
      </c>
      <c r="D137" s="42"/>
      <c r="E137" s="42"/>
      <c r="F137" s="42"/>
      <c r="G137" s="42"/>
      <c r="H137" s="44"/>
      <c r="I137" s="44"/>
      <c r="J137" s="35" t="str">
        <f t="shared" si="22"/>
        <v/>
      </c>
      <c r="K137" s="34" t="str">
        <f t="shared" si="23"/>
        <v/>
      </c>
      <c r="L137" s="42"/>
      <c r="M137" s="43"/>
      <c r="N137" s="43"/>
      <c r="O137" s="42"/>
      <c r="P137" s="44"/>
      <c r="Q137" s="34" t="str">
        <f t="shared" si="24"/>
        <v/>
      </c>
      <c r="R137" s="34" t="str">
        <f t="shared" si="25"/>
        <v/>
      </c>
      <c r="S137" s="36" t="str">
        <f t="shared" si="26"/>
        <v/>
      </c>
      <c r="T137" s="42"/>
      <c r="U137" s="51" t="str">
        <f t="shared" si="27"/>
        <v/>
      </c>
      <c r="V137" s="51" t="str">
        <f>IF($A137="","",COUNTIF($A$2:$A137,$A137))</f>
        <v/>
      </c>
    </row>
    <row r="138" spans="1:22" x14ac:dyDescent="0.3">
      <c r="A138" s="42"/>
      <c r="B138" s="42"/>
      <c r="C138" s="36" t="str">
        <f>IF($A138="","",IFERROR(INDEX(SERVIZI!$B:$B,MATCH($B138,SERVIZI!$A:$A,0)),""))</f>
        <v/>
      </c>
      <c r="D138" s="42"/>
      <c r="E138" s="42"/>
      <c r="F138" s="42"/>
      <c r="G138" s="42"/>
      <c r="H138" s="44"/>
      <c r="I138" s="44"/>
      <c r="J138" s="35" t="str">
        <f t="shared" si="22"/>
        <v/>
      </c>
      <c r="K138" s="34" t="str">
        <f t="shared" si="23"/>
        <v/>
      </c>
      <c r="L138" s="42"/>
      <c r="M138" s="43"/>
      <c r="N138" s="43"/>
      <c r="O138" s="42"/>
      <c r="P138" s="44"/>
      <c r="Q138" s="34" t="str">
        <f t="shared" si="24"/>
        <v/>
      </c>
      <c r="R138" s="34" t="str">
        <f t="shared" si="25"/>
        <v/>
      </c>
      <c r="S138" s="36" t="str">
        <f t="shared" si="26"/>
        <v/>
      </c>
      <c r="T138" s="42"/>
      <c r="U138" s="51" t="str">
        <f t="shared" si="27"/>
        <v/>
      </c>
      <c r="V138" s="51" t="str">
        <f>IF($A138="","",COUNTIF($A$2:$A138,$A138))</f>
        <v/>
      </c>
    </row>
    <row r="139" spans="1:22" x14ac:dyDescent="0.3">
      <c r="A139" s="42"/>
      <c r="B139" s="42"/>
      <c r="C139" s="36" t="str">
        <f>IF($A139="","",IFERROR(INDEX(SERVIZI!$B:$B,MATCH($B139,SERVIZI!$A:$A,0)),""))</f>
        <v/>
      </c>
      <c r="D139" s="42"/>
      <c r="E139" s="42"/>
      <c r="F139" s="42"/>
      <c r="G139" s="42"/>
      <c r="H139" s="44"/>
      <c r="I139" s="44"/>
      <c r="J139" s="35" t="str">
        <f t="shared" si="22"/>
        <v/>
      </c>
      <c r="K139" s="34" t="str">
        <f t="shared" si="23"/>
        <v/>
      </c>
      <c r="L139" s="42"/>
      <c r="M139" s="43"/>
      <c r="N139" s="43"/>
      <c r="O139" s="42"/>
      <c r="P139" s="44"/>
      <c r="Q139" s="34" t="str">
        <f t="shared" si="24"/>
        <v/>
      </c>
      <c r="R139" s="34" t="str">
        <f t="shared" si="25"/>
        <v/>
      </c>
      <c r="S139" s="36" t="str">
        <f t="shared" si="26"/>
        <v/>
      </c>
      <c r="T139" s="42"/>
      <c r="U139" s="51" t="str">
        <f t="shared" si="27"/>
        <v/>
      </c>
      <c r="V139" s="51" t="str">
        <f>IF($A139="","",COUNTIF($A$2:$A139,$A139))</f>
        <v/>
      </c>
    </row>
    <row r="140" spans="1:22" x14ac:dyDescent="0.3">
      <c r="A140" s="42"/>
      <c r="B140" s="42"/>
      <c r="C140" s="36" t="str">
        <f>IF($A140="","",IFERROR(INDEX(SERVIZI!$B:$B,MATCH($B140,SERVIZI!$A:$A,0)),""))</f>
        <v/>
      </c>
      <c r="D140" s="42"/>
      <c r="E140" s="42"/>
      <c r="F140" s="42"/>
      <c r="G140" s="42"/>
      <c r="H140" s="44"/>
      <c r="I140" s="44"/>
      <c r="J140" s="35" t="str">
        <f t="shared" si="22"/>
        <v/>
      </c>
      <c r="K140" s="34" t="str">
        <f t="shared" si="23"/>
        <v/>
      </c>
      <c r="L140" s="42"/>
      <c r="M140" s="43"/>
      <c r="N140" s="43"/>
      <c r="O140" s="42"/>
      <c r="P140" s="44"/>
      <c r="Q140" s="34" t="str">
        <f t="shared" si="24"/>
        <v/>
      </c>
      <c r="R140" s="34" t="str">
        <f t="shared" si="25"/>
        <v/>
      </c>
      <c r="S140" s="36" t="str">
        <f t="shared" si="26"/>
        <v/>
      </c>
      <c r="T140" s="42"/>
      <c r="U140" s="51" t="str">
        <f t="shared" si="27"/>
        <v/>
      </c>
      <c r="V140" s="51" t="str">
        <f>IF($A140="","",COUNTIF($A$2:$A140,$A140))</f>
        <v/>
      </c>
    </row>
    <row r="141" spans="1:22" x14ac:dyDescent="0.3">
      <c r="A141" s="42"/>
      <c r="B141" s="42"/>
      <c r="C141" s="36" t="str">
        <f>IF($A141="","",IFERROR(INDEX(SERVIZI!$B:$B,MATCH($B141,SERVIZI!$A:$A,0)),""))</f>
        <v/>
      </c>
      <c r="D141" s="42"/>
      <c r="E141" s="42"/>
      <c r="F141" s="42"/>
      <c r="G141" s="42"/>
      <c r="H141" s="44"/>
      <c r="I141" s="44"/>
      <c r="J141" s="35" t="str">
        <f t="shared" si="22"/>
        <v/>
      </c>
      <c r="K141" s="34" t="str">
        <f t="shared" si="23"/>
        <v/>
      </c>
      <c r="L141" s="42"/>
      <c r="M141" s="43"/>
      <c r="N141" s="43"/>
      <c r="O141" s="42"/>
      <c r="P141" s="44"/>
      <c r="Q141" s="34" t="str">
        <f t="shared" si="24"/>
        <v/>
      </c>
      <c r="R141" s="34" t="str">
        <f t="shared" si="25"/>
        <v/>
      </c>
      <c r="S141" s="36" t="str">
        <f t="shared" si="26"/>
        <v/>
      </c>
      <c r="T141" s="42"/>
      <c r="U141" s="51" t="str">
        <f t="shared" si="27"/>
        <v/>
      </c>
      <c r="V141" s="51" t="str">
        <f>IF($A141="","",COUNTIF($A$2:$A141,$A141))</f>
        <v/>
      </c>
    </row>
    <row r="142" spans="1:22" x14ac:dyDescent="0.3">
      <c r="A142" s="42"/>
      <c r="B142" s="42"/>
      <c r="C142" s="36" t="str">
        <f>IF($A142="","",IFERROR(INDEX(SERVIZI!$B:$B,MATCH($B142,SERVIZI!$A:$A,0)),""))</f>
        <v/>
      </c>
      <c r="D142" s="42"/>
      <c r="E142" s="42"/>
      <c r="F142" s="42"/>
      <c r="G142" s="42"/>
      <c r="H142" s="44"/>
      <c r="I142" s="44"/>
      <c r="J142" s="35" t="str">
        <f t="shared" si="22"/>
        <v/>
      </c>
      <c r="K142" s="34" t="str">
        <f t="shared" si="23"/>
        <v/>
      </c>
      <c r="L142" s="42"/>
      <c r="M142" s="43"/>
      <c r="N142" s="43"/>
      <c r="O142" s="42"/>
      <c r="P142" s="44"/>
      <c r="Q142" s="34" t="str">
        <f t="shared" si="24"/>
        <v/>
      </c>
      <c r="R142" s="34" t="str">
        <f t="shared" si="25"/>
        <v/>
      </c>
      <c r="S142" s="36" t="str">
        <f t="shared" si="26"/>
        <v/>
      </c>
      <c r="T142" s="42"/>
      <c r="U142" s="51" t="str">
        <f t="shared" si="27"/>
        <v/>
      </c>
      <c r="V142" s="51" t="str">
        <f>IF($A142="","",COUNTIF($A$2:$A142,$A142))</f>
        <v/>
      </c>
    </row>
    <row r="143" spans="1:22" x14ac:dyDescent="0.3">
      <c r="A143" s="42"/>
      <c r="B143" s="42"/>
      <c r="C143" s="36" t="str">
        <f>IF($A143="","",IFERROR(INDEX(SERVIZI!$B:$B,MATCH($B143,SERVIZI!$A:$A,0)),""))</f>
        <v/>
      </c>
      <c r="D143" s="42"/>
      <c r="E143" s="42"/>
      <c r="F143" s="42"/>
      <c r="G143" s="42"/>
      <c r="H143" s="44"/>
      <c r="I143" s="44"/>
      <c r="J143" s="35" t="str">
        <f t="shared" si="22"/>
        <v/>
      </c>
      <c r="K143" s="34" t="str">
        <f t="shared" si="23"/>
        <v/>
      </c>
      <c r="L143" s="42"/>
      <c r="M143" s="43"/>
      <c r="N143" s="43"/>
      <c r="O143" s="42"/>
      <c r="P143" s="44"/>
      <c r="Q143" s="34" t="str">
        <f t="shared" si="24"/>
        <v/>
      </c>
      <c r="R143" s="34" t="str">
        <f t="shared" si="25"/>
        <v/>
      </c>
      <c r="S143" s="36" t="str">
        <f t="shared" si="26"/>
        <v/>
      </c>
      <c r="T143" s="42"/>
      <c r="U143" s="51" t="str">
        <f t="shared" si="27"/>
        <v/>
      </c>
      <c r="V143" s="51" t="str">
        <f>IF($A143="","",COUNTIF($A$2:$A143,$A143))</f>
        <v/>
      </c>
    </row>
    <row r="144" spans="1:22" x14ac:dyDescent="0.3">
      <c r="A144" s="42"/>
      <c r="B144" s="42"/>
      <c r="C144" s="36" t="str">
        <f>IF($A144="","",IFERROR(INDEX(SERVIZI!$B:$B,MATCH($B144,SERVIZI!$A:$A,0)),""))</f>
        <v/>
      </c>
      <c r="D144" s="42"/>
      <c r="E144" s="42"/>
      <c r="F144" s="42"/>
      <c r="G144" s="42"/>
      <c r="H144" s="44"/>
      <c r="I144" s="44"/>
      <c r="J144" s="35" t="str">
        <f t="shared" si="22"/>
        <v/>
      </c>
      <c r="K144" s="34" t="str">
        <f t="shared" si="23"/>
        <v/>
      </c>
      <c r="L144" s="42"/>
      <c r="M144" s="43"/>
      <c r="N144" s="43"/>
      <c r="O144" s="42"/>
      <c r="P144" s="44"/>
      <c r="Q144" s="34" t="str">
        <f t="shared" si="24"/>
        <v/>
      </c>
      <c r="R144" s="34" t="str">
        <f t="shared" si="25"/>
        <v/>
      </c>
      <c r="S144" s="36" t="str">
        <f t="shared" si="26"/>
        <v/>
      </c>
      <c r="T144" s="42"/>
      <c r="U144" s="51" t="str">
        <f t="shared" si="27"/>
        <v/>
      </c>
      <c r="V144" s="51" t="str">
        <f>IF($A144="","",COUNTIF($A$2:$A144,$A144))</f>
        <v/>
      </c>
    </row>
    <row r="145" spans="1:22" x14ac:dyDescent="0.3">
      <c r="A145" s="42"/>
      <c r="B145" s="42"/>
      <c r="C145" s="36" t="str">
        <f>IF($A145="","",IFERROR(INDEX(SERVIZI!$B:$B,MATCH($B145,SERVIZI!$A:$A,0)),""))</f>
        <v/>
      </c>
      <c r="D145" s="42"/>
      <c r="E145" s="42"/>
      <c r="F145" s="42"/>
      <c r="G145" s="42"/>
      <c r="H145" s="44"/>
      <c r="I145" s="44"/>
      <c r="J145" s="35" t="str">
        <f t="shared" si="22"/>
        <v/>
      </c>
      <c r="K145" s="34" t="str">
        <f t="shared" si="23"/>
        <v/>
      </c>
      <c r="L145" s="42"/>
      <c r="M145" s="43"/>
      <c r="N145" s="43"/>
      <c r="O145" s="42"/>
      <c r="P145" s="44"/>
      <c r="Q145" s="34" t="str">
        <f t="shared" si="24"/>
        <v/>
      </c>
      <c r="R145" s="34" t="str">
        <f t="shared" si="25"/>
        <v/>
      </c>
      <c r="S145" s="36" t="str">
        <f t="shared" si="26"/>
        <v/>
      </c>
      <c r="T145" s="42"/>
      <c r="U145" s="51" t="str">
        <f t="shared" si="27"/>
        <v/>
      </c>
      <c r="V145" s="51" t="str">
        <f>IF($A145="","",COUNTIF($A$2:$A145,$A145))</f>
        <v/>
      </c>
    </row>
    <row r="146" spans="1:22" x14ac:dyDescent="0.3">
      <c r="A146" s="42"/>
      <c r="B146" s="42"/>
      <c r="C146" s="36" t="str">
        <f>IF($A146="","",IFERROR(INDEX(SERVIZI!$B:$B,MATCH($B146,SERVIZI!$A:$A,0)),""))</f>
        <v/>
      </c>
      <c r="D146" s="42"/>
      <c r="E146" s="42"/>
      <c r="F146" s="42"/>
      <c r="G146" s="42"/>
      <c r="H146" s="44"/>
      <c r="I146" s="44"/>
      <c r="J146" s="35" t="str">
        <f t="shared" si="22"/>
        <v/>
      </c>
      <c r="K146" s="34" t="str">
        <f t="shared" si="23"/>
        <v/>
      </c>
      <c r="L146" s="42"/>
      <c r="M146" s="43"/>
      <c r="N146" s="43"/>
      <c r="O146" s="42"/>
      <c r="P146" s="44"/>
      <c r="Q146" s="34" t="str">
        <f t="shared" si="24"/>
        <v/>
      </c>
      <c r="R146" s="34" t="str">
        <f t="shared" si="25"/>
        <v/>
      </c>
      <c r="S146" s="36" t="str">
        <f t="shared" si="26"/>
        <v/>
      </c>
      <c r="T146" s="42"/>
      <c r="U146" s="51" t="str">
        <f t="shared" si="27"/>
        <v/>
      </c>
      <c r="V146" s="51" t="str">
        <f>IF($A146="","",COUNTIF($A$2:$A146,$A146))</f>
        <v/>
      </c>
    </row>
    <row r="147" spans="1:22" x14ac:dyDescent="0.3">
      <c r="A147" s="42"/>
      <c r="B147" s="42"/>
      <c r="C147" s="36" t="str">
        <f>IF($A147="","",IFERROR(INDEX(SERVIZI!$B:$B,MATCH($B147,SERVIZI!$A:$A,0)),""))</f>
        <v/>
      </c>
      <c r="D147" s="42"/>
      <c r="E147" s="42"/>
      <c r="F147" s="42"/>
      <c r="G147" s="42"/>
      <c r="H147" s="44"/>
      <c r="I147" s="44"/>
      <c r="J147" s="35" t="str">
        <f t="shared" si="22"/>
        <v/>
      </c>
      <c r="K147" s="34" t="str">
        <f t="shared" si="23"/>
        <v/>
      </c>
      <c r="L147" s="42"/>
      <c r="M147" s="43"/>
      <c r="N147" s="43"/>
      <c r="O147" s="42"/>
      <c r="P147" s="44"/>
      <c r="Q147" s="34" t="str">
        <f t="shared" si="24"/>
        <v/>
      </c>
      <c r="R147" s="34" t="str">
        <f t="shared" si="25"/>
        <v/>
      </c>
      <c r="S147" s="36" t="str">
        <f t="shared" si="26"/>
        <v/>
      </c>
      <c r="T147" s="42"/>
      <c r="U147" s="51" t="str">
        <f t="shared" si="27"/>
        <v/>
      </c>
      <c r="V147" s="51" t="str">
        <f>IF($A147="","",COUNTIF($A$2:$A147,$A147))</f>
        <v/>
      </c>
    </row>
    <row r="148" spans="1:22" x14ac:dyDescent="0.3">
      <c r="A148" s="42"/>
      <c r="B148" s="42"/>
      <c r="C148" s="36" t="str">
        <f>IF($A148="","",IFERROR(INDEX(SERVIZI!$B:$B,MATCH($B148,SERVIZI!$A:$A,0)),""))</f>
        <v/>
      </c>
      <c r="D148" s="42"/>
      <c r="E148" s="42"/>
      <c r="F148" s="42"/>
      <c r="G148" s="42"/>
      <c r="H148" s="44"/>
      <c r="I148" s="44"/>
      <c r="J148" s="35" t="str">
        <f t="shared" si="22"/>
        <v/>
      </c>
      <c r="K148" s="34" t="str">
        <f t="shared" si="23"/>
        <v/>
      </c>
      <c r="L148" s="42"/>
      <c r="M148" s="43"/>
      <c r="N148" s="43"/>
      <c r="O148" s="42"/>
      <c r="P148" s="44"/>
      <c r="Q148" s="34" t="str">
        <f t="shared" si="24"/>
        <v/>
      </c>
      <c r="R148" s="34" t="str">
        <f t="shared" si="25"/>
        <v/>
      </c>
      <c r="S148" s="36" t="str">
        <f t="shared" si="26"/>
        <v/>
      </c>
      <c r="T148" s="42"/>
      <c r="U148" s="51" t="str">
        <f t="shared" si="27"/>
        <v/>
      </c>
      <c r="V148" s="51" t="str">
        <f>IF($A148="","",COUNTIF($A$2:$A148,$A148))</f>
        <v/>
      </c>
    </row>
    <row r="149" spans="1:22" x14ac:dyDescent="0.3">
      <c r="A149" s="42"/>
      <c r="B149" s="42"/>
      <c r="C149" s="36" t="str">
        <f>IF($A149="","",IFERROR(INDEX(SERVIZI!$B:$B,MATCH($B149,SERVIZI!$A:$A,0)),""))</f>
        <v/>
      </c>
      <c r="D149" s="42"/>
      <c r="E149" s="42"/>
      <c r="F149" s="42"/>
      <c r="G149" s="42"/>
      <c r="H149" s="44"/>
      <c r="I149" s="44"/>
      <c r="J149" s="35" t="str">
        <f t="shared" si="22"/>
        <v/>
      </c>
      <c r="K149" s="34" t="str">
        <f t="shared" si="23"/>
        <v/>
      </c>
      <c r="L149" s="42"/>
      <c r="M149" s="43"/>
      <c r="N149" s="43"/>
      <c r="O149" s="42"/>
      <c r="P149" s="44"/>
      <c r="Q149" s="34" t="str">
        <f t="shared" si="24"/>
        <v/>
      </c>
      <c r="R149" s="34" t="str">
        <f t="shared" si="25"/>
        <v/>
      </c>
      <c r="S149" s="36" t="str">
        <f t="shared" si="26"/>
        <v/>
      </c>
      <c r="T149" s="42"/>
      <c r="U149" s="51" t="str">
        <f t="shared" si="27"/>
        <v/>
      </c>
      <c r="V149" s="51" t="str">
        <f>IF($A149="","",COUNTIF($A$2:$A149,$A149))</f>
        <v/>
      </c>
    </row>
    <row r="150" spans="1:22" x14ac:dyDescent="0.3">
      <c r="A150" s="42"/>
      <c r="B150" s="42"/>
      <c r="C150" s="36" t="str">
        <f>IF($A150="","",IFERROR(INDEX(SERVIZI!$B:$B,MATCH($B150,SERVIZI!$A:$A,0)),""))</f>
        <v/>
      </c>
      <c r="D150" s="42"/>
      <c r="E150" s="42"/>
      <c r="F150" s="42"/>
      <c r="G150" s="42"/>
      <c r="H150" s="44"/>
      <c r="I150" s="44"/>
      <c r="J150" s="35" t="str">
        <f t="shared" si="22"/>
        <v/>
      </c>
      <c r="K150" s="34" t="str">
        <f t="shared" si="23"/>
        <v/>
      </c>
      <c r="L150" s="42"/>
      <c r="M150" s="43"/>
      <c r="N150" s="43"/>
      <c r="O150" s="42"/>
      <c r="P150" s="44"/>
      <c r="Q150" s="34" t="str">
        <f t="shared" si="24"/>
        <v/>
      </c>
      <c r="R150" s="34" t="str">
        <f t="shared" si="25"/>
        <v/>
      </c>
      <c r="S150" s="36" t="str">
        <f t="shared" si="26"/>
        <v/>
      </c>
      <c r="T150" s="42"/>
      <c r="U150" s="51" t="str">
        <f t="shared" si="27"/>
        <v/>
      </c>
      <c r="V150" s="51" t="str">
        <f>IF($A150="","",COUNTIF($A$2:$A150,$A150))</f>
        <v/>
      </c>
    </row>
    <row r="151" spans="1:22" x14ac:dyDescent="0.3">
      <c r="A151" s="42"/>
      <c r="B151" s="42"/>
      <c r="C151" s="36" t="str">
        <f>IF($A151="","",IFERROR(INDEX(SERVIZI!$B:$B,MATCH($B151,SERVIZI!$A:$A,0)),""))</f>
        <v/>
      </c>
      <c r="D151" s="42"/>
      <c r="E151" s="42"/>
      <c r="F151" s="42"/>
      <c r="G151" s="42"/>
      <c r="H151" s="44"/>
      <c r="I151" s="44"/>
      <c r="J151" s="35" t="str">
        <f t="shared" si="22"/>
        <v/>
      </c>
      <c r="K151" s="34" t="str">
        <f t="shared" si="23"/>
        <v/>
      </c>
      <c r="L151" s="42"/>
      <c r="M151" s="43"/>
      <c r="N151" s="43"/>
      <c r="O151" s="42"/>
      <c r="P151" s="44"/>
      <c r="Q151" s="34" t="str">
        <f t="shared" si="24"/>
        <v/>
      </c>
      <c r="R151" s="34" t="str">
        <f t="shared" si="25"/>
        <v/>
      </c>
      <c r="S151" s="36" t="str">
        <f t="shared" si="26"/>
        <v/>
      </c>
      <c r="T151" s="42"/>
      <c r="U151" s="51" t="str">
        <f t="shared" si="27"/>
        <v/>
      </c>
      <c r="V151" s="51" t="str">
        <f>IF($A151="","",COUNTIF($A$2:$A151,$A151))</f>
        <v/>
      </c>
    </row>
    <row r="152" spans="1:22" x14ac:dyDescent="0.3">
      <c r="A152" s="42"/>
      <c r="B152" s="42"/>
      <c r="C152" s="36" t="str">
        <f>IF($A152="","",IFERROR(INDEX(SERVIZI!$B:$B,MATCH($B152,SERVIZI!$A:$A,0)),""))</f>
        <v/>
      </c>
      <c r="D152" s="42"/>
      <c r="E152" s="42"/>
      <c r="F152" s="42"/>
      <c r="G152" s="42"/>
      <c r="H152" s="44"/>
      <c r="I152" s="44"/>
      <c r="J152" s="35" t="str">
        <f t="shared" si="22"/>
        <v/>
      </c>
      <c r="K152" s="34" t="str">
        <f t="shared" si="23"/>
        <v/>
      </c>
      <c r="L152" s="42"/>
      <c r="M152" s="43"/>
      <c r="N152" s="43"/>
      <c r="O152" s="42"/>
      <c r="P152" s="44"/>
      <c r="Q152" s="34" t="str">
        <f t="shared" si="24"/>
        <v/>
      </c>
      <c r="R152" s="34" t="str">
        <f t="shared" si="25"/>
        <v/>
      </c>
      <c r="S152" s="36" t="str">
        <f t="shared" si="26"/>
        <v/>
      </c>
      <c r="T152" s="42"/>
      <c r="U152" s="51" t="str">
        <f t="shared" si="27"/>
        <v/>
      </c>
      <c r="V152" s="51" t="str">
        <f>IF($A152="","",COUNTIF($A$2:$A152,$A152))</f>
        <v/>
      </c>
    </row>
    <row r="153" spans="1:22" x14ac:dyDescent="0.3">
      <c r="A153" s="42"/>
      <c r="B153" s="42"/>
      <c r="C153" s="36" t="str">
        <f>IF($A153="","",IFERROR(INDEX(SERVIZI!$B:$B,MATCH($B153,SERVIZI!$A:$A,0)),""))</f>
        <v/>
      </c>
      <c r="D153" s="42"/>
      <c r="E153" s="42"/>
      <c r="F153" s="42"/>
      <c r="G153" s="42"/>
      <c r="H153" s="44"/>
      <c r="I153" s="44"/>
      <c r="J153" s="35" t="str">
        <f t="shared" si="22"/>
        <v/>
      </c>
      <c r="K153" s="34" t="str">
        <f t="shared" si="23"/>
        <v/>
      </c>
      <c r="L153" s="42"/>
      <c r="M153" s="43"/>
      <c r="N153" s="43"/>
      <c r="O153" s="42"/>
      <c r="P153" s="44"/>
      <c r="Q153" s="34" t="str">
        <f t="shared" si="24"/>
        <v/>
      </c>
      <c r="R153" s="34" t="str">
        <f t="shared" si="25"/>
        <v/>
      </c>
      <c r="S153" s="36" t="str">
        <f t="shared" si="26"/>
        <v/>
      </c>
      <c r="T153" s="42"/>
      <c r="U153" s="51" t="str">
        <f t="shared" si="27"/>
        <v/>
      </c>
      <c r="V153" s="51" t="str">
        <f>IF($A153="","",COUNTIF($A$2:$A153,$A153))</f>
        <v/>
      </c>
    </row>
    <row r="154" spans="1:22" x14ac:dyDescent="0.3">
      <c r="A154" s="42"/>
      <c r="B154" s="42"/>
      <c r="C154" s="36" t="str">
        <f>IF($A154="","",IFERROR(INDEX(SERVIZI!$B:$B,MATCH($B154,SERVIZI!$A:$A,0)),""))</f>
        <v/>
      </c>
      <c r="D154" s="42"/>
      <c r="E154" s="42"/>
      <c r="F154" s="42"/>
      <c r="G154" s="42"/>
      <c r="H154" s="44"/>
      <c r="I154" s="44"/>
      <c r="J154" s="35" t="str">
        <f t="shared" si="22"/>
        <v/>
      </c>
      <c r="K154" s="34" t="str">
        <f t="shared" si="23"/>
        <v/>
      </c>
      <c r="L154" s="42"/>
      <c r="M154" s="43"/>
      <c r="N154" s="43"/>
      <c r="O154" s="42"/>
      <c r="P154" s="44"/>
      <c r="Q154" s="34" t="str">
        <f t="shared" si="24"/>
        <v/>
      </c>
      <c r="R154" s="34" t="str">
        <f t="shared" si="25"/>
        <v/>
      </c>
      <c r="S154" s="36" t="str">
        <f t="shared" si="26"/>
        <v/>
      </c>
      <c r="T154" s="42"/>
      <c r="U154" s="51" t="str">
        <f t="shared" si="27"/>
        <v/>
      </c>
      <c r="V154" s="51" t="str">
        <f>IF($A154="","",COUNTIF($A$2:$A154,$A154))</f>
        <v/>
      </c>
    </row>
    <row r="155" spans="1:22" x14ac:dyDescent="0.3">
      <c r="A155" s="42"/>
      <c r="B155" s="42"/>
      <c r="C155" s="36" t="str">
        <f>IF($A155="","",IFERROR(INDEX(SERVIZI!$B:$B,MATCH($B155,SERVIZI!$A:$A,0)),""))</f>
        <v/>
      </c>
      <c r="D155" s="42"/>
      <c r="E155" s="42"/>
      <c r="F155" s="42"/>
      <c r="G155" s="42"/>
      <c r="H155" s="44"/>
      <c r="I155" s="44"/>
      <c r="J155" s="35" t="str">
        <f t="shared" si="22"/>
        <v/>
      </c>
      <c r="K155" s="34" t="str">
        <f t="shared" si="23"/>
        <v/>
      </c>
      <c r="L155" s="42"/>
      <c r="M155" s="43"/>
      <c r="N155" s="43"/>
      <c r="O155" s="42"/>
      <c r="P155" s="44"/>
      <c r="Q155" s="34" t="str">
        <f t="shared" si="24"/>
        <v/>
      </c>
      <c r="R155" s="34" t="str">
        <f t="shared" si="25"/>
        <v/>
      </c>
      <c r="S155" s="36" t="str">
        <f t="shared" si="26"/>
        <v/>
      </c>
      <c r="T155" s="42"/>
      <c r="U155" s="51" t="str">
        <f t="shared" si="27"/>
        <v/>
      </c>
      <c r="V155" s="51" t="str">
        <f>IF($A155="","",COUNTIF($A$2:$A155,$A155))</f>
        <v/>
      </c>
    </row>
    <row r="156" spans="1:22" x14ac:dyDescent="0.3">
      <c r="A156" s="42"/>
      <c r="B156" s="42"/>
      <c r="C156" s="36" t="str">
        <f>IF($A156="","",IFERROR(INDEX(SERVIZI!$B:$B,MATCH($B156,SERVIZI!$A:$A,0)),""))</f>
        <v/>
      </c>
      <c r="D156" s="42"/>
      <c r="E156" s="42"/>
      <c r="F156" s="42"/>
      <c r="G156" s="42"/>
      <c r="H156" s="44"/>
      <c r="I156" s="44"/>
      <c r="J156" s="35" t="str">
        <f t="shared" si="22"/>
        <v/>
      </c>
      <c r="K156" s="34" t="str">
        <f t="shared" si="23"/>
        <v/>
      </c>
      <c r="L156" s="42"/>
      <c r="M156" s="43"/>
      <c r="N156" s="43"/>
      <c r="O156" s="42"/>
      <c r="P156" s="44"/>
      <c r="Q156" s="34" t="str">
        <f t="shared" si="24"/>
        <v/>
      </c>
      <c r="R156" s="34" t="str">
        <f t="shared" si="25"/>
        <v/>
      </c>
      <c r="S156" s="36" t="str">
        <f t="shared" si="26"/>
        <v/>
      </c>
      <c r="T156" s="42"/>
      <c r="U156" s="51" t="str">
        <f t="shared" si="27"/>
        <v/>
      </c>
      <c r="V156" s="51" t="str">
        <f>IF($A156="","",COUNTIF($A$2:$A156,$A156))</f>
        <v/>
      </c>
    </row>
    <row r="157" spans="1:22" x14ac:dyDescent="0.3">
      <c r="A157" s="42"/>
      <c r="B157" s="42"/>
      <c r="C157" s="36" t="str">
        <f>IF($A157="","",IFERROR(INDEX(SERVIZI!$B:$B,MATCH($B157,SERVIZI!$A:$A,0)),""))</f>
        <v/>
      </c>
      <c r="D157" s="42"/>
      <c r="E157" s="42"/>
      <c r="F157" s="42"/>
      <c r="G157" s="42"/>
      <c r="H157" s="44"/>
      <c r="I157" s="44"/>
      <c r="J157" s="35" t="str">
        <f t="shared" si="22"/>
        <v/>
      </c>
      <c r="K157" s="34" t="str">
        <f t="shared" si="23"/>
        <v/>
      </c>
      <c r="L157" s="42"/>
      <c r="M157" s="43"/>
      <c r="N157" s="43"/>
      <c r="O157" s="42"/>
      <c r="P157" s="44"/>
      <c r="Q157" s="34" t="str">
        <f t="shared" si="24"/>
        <v/>
      </c>
      <c r="R157" s="34" t="str">
        <f t="shared" si="25"/>
        <v/>
      </c>
      <c r="S157" s="36" t="str">
        <f t="shared" si="26"/>
        <v/>
      </c>
      <c r="T157" s="42"/>
      <c r="U157" s="51" t="str">
        <f t="shared" si="27"/>
        <v/>
      </c>
      <c r="V157" s="51" t="str">
        <f>IF($A157="","",COUNTIF($A$2:$A157,$A157))</f>
        <v/>
      </c>
    </row>
    <row r="158" spans="1:22" x14ac:dyDescent="0.3">
      <c r="A158" s="42"/>
      <c r="B158" s="42"/>
      <c r="C158" s="36" t="str">
        <f>IF($A158="","",IFERROR(INDEX(SERVIZI!$B:$B,MATCH($B158,SERVIZI!$A:$A,0)),""))</f>
        <v/>
      </c>
      <c r="D158" s="42"/>
      <c r="E158" s="42"/>
      <c r="F158" s="42"/>
      <c r="G158" s="42"/>
      <c r="H158" s="44"/>
      <c r="I158" s="44"/>
      <c r="J158" s="35" t="str">
        <f t="shared" si="22"/>
        <v/>
      </c>
      <c r="K158" s="34" t="str">
        <f t="shared" si="23"/>
        <v/>
      </c>
      <c r="L158" s="42"/>
      <c r="M158" s="43"/>
      <c r="N158" s="43"/>
      <c r="O158" s="42"/>
      <c r="P158" s="44"/>
      <c r="Q158" s="34" t="str">
        <f t="shared" si="24"/>
        <v/>
      </c>
      <c r="R158" s="34" t="str">
        <f t="shared" si="25"/>
        <v/>
      </c>
      <c r="S158" s="36" t="str">
        <f t="shared" si="26"/>
        <v/>
      </c>
      <c r="T158" s="42"/>
      <c r="U158" s="51" t="str">
        <f t="shared" si="27"/>
        <v/>
      </c>
      <c r="V158" s="51" t="str">
        <f>IF($A158="","",COUNTIF($A$2:$A158,$A158))</f>
        <v/>
      </c>
    </row>
    <row r="159" spans="1:22" x14ac:dyDescent="0.3">
      <c r="A159" s="42"/>
      <c r="B159" s="42"/>
      <c r="C159" s="36" t="str">
        <f>IF($A159="","",IFERROR(INDEX(SERVIZI!$B:$B,MATCH($B159,SERVIZI!$A:$A,0)),""))</f>
        <v/>
      </c>
      <c r="D159" s="42"/>
      <c r="E159" s="42"/>
      <c r="F159" s="42"/>
      <c r="G159" s="42"/>
      <c r="H159" s="44"/>
      <c r="I159" s="44"/>
      <c r="J159" s="35" t="str">
        <f t="shared" si="22"/>
        <v/>
      </c>
      <c r="K159" s="34" t="str">
        <f t="shared" si="23"/>
        <v/>
      </c>
      <c r="L159" s="42"/>
      <c r="M159" s="43"/>
      <c r="N159" s="43"/>
      <c r="O159" s="42"/>
      <c r="P159" s="44"/>
      <c r="Q159" s="34" t="str">
        <f t="shared" si="24"/>
        <v/>
      </c>
      <c r="R159" s="34" t="str">
        <f t="shared" si="25"/>
        <v/>
      </c>
      <c r="S159" s="36" t="str">
        <f t="shared" si="26"/>
        <v/>
      </c>
      <c r="T159" s="42"/>
      <c r="U159" s="51" t="str">
        <f t="shared" si="27"/>
        <v/>
      </c>
      <c r="V159" s="51" t="str">
        <f>IF($A159="","",COUNTIF($A$2:$A159,$A159))</f>
        <v/>
      </c>
    </row>
    <row r="160" spans="1:22" x14ac:dyDescent="0.3">
      <c r="A160" s="42"/>
      <c r="B160" s="42"/>
      <c r="C160" s="36" t="str">
        <f>IF($A160="","",IFERROR(INDEX(SERVIZI!$B:$B,MATCH($B160,SERVIZI!$A:$A,0)),""))</f>
        <v/>
      </c>
      <c r="D160" s="42"/>
      <c r="E160" s="42"/>
      <c r="F160" s="42"/>
      <c r="G160" s="42"/>
      <c r="H160" s="44"/>
      <c r="I160" s="44"/>
      <c r="J160" s="35" t="str">
        <f t="shared" si="22"/>
        <v/>
      </c>
      <c r="K160" s="34" t="str">
        <f t="shared" si="23"/>
        <v/>
      </c>
      <c r="L160" s="42"/>
      <c r="M160" s="43"/>
      <c r="N160" s="43"/>
      <c r="O160" s="42"/>
      <c r="P160" s="44"/>
      <c r="Q160" s="34" t="str">
        <f t="shared" si="24"/>
        <v/>
      </c>
      <c r="R160" s="34" t="str">
        <f t="shared" si="25"/>
        <v/>
      </c>
      <c r="S160" s="36" t="str">
        <f t="shared" si="26"/>
        <v/>
      </c>
      <c r="T160" s="42"/>
      <c r="U160" s="51" t="str">
        <f t="shared" si="27"/>
        <v/>
      </c>
      <c r="V160" s="51" t="str">
        <f>IF($A160="","",COUNTIF($A$2:$A160,$A160))</f>
        <v/>
      </c>
    </row>
    <row r="161" spans="1:22" x14ac:dyDescent="0.3">
      <c r="A161" s="42"/>
      <c r="B161" s="42"/>
      <c r="C161" s="36" t="str">
        <f>IF($A161="","",IFERROR(INDEX(SERVIZI!$B:$B,MATCH($B161,SERVIZI!$A:$A,0)),""))</f>
        <v/>
      </c>
      <c r="D161" s="42"/>
      <c r="E161" s="42"/>
      <c r="F161" s="42"/>
      <c r="G161" s="42"/>
      <c r="H161" s="44"/>
      <c r="I161" s="44"/>
      <c r="J161" s="35" t="str">
        <f t="shared" si="22"/>
        <v/>
      </c>
      <c r="K161" s="34" t="str">
        <f t="shared" si="23"/>
        <v/>
      </c>
      <c r="L161" s="42"/>
      <c r="M161" s="43"/>
      <c r="N161" s="43"/>
      <c r="O161" s="42"/>
      <c r="P161" s="44"/>
      <c r="Q161" s="34" t="str">
        <f t="shared" si="24"/>
        <v/>
      </c>
      <c r="R161" s="34" t="str">
        <f t="shared" si="25"/>
        <v/>
      </c>
      <c r="S161" s="36" t="str">
        <f t="shared" si="26"/>
        <v/>
      </c>
      <c r="T161" s="42"/>
      <c r="U161" s="51" t="str">
        <f t="shared" si="27"/>
        <v/>
      </c>
      <c r="V161" s="51" t="str">
        <f>IF($A161="","",COUNTIF($A$2:$A161,$A161))</f>
        <v/>
      </c>
    </row>
    <row r="162" spans="1:22" x14ac:dyDescent="0.3">
      <c r="A162" s="42"/>
      <c r="B162" s="42"/>
      <c r="C162" s="36" t="str">
        <f>IF($A162="","",IFERROR(INDEX(SERVIZI!$B:$B,MATCH($B162,SERVIZI!$A:$A,0)),""))</f>
        <v/>
      </c>
      <c r="D162" s="42"/>
      <c r="E162" s="42"/>
      <c r="F162" s="42"/>
      <c r="G162" s="42"/>
      <c r="H162" s="44"/>
      <c r="I162" s="44"/>
      <c r="J162" s="35" t="str">
        <f t="shared" ref="J162:J193" si="28">IF($A162="","",IFERROR(($I162-$H162)/$H162,0))</f>
        <v/>
      </c>
      <c r="K162" s="34" t="str">
        <f t="shared" ref="K162:K193" si="29">IF($A162="","",$I162-$H162)</f>
        <v/>
      </c>
      <c r="L162" s="42"/>
      <c r="M162" s="43"/>
      <c r="N162" s="43"/>
      <c r="O162" s="42"/>
      <c r="P162" s="44"/>
      <c r="Q162" s="34" t="str">
        <f t="shared" ref="Q162:Q193" si="30">IF($A162="","",$H162-$P162)</f>
        <v/>
      </c>
      <c r="R162" s="34" t="str">
        <f t="shared" ref="R162:R193" si="31">IF($A162="","",IF(OR($L162="Emesso",$L162="Prestazione erogata",$L162="Fatturato",$L162="Pagato"),$H162,0))</f>
        <v/>
      </c>
      <c r="S162" s="36" t="str">
        <f t="shared" ref="S162:S193" si="32">IF($A162="","",IF($H162&gt;SOGLIA_DIR,"Direzione",IF($H162&gt;SOGLIA_PM,"Project Manager","Autonomo")))</f>
        <v/>
      </c>
      <c r="T162" s="42"/>
      <c r="U162" s="51" t="str">
        <f t="shared" si="27"/>
        <v/>
      </c>
      <c r="V162" s="51" t="str">
        <f>IF($A162="","",COUNTIF($A$2:$A162,$A162))</f>
        <v/>
      </c>
    </row>
    <row r="163" spans="1:22" x14ac:dyDescent="0.3">
      <c r="A163" s="42"/>
      <c r="B163" s="42"/>
      <c r="C163" s="36" t="str">
        <f>IF($A163="","",IFERROR(INDEX(SERVIZI!$B:$B,MATCH($B163,SERVIZI!$A:$A,0)),""))</f>
        <v/>
      </c>
      <c r="D163" s="42"/>
      <c r="E163" s="42"/>
      <c r="F163" s="42"/>
      <c r="G163" s="42"/>
      <c r="H163" s="44"/>
      <c r="I163" s="44"/>
      <c r="J163" s="35" t="str">
        <f t="shared" si="28"/>
        <v/>
      </c>
      <c r="K163" s="34" t="str">
        <f t="shared" si="29"/>
        <v/>
      </c>
      <c r="L163" s="42"/>
      <c r="M163" s="43"/>
      <c r="N163" s="43"/>
      <c r="O163" s="42"/>
      <c r="P163" s="44"/>
      <c r="Q163" s="34" t="str">
        <f t="shared" si="30"/>
        <v/>
      </c>
      <c r="R163" s="34" t="str">
        <f t="shared" si="31"/>
        <v/>
      </c>
      <c r="S163" s="36" t="str">
        <f t="shared" si="32"/>
        <v/>
      </c>
      <c r="T163" s="42"/>
      <c r="U163" s="51" t="str">
        <f t="shared" si="27"/>
        <v/>
      </c>
      <c r="V163" s="51" t="str">
        <f>IF($A163="","",COUNTIF($A$2:$A163,$A163))</f>
        <v/>
      </c>
    </row>
    <row r="164" spans="1:22" x14ac:dyDescent="0.3">
      <c r="A164" s="42"/>
      <c r="B164" s="42"/>
      <c r="C164" s="36" t="str">
        <f>IF($A164="","",IFERROR(INDEX(SERVIZI!$B:$B,MATCH($B164,SERVIZI!$A:$A,0)),""))</f>
        <v/>
      </c>
      <c r="D164" s="42"/>
      <c r="E164" s="42"/>
      <c r="F164" s="42"/>
      <c r="G164" s="42"/>
      <c r="H164" s="44"/>
      <c r="I164" s="44"/>
      <c r="J164" s="35" t="str">
        <f t="shared" si="28"/>
        <v/>
      </c>
      <c r="K164" s="34" t="str">
        <f t="shared" si="29"/>
        <v/>
      </c>
      <c r="L164" s="42"/>
      <c r="M164" s="43"/>
      <c r="N164" s="43"/>
      <c r="O164" s="42"/>
      <c r="P164" s="44"/>
      <c r="Q164" s="34" t="str">
        <f t="shared" si="30"/>
        <v/>
      </c>
      <c r="R164" s="34" t="str">
        <f t="shared" si="31"/>
        <v/>
      </c>
      <c r="S164" s="36" t="str">
        <f t="shared" si="32"/>
        <v/>
      </c>
      <c r="T164" s="42"/>
      <c r="U164" s="51" t="str">
        <f t="shared" si="27"/>
        <v/>
      </c>
      <c r="V164" s="51" t="str">
        <f>IF($A164="","",COUNTIF($A$2:$A164,$A164))</f>
        <v/>
      </c>
    </row>
    <row r="165" spans="1:22" x14ac:dyDescent="0.3">
      <c r="A165" s="42"/>
      <c r="B165" s="42"/>
      <c r="C165" s="36" t="str">
        <f>IF($A165="","",IFERROR(INDEX(SERVIZI!$B:$B,MATCH($B165,SERVIZI!$A:$A,0)),""))</f>
        <v/>
      </c>
      <c r="D165" s="42"/>
      <c r="E165" s="42"/>
      <c r="F165" s="42"/>
      <c r="G165" s="42"/>
      <c r="H165" s="44"/>
      <c r="I165" s="44"/>
      <c r="J165" s="35" t="str">
        <f t="shared" si="28"/>
        <v/>
      </c>
      <c r="K165" s="34" t="str">
        <f t="shared" si="29"/>
        <v/>
      </c>
      <c r="L165" s="42"/>
      <c r="M165" s="43"/>
      <c r="N165" s="43"/>
      <c r="O165" s="42"/>
      <c r="P165" s="44"/>
      <c r="Q165" s="34" t="str">
        <f t="shared" si="30"/>
        <v/>
      </c>
      <c r="R165" s="34" t="str">
        <f t="shared" si="31"/>
        <v/>
      </c>
      <c r="S165" s="36" t="str">
        <f t="shared" si="32"/>
        <v/>
      </c>
      <c r="T165" s="42"/>
      <c r="U165" s="51" t="str">
        <f t="shared" si="27"/>
        <v/>
      </c>
      <c r="V165" s="51" t="str">
        <f>IF($A165="","",COUNTIF($A$2:$A165,$A165))</f>
        <v/>
      </c>
    </row>
    <row r="166" spans="1:22" x14ac:dyDescent="0.3">
      <c r="A166" s="42"/>
      <c r="B166" s="42"/>
      <c r="C166" s="36" t="str">
        <f>IF($A166="","",IFERROR(INDEX(SERVIZI!$B:$B,MATCH($B166,SERVIZI!$A:$A,0)),""))</f>
        <v/>
      </c>
      <c r="D166" s="42"/>
      <c r="E166" s="42"/>
      <c r="F166" s="42"/>
      <c r="G166" s="42"/>
      <c r="H166" s="44"/>
      <c r="I166" s="44"/>
      <c r="J166" s="35" t="str">
        <f t="shared" si="28"/>
        <v/>
      </c>
      <c r="K166" s="34" t="str">
        <f t="shared" si="29"/>
        <v/>
      </c>
      <c r="L166" s="42"/>
      <c r="M166" s="43"/>
      <c r="N166" s="43"/>
      <c r="O166" s="42"/>
      <c r="P166" s="44"/>
      <c r="Q166" s="34" t="str">
        <f t="shared" si="30"/>
        <v/>
      </c>
      <c r="R166" s="34" t="str">
        <f t="shared" si="31"/>
        <v/>
      </c>
      <c r="S166" s="36" t="str">
        <f t="shared" si="32"/>
        <v/>
      </c>
      <c r="T166" s="42"/>
      <c r="U166" s="51" t="str">
        <f t="shared" si="27"/>
        <v/>
      </c>
      <c r="V166" s="51" t="str">
        <f>IF($A166="","",COUNTIF($A$2:$A166,$A166))</f>
        <v/>
      </c>
    </row>
    <row r="167" spans="1:22" x14ac:dyDescent="0.3">
      <c r="A167" s="42"/>
      <c r="B167" s="42"/>
      <c r="C167" s="36" t="str">
        <f>IF($A167="","",IFERROR(INDEX(SERVIZI!$B:$B,MATCH($B167,SERVIZI!$A:$A,0)),""))</f>
        <v/>
      </c>
      <c r="D167" s="42"/>
      <c r="E167" s="42"/>
      <c r="F167" s="42"/>
      <c r="G167" s="42"/>
      <c r="H167" s="44"/>
      <c r="I167" s="44"/>
      <c r="J167" s="35" t="str">
        <f t="shared" si="28"/>
        <v/>
      </c>
      <c r="K167" s="34" t="str">
        <f t="shared" si="29"/>
        <v/>
      </c>
      <c r="L167" s="42"/>
      <c r="M167" s="43"/>
      <c r="N167" s="43"/>
      <c r="O167" s="42"/>
      <c r="P167" s="44"/>
      <c r="Q167" s="34" t="str">
        <f t="shared" si="30"/>
        <v/>
      </c>
      <c r="R167" s="34" t="str">
        <f t="shared" si="31"/>
        <v/>
      </c>
      <c r="S167" s="36" t="str">
        <f t="shared" si="32"/>
        <v/>
      </c>
      <c r="T167" s="42"/>
      <c r="U167" s="51" t="str">
        <f t="shared" si="27"/>
        <v/>
      </c>
      <c r="V167" s="51" t="str">
        <f>IF($A167="","",COUNTIF($A$2:$A167,$A167))</f>
        <v/>
      </c>
    </row>
    <row r="168" spans="1:22" x14ac:dyDescent="0.3">
      <c r="A168" s="42"/>
      <c r="B168" s="42"/>
      <c r="C168" s="36" t="str">
        <f>IF($A168="","",IFERROR(INDEX(SERVIZI!$B:$B,MATCH($B168,SERVIZI!$A:$A,0)),""))</f>
        <v/>
      </c>
      <c r="D168" s="42"/>
      <c r="E168" s="42"/>
      <c r="F168" s="42"/>
      <c r="G168" s="42"/>
      <c r="H168" s="44"/>
      <c r="I168" s="44"/>
      <c r="J168" s="35" t="str">
        <f t="shared" si="28"/>
        <v/>
      </c>
      <c r="K168" s="34" t="str">
        <f t="shared" si="29"/>
        <v/>
      </c>
      <c r="L168" s="42"/>
      <c r="M168" s="43"/>
      <c r="N168" s="43"/>
      <c r="O168" s="42"/>
      <c r="P168" s="44"/>
      <c r="Q168" s="34" t="str">
        <f t="shared" si="30"/>
        <v/>
      </c>
      <c r="R168" s="34" t="str">
        <f t="shared" si="31"/>
        <v/>
      </c>
      <c r="S168" s="36" t="str">
        <f t="shared" si="32"/>
        <v/>
      </c>
      <c r="T168" s="42"/>
      <c r="U168" s="51" t="str">
        <f t="shared" si="27"/>
        <v/>
      </c>
      <c r="V168" s="51" t="str">
        <f>IF($A168="","",COUNTIF($A$2:$A168,$A168))</f>
        <v/>
      </c>
    </row>
    <row r="169" spans="1:22" x14ac:dyDescent="0.3">
      <c r="A169" s="42"/>
      <c r="B169" s="42"/>
      <c r="C169" s="36" t="str">
        <f>IF($A169="","",IFERROR(INDEX(SERVIZI!$B:$B,MATCH($B169,SERVIZI!$A:$A,0)),""))</f>
        <v/>
      </c>
      <c r="D169" s="42"/>
      <c r="E169" s="42"/>
      <c r="F169" s="42"/>
      <c r="G169" s="42"/>
      <c r="H169" s="44"/>
      <c r="I169" s="44"/>
      <c r="J169" s="35" t="str">
        <f t="shared" si="28"/>
        <v/>
      </c>
      <c r="K169" s="34" t="str">
        <f t="shared" si="29"/>
        <v/>
      </c>
      <c r="L169" s="42"/>
      <c r="M169" s="43"/>
      <c r="N169" s="43"/>
      <c r="O169" s="42"/>
      <c r="P169" s="44"/>
      <c r="Q169" s="34" t="str">
        <f t="shared" si="30"/>
        <v/>
      </c>
      <c r="R169" s="34" t="str">
        <f t="shared" si="31"/>
        <v/>
      </c>
      <c r="S169" s="36" t="str">
        <f t="shared" si="32"/>
        <v/>
      </c>
      <c r="T169" s="42"/>
      <c r="U169" s="51" t="str">
        <f t="shared" si="27"/>
        <v/>
      </c>
      <c r="V169" s="51" t="str">
        <f>IF($A169="","",COUNTIF($A$2:$A169,$A169))</f>
        <v/>
      </c>
    </row>
    <row r="170" spans="1:22" x14ac:dyDescent="0.3">
      <c r="A170" s="42"/>
      <c r="B170" s="42"/>
      <c r="C170" s="36" t="str">
        <f>IF($A170="","",IFERROR(INDEX(SERVIZI!$B:$B,MATCH($B170,SERVIZI!$A:$A,0)),""))</f>
        <v/>
      </c>
      <c r="D170" s="42"/>
      <c r="E170" s="42"/>
      <c r="F170" s="42"/>
      <c r="G170" s="42"/>
      <c r="H170" s="44"/>
      <c r="I170" s="44"/>
      <c r="J170" s="35" t="str">
        <f t="shared" si="28"/>
        <v/>
      </c>
      <c r="K170" s="34" t="str">
        <f t="shared" si="29"/>
        <v/>
      </c>
      <c r="L170" s="42"/>
      <c r="M170" s="43"/>
      <c r="N170" s="43"/>
      <c r="O170" s="42"/>
      <c r="P170" s="44"/>
      <c r="Q170" s="34" t="str">
        <f t="shared" si="30"/>
        <v/>
      </c>
      <c r="R170" s="34" t="str">
        <f t="shared" si="31"/>
        <v/>
      </c>
      <c r="S170" s="36" t="str">
        <f t="shared" si="32"/>
        <v/>
      </c>
      <c r="T170" s="42"/>
      <c r="U170" s="51" t="str">
        <f t="shared" si="27"/>
        <v/>
      </c>
      <c r="V170" s="51" t="str">
        <f>IF($A170="","",COUNTIF($A$2:$A170,$A170))</f>
        <v/>
      </c>
    </row>
    <row r="171" spans="1:22" x14ac:dyDescent="0.3">
      <c r="A171" s="42"/>
      <c r="B171" s="42"/>
      <c r="C171" s="36" t="str">
        <f>IF($A171="","",IFERROR(INDEX(SERVIZI!$B:$B,MATCH($B171,SERVIZI!$A:$A,0)),""))</f>
        <v/>
      </c>
      <c r="D171" s="42"/>
      <c r="E171" s="42"/>
      <c r="F171" s="42"/>
      <c r="G171" s="42"/>
      <c r="H171" s="44"/>
      <c r="I171" s="44"/>
      <c r="J171" s="35" t="str">
        <f t="shared" si="28"/>
        <v/>
      </c>
      <c r="K171" s="34" t="str">
        <f t="shared" si="29"/>
        <v/>
      </c>
      <c r="L171" s="42"/>
      <c r="M171" s="43"/>
      <c r="N171" s="43"/>
      <c r="O171" s="42"/>
      <c r="P171" s="44"/>
      <c r="Q171" s="34" t="str">
        <f t="shared" si="30"/>
        <v/>
      </c>
      <c r="R171" s="34" t="str">
        <f t="shared" si="31"/>
        <v/>
      </c>
      <c r="S171" s="36" t="str">
        <f t="shared" si="32"/>
        <v/>
      </c>
      <c r="T171" s="42"/>
      <c r="U171" s="51" t="str">
        <f t="shared" si="27"/>
        <v/>
      </c>
      <c r="V171" s="51" t="str">
        <f>IF($A171="","",COUNTIF($A$2:$A171,$A171))</f>
        <v/>
      </c>
    </row>
    <row r="172" spans="1:22" x14ac:dyDescent="0.3">
      <c r="A172" s="42"/>
      <c r="B172" s="42"/>
      <c r="C172" s="36" t="str">
        <f>IF($A172="","",IFERROR(INDEX(SERVIZI!$B:$B,MATCH($B172,SERVIZI!$A:$A,0)),""))</f>
        <v/>
      </c>
      <c r="D172" s="42"/>
      <c r="E172" s="42"/>
      <c r="F172" s="42"/>
      <c r="G172" s="42"/>
      <c r="H172" s="44"/>
      <c r="I172" s="44"/>
      <c r="J172" s="35" t="str">
        <f t="shared" si="28"/>
        <v/>
      </c>
      <c r="K172" s="34" t="str">
        <f t="shared" si="29"/>
        <v/>
      </c>
      <c r="L172" s="42"/>
      <c r="M172" s="43"/>
      <c r="N172" s="43"/>
      <c r="O172" s="42"/>
      <c r="P172" s="44"/>
      <c r="Q172" s="34" t="str">
        <f t="shared" si="30"/>
        <v/>
      </c>
      <c r="R172" s="34" t="str">
        <f t="shared" si="31"/>
        <v/>
      </c>
      <c r="S172" s="36" t="str">
        <f t="shared" si="32"/>
        <v/>
      </c>
      <c r="T172" s="42"/>
      <c r="U172" s="51" t="str">
        <f t="shared" si="27"/>
        <v/>
      </c>
      <c r="V172" s="51" t="str">
        <f>IF($A172="","",COUNTIF($A$2:$A172,$A172))</f>
        <v/>
      </c>
    </row>
    <row r="173" spans="1:22" x14ac:dyDescent="0.3">
      <c r="A173" s="42"/>
      <c r="B173" s="42"/>
      <c r="C173" s="36" t="str">
        <f>IF($A173="","",IFERROR(INDEX(SERVIZI!$B:$B,MATCH($B173,SERVIZI!$A:$A,0)),""))</f>
        <v/>
      </c>
      <c r="D173" s="42"/>
      <c r="E173" s="42"/>
      <c r="F173" s="42"/>
      <c r="G173" s="42"/>
      <c r="H173" s="44"/>
      <c r="I173" s="44"/>
      <c r="J173" s="35" t="str">
        <f t="shared" si="28"/>
        <v/>
      </c>
      <c r="K173" s="34" t="str">
        <f t="shared" si="29"/>
        <v/>
      </c>
      <c r="L173" s="42"/>
      <c r="M173" s="43"/>
      <c r="N173" s="43"/>
      <c r="O173" s="42"/>
      <c r="P173" s="44"/>
      <c r="Q173" s="34" t="str">
        <f t="shared" si="30"/>
        <v/>
      </c>
      <c r="R173" s="34" t="str">
        <f t="shared" si="31"/>
        <v/>
      </c>
      <c r="S173" s="36" t="str">
        <f t="shared" si="32"/>
        <v/>
      </c>
      <c r="T173" s="42"/>
      <c r="U173" s="51" t="str">
        <f t="shared" si="27"/>
        <v/>
      </c>
      <c r="V173" s="51" t="str">
        <f>IF($A173="","",COUNTIF($A$2:$A173,$A173))</f>
        <v/>
      </c>
    </row>
    <row r="174" spans="1:22" x14ac:dyDescent="0.3">
      <c r="A174" s="42"/>
      <c r="B174" s="42"/>
      <c r="C174" s="36" t="str">
        <f>IF($A174="","",IFERROR(INDEX(SERVIZI!$B:$B,MATCH($B174,SERVIZI!$A:$A,0)),""))</f>
        <v/>
      </c>
      <c r="D174" s="42"/>
      <c r="E174" s="42"/>
      <c r="F174" s="42"/>
      <c r="G174" s="42"/>
      <c r="H174" s="44"/>
      <c r="I174" s="44"/>
      <c r="J174" s="35" t="str">
        <f t="shared" si="28"/>
        <v/>
      </c>
      <c r="K174" s="34" t="str">
        <f t="shared" si="29"/>
        <v/>
      </c>
      <c r="L174" s="42"/>
      <c r="M174" s="43"/>
      <c r="N174" s="43"/>
      <c r="O174" s="42"/>
      <c r="P174" s="44"/>
      <c r="Q174" s="34" t="str">
        <f t="shared" si="30"/>
        <v/>
      </c>
      <c r="R174" s="34" t="str">
        <f t="shared" si="31"/>
        <v/>
      </c>
      <c r="S174" s="36" t="str">
        <f t="shared" si="32"/>
        <v/>
      </c>
      <c r="T174" s="42"/>
      <c r="U174" s="51" t="str">
        <f t="shared" si="27"/>
        <v/>
      </c>
      <c r="V174" s="51" t="str">
        <f>IF($A174="","",COUNTIF($A$2:$A174,$A174))</f>
        <v/>
      </c>
    </row>
    <row r="175" spans="1:22" x14ac:dyDescent="0.3">
      <c r="A175" s="42"/>
      <c r="B175" s="42"/>
      <c r="C175" s="36" t="str">
        <f>IF($A175="","",IFERROR(INDEX(SERVIZI!$B:$B,MATCH($B175,SERVIZI!$A:$A,0)),""))</f>
        <v/>
      </c>
      <c r="D175" s="42"/>
      <c r="E175" s="42"/>
      <c r="F175" s="42"/>
      <c r="G175" s="42"/>
      <c r="H175" s="44"/>
      <c r="I175" s="44"/>
      <c r="J175" s="35" t="str">
        <f t="shared" si="28"/>
        <v/>
      </c>
      <c r="K175" s="34" t="str">
        <f t="shared" si="29"/>
        <v/>
      </c>
      <c r="L175" s="42"/>
      <c r="M175" s="43"/>
      <c r="N175" s="43"/>
      <c r="O175" s="42"/>
      <c r="P175" s="44"/>
      <c r="Q175" s="34" t="str">
        <f t="shared" si="30"/>
        <v/>
      </c>
      <c r="R175" s="34" t="str">
        <f t="shared" si="31"/>
        <v/>
      </c>
      <c r="S175" s="36" t="str">
        <f t="shared" si="32"/>
        <v/>
      </c>
      <c r="T175" s="42"/>
      <c r="U175" s="51" t="str">
        <f t="shared" si="27"/>
        <v/>
      </c>
      <c r="V175" s="51" t="str">
        <f>IF($A175="","",COUNTIF($A$2:$A175,$A175))</f>
        <v/>
      </c>
    </row>
    <row r="176" spans="1:22" x14ac:dyDescent="0.3">
      <c r="A176" s="42"/>
      <c r="B176" s="42"/>
      <c r="C176" s="36" t="str">
        <f>IF($A176="","",IFERROR(INDEX(SERVIZI!$B:$B,MATCH($B176,SERVIZI!$A:$A,0)),""))</f>
        <v/>
      </c>
      <c r="D176" s="42"/>
      <c r="E176" s="42"/>
      <c r="F176" s="42"/>
      <c r="G176" s="42"/>
      <c r="H176" s="44"/>
      <c r="I176" s="44"/>
      <c r="J176" s="35" t="str">
        <f t="shared" si="28"/>
        <v/>
      </c>
      <c r="K176" s="34" t="str">
        <f t="shared" si="29"/>
        <v/>
      </c>
      <c r="L176" s="42"/>
      <c r="M176" s="43"/>
      <c r="N176" s="43"/>
      <c r="O176" s="42"/>
      <c r="P176" s="44"/>
      <c r="Q176" s="34" t="str">
        <f t="shared" si="30"/>
        <v/>
      </c>
      <c r="R176" s="34" t="str">
        <f t="shared" si="31"/>
        <v/>
      </c>
      <c r="S176" s="36" t="str">
        <f t="shared" si="32"/>
        <v/>
      </c>
      <c r="T176" s="42"/>
      <c r="U176" s="51" t="str">
        <f t="shared" si="27"/>
        <v/>
      </c>
      <c r="V176" s="51" t="str">
        <f>IF($A176="","",COUNTIF($A$2:$A176,$A176))</f>
        <v/>
      </c>
    </row>
    <row r="177" spans="1:22" x14ac:dyDescent="0.3">
      <c r="A177" s="42"/>
      <c r="B177" s="42"/>
      <c r="C177" s="36" t="str">
        <f>IF($A177="","",IFERROR(INDEX(SERVIZI!$B:$B,MATCH($B177,SERVIZI!$A:$A,0)),""))</f>
        <v/>
      </c>
      <c r="D177" s="42"/>
      <c r="E177" s="42"/>
      <c r="F177" s="42"/>
      <c r="G177" s="42"/>
      <c r="H177" s="44"/>
      <c r="I177" s="44"/>
      <c r="J177" s="35" t="str">
        <f t="shared" si="28"/>
        <v/>
      </c>
      <c r="K177" s="34" t="str">
        <f t="shared" si="29"/>
        <v/>
      </c>
      <c r="L177" s="42"/>
      <c r="M177" s="43"/>
      <c r="N177" s="43"/>
      <c r="O177" s="42"/>
      <c r="P177" s="44"/>
      <c r="Q177" s="34" t="str">
        <f t="shared" si="30"/>
        <v/>
      </c>
      <c r="R177" s="34" t="str">
        <f t="shared" si="31"/>
        <v/>
      </c>
      <c r="S177" s="36" t="str">
        <f t="shared" si="32"/>
        <v/>
      </c>
      <c r="T177" s="42"/>
      <c r="U177" s="51" t="str">
        <f t="shared" si="27"/>
        <v/>
      </c>
      <c r="V177" s="51" t="str">
        <f>IF($A177="","",COUNTIF($A$2:$A177,$A177))</f>
        <v/>
      </c>
    </row>
    <row r="178" spans="1:22" x14ac:dyDescent="0.3">
      <c r="A178" s="42"/>
      <c r="B178" s="42"/>
      <c r="C178" s="36" t="str">
        <f>IF($A178="","",IFERROR(INDEX(SERVIZI!$B:$B,MATCH($B178,SERVIZI!$A:$A,0)),""))</f>
        <v/>
      </c>
      <c r="D178" s="42"/>
      <c r="E178" s="42"/>
      <c r="F178" s="42"/>
      <c r="G178" s="42"/>
      <c r="H178" s="44"/>
      <c r="I178" s="44"/>
      <c r="J178" s="35" t="str">
        <f t="shared" si="28"/>
        <v/>
      </c>
      <c r="K178" s="34" t="str">
        <f t="shared" si="29"/>
        <v/>
      </c>
      <c r="L178" s="42"/>
      <c r="M178" s="43"/>
      <c r="N178" s="43"/>
      <c r="O178" s="42"/>
      <c r="P178" s="44"/>
      <c r="Q178" s="34" t="str">
        <f t="shared" si="30"/>
        <v/>
      </c>
      <c r="R178" s="34" t="str">
        <f t="shared" si="31"/>
        <v/>
      </c>
      <c r="S178" s="36" t="str">
        <f t="shared" si="32"/>
        <v/>
      </c>
      <c r="T178" s="42"/>
      <c r="U178" s="51" t="str">
        <f t="shared" si="27"/>
        <v/>
      </c>
      <c r="V178" s="51" t="str">
        <f>IF($A178="","",COUNTIF($A$2:$A178,$A178))</f>
        <v/>
      </c>
    </row>
    <row r="179" spans="1:22" x14ac:dyDescent="0.3">
      <c r="A179" s="42"/>
      <c r="B179" s="42"/>
      <c r="C179" s="36" t="str">
        <f>IF($A179="","",IFERROR(INDEX(SERVIZI!$B:$B,MATCH($B179,SERVIZI!$A:$A,0)),""))</f>
        <v/>
      </c>
      <c r="D179" s="42"/>
      <c r="E179" s="42"/>
      <c r="F179" s="42"/>
      <c r="G179" s="42"/>
      <c r="H179" s="44"/>
      <c r="I179" s="44"/>
      <c r="J179" s="35" t="str">
        <f t="shared" si="28"/>
        <v/>
      </c>
      <c r="K179" s="34" t="str">
        <f t="shared" si="29"/>
        <v/>
      </c>
      <c r="L179" s="42"/>
      <c r="M179" s="43"/>
      <c r="N179" s="43"/>
      <c r="O179" s="42"/>
      <c r="P179" s="44"/>
      <c r="Q179" s="34" t="str">
        <f t="shared" si="30"/>
        <v/>
      </c>
      <c r="R179" s="34" t="str">
        <f t="shared" si="31"/>
        <v/>
      </c>
      <c r="S179" s="36" t="str">
        <f t="shared" si="32"/>
        <v/>
      </c>
      <c r="T179" s="42"/>
      <c r="U179" s="51" t="str">
        <f t="shared" si="27"/>
        <v/>
      </c>
      <c r="V179" s="51" t="str">
        <f>IF($A179="","",COUNTIF($A$2:$A179,$A179))</f>
        <v/>
      </c>
    </row>
    <row r="180" spans="1:22" x14ac:dyDescent="0.3">
      <c r="A180" s="42"/>
      <c r="B180" s="42"/>
      <c r="C180" s="36" t="str">
        <f>IF($A180="","",IFERROR(INDEX(SERVIZI!$B:$B,MATCH($B180,SERVIZI!$A:$A,0)),""))</f>
        <v/>
      </c>
      <c r="D180" s="42"/>
      <c r="E180" s="42"/>
      <c r="F180" s="42"/>
      <c r="G180" s="42"/>
      <c r="H180" s="44"/>
      <c r="I180" s="44"/>
      <c r="J180" s="35" t="str">
        <f t="shared" si="28"/>
        <v/>
      </c>
      <c r="K180" s="34" t="str">
        <f t="shared" si="29"/>
        <v/>
      </c>
      <c r="L180" s="42"/>
      <c r="M180" s="43"/>
      <c r="N180" s="43"/>
      <c r="O180" s="42"/>
      <c r="P180" s="44"/>
      <c r="Q180" s="34" t="str">
        <f t="shared" si="30"/>
        <v/>
      </c>
      <c r="R180" s="34" t="str">
        <f t="shared" si="31"/>
        <v/>
      </c>
      <c r="S180" s="36" t="str">
        <f t="shared" si="32"/>
        <v/>
      </c>
      <c r="T180" s="42"/>
      <c r="U180" s="51" t="str">
        <f t="shared" si="27"/>
        <v/>
      </c>
      <c r="V180" s="51" t="str">
        <f>IF($A180="","",COUNTIF($A$2:$A180,$A180))</f>
        <v/>
      </c>
    </row>
    <row r="181" spans="1:22" x14ac:dyDescent="0.3">
      <c r="A181" s="42"/>
      <c r="B181" s="42"/>
      <c r="C181" s="36" t="str">
        <f>IF($A181="","",IFERROR(INDEX(SERVIZI!$B:$B,MATCH($B181,SERVIZI!$A:$A,0)),""))</f>
        <v/>
      </c>
      <c r="D181" s="42"/>
      <c r="E181" s="42"/>
      <c r="F181" s="42"/>
      <c r="G181" s="42"/>
      <c r="H181" s="44"/>
      <c r="I181" s="44"/>
      <c r="J181" s="35" t="str">
        <f t="shared" si="28"/>
        <v/>
      </c>
      <c r="K181" s="34" t="str">
        <f t="shared" si="29"/>
        <v/>
      </c>
      <c r="L181" s="42"/>
      <c r="M181" s="43"/>
      <c r="N181" s="43"/>
      <c r="O181" s="42"/>
      <c r="P181" s="44"/>
      <c r="Q181" s="34" t="str">
        <f t="shared" si="30"/>
        <v/>
      </c>
      <c r="R181" s="34" t="str">
        <f t="shared" si="31"/>
        <v/>
      </c>
      <c r="S181" s="36" t="str">
        <f t="shared" si="32"/>
        <v/>
      </c>
      <c r="T181" s="42"/>
      <c r="U181" s="51" t="str">
        <f t="shared" si="27"/>
        <v/>
      </c>
      <c r="V181" s="51" t="str">
        <f>IF($A181="","",COUNTIF($A$2:$A181,$A181))</f>
        <v/>
      </c>
    </row>
    <row r="182" spans="1:22" x14ac:dyDescent="0.3">
      <c r="A182" s="42"/>
      <c r="B182" s="42"/>
      <c r="C182" s="36" t="str">
        <f>IF($A182="","",IFERROR(INDEX(SERVIZI!$B:$B,MATCH($B182,SERVIZI!$A:$A,0)),""))</f>
        <v/>
      </c>
      <c r="D182" s="42"/>
      <c r="E182" s="42"/>
      <c r="F182" s="42"/>
      <c r="G182" s="42"/>
      <c r="H182" s="44"/>
      <c r="I182" s="44"/>
      <c r="J182" s="35" t="str">
        <f t="shared" si="28"/>
        <v/>
      </c>
      <c r="K182" s="34" t="str">
        <f t="shared" si="29"/>
        <v/>
      </c>
      <c r="L182" s="42"/>
      <c r="M182" s="43"/>
      <c r="N182" s="43"/>
      <c r="O182" s="42"/>
      <c r="P182" s="44"/>
      <c r="Q182" s="34" t="str">
        <f t="shared" si="30"/>
        <v/>
      </c>
      <c r="R182" s="34" t="str">
        <f t="shared" si="31"/>
        <v/>
      </c>
      <c r="S182" s="36" t="str">
        <f t="shared" si="32"/>
        <v/>
      </c>
      <c r="T182" s="42"/>
      <c r="U182" s="51" t="str">
        <f t="shared" si="27"/>
        <v/>
      </c>
      <c r="V182" s="51" t="str">
        <f>IF($A182="","",COUNTIF($A$2:$A182,$A182))</f>
        <v/>
      </c>
    </row>
    <row r="183" spans="1:22" x14ac:dyDescent="0.3">
      <c r="A183" s="42"/>
      <c r="B183" s="42"/>
      <c r="C183" s="36" t="str">
        <f>IF($A183="","",IFERROR(INDEX(SERVIZI!$B:$B,MATCH($B183,SERVIZI!$A:$A,0)),""))</f>
        <v/>
      </c>
      <c r="D183" s="42"/>
      <c r="E183" s="42"/>
      <c r="F183" s="42"/>
      <c r="G183" s="42"/>
      <c r="H183" s="44"/>
      <c r="I183" s="44"/>
      <c r="J183" s="35" t="str">
        <f t="shared" si="28"/>
        <v/>
      </c>
      <c r="K183" s="34" t="str">
        <f t="shared" si="29"/>
        <v/>
      </c>
      <c r="L183" s="42"/>
      <c r="M183" s="43"/>
      <c r="N183" s="43"/>
      <c r="O183" s="42"/>
      <c r="P183" s="44"/>
      <c r="Q183" s="34" t="str">
        <f t="shared" si="30"/>
        <v/>
      </c>
      <c r="R183" s="34" t="str">
        <f t="shared" si="31"/>
        <v/>
      </c>
      <c r="S183" s="36" t="str">
        <f t="shared" si="32"/>
        <v/>
      </c>
      <c r="T183" s="42"/>
      <c r="U183" s="51" t="str">
        <f t="shared" si="27"/>
        <v/>
      </c>
      <c r="V183" s="51" t="str">
        <f>IF($A183="","",COUNTIF($A$2:$A183,$A183))</f>
        <v/>
      </c>
    </row>
    <row r="184" spans="1:22" x14ac:dyDescent="0.3">
      <c r="A184" s="42"/>
      <c r="B184" s="42"/>
      <c r="C184" s="36" t="str">
        <f>IF($A184="","",IFERROR(INDEX(SERVIZI!$B:$B,MATCH($B184,SERVIZI!$A:$A,0)),""))</f>
        <v/>
      </c>
      <c r="D184" s="42"/>
      <c r="E184" s="42"/>
      <c r="F184" s="42"/>
      <c r="G184" s="42"/>
      <c r="H184" s="44"/>
      <c r="I184" s="44"/>
      <c r="J184" s="35" t="str">
        <f t="shared" si="28"/>
        <v/>
      </c>
      <c r="K184" s="34" t="str">
        <f t="shared" si="29"/>
        <v/>
      </c>
      <c r="L184" s="42"/>
      <c r="M184" s="43"/>
      <c r="N184" s="43"/>
      <c r="O184" s="42"/>
      <c r="P184" s="44"/>
      <c r="Q184" s="34" t="str">
        <f t="shared" si="30"/>
        <v/>
      </c>
      <c r="R184" s="34" t="str">
        <f t="shared" si="31"/>
        <v/>
      </c>
      <c r="S184" s="36" t="str">
        <f t="shared" si="32"/>
        <v/>
      </c>
      <c r="T184" s="42"/>
      <c r="U184" s="51" t="str">
        <f t="shared" si="27"/>
        <v/>
      </c>
      <c r="V184" s="51" t="str">
        <f>IF($A184="","",COUNTIF($A$2:$A184,$A184))</f>
        <v/>
      </c>
    </row>
    <row r="185" spans="1:22" x14ac:dyDescent="0.3">
      <c r="A185" s="42"/>
      <c r="B185" s="42"/>
      <c r="C185" s="36" t="str">
        <f>IF($A185="","",IFERROR(INDEX(SERVIZI!$B:$B,MATCH($B185,SERVIZI!$A:$A,0)),""))</f>
        <v/>
      </c>
      <c r="D185" s="42"/>
      <c r="E185" s="42"/>
      <c r="F185" s="42"/>
      <c r="G185" s="42"/>
      <c r="H185" s="44"/>
      <c r="I185" s="44"/>
      <c r="J185" s="35" t="str">
        <f t="shared" si="28"/>
        <v/>
      </c>
      <c r="K185" s="34" t="str">
        <f t="shared" si="29"/>
        <v/>
      </c>
      <c r="L185" s="42"/>
      <c r="M185" s="43"/>
      <c r="N185" s="43"/>
      <c r="O185" s="42"/>
      <c r="P185" s="44"/>
      <c r="Q185" s="34" t="str">
        <f t="shared" si="30"/>
        <v/>
      </c>
      <c r="R185" s="34" t="str">
        <f t="shared" si="31"/>
        <v/>
      </c>
      <c r="S185" s="36" t="str">
        <f t="shared" si="32"/>
        <v/>
      </c>
      <c r="T185" s="42"/>
      <c r="U185" s="51" t="str">
        <f t="shared" si="27"/>
        <v/>
      </c>
      <c r="V185" s="51" t="str">
        <f>IF($A185="","",COUNTIF($A$2:$A185,$A185))</f>
        <v/>
      </c>
    </row>
    <row r="186" spans="1:22" x14ac:dyDescent="0.3">
      <c r="A186" s="42"/>
      <c r="B186" s="42"/>
      <c r="C186" s="36" t="str">
        <f>IF($A186="","",IFERROR(INDEX(SERVIZI!$B:$B,MATCH($B186,SERVIZI!$A:$A,0)),""))</f>
        <v/>
      </c>
      <c r="D186" s="42"/>
      <c r="E186" s="42"/>
      <c r="F186" s="42"/>
      <c r="G186" s="42"/>
      <c r="H186" s="44"/>
      <c r="I186" s="44"/>
      <c r="J186" s="35" t="str">
        <f t="shared" si="28"/>
        <v/>
      </c>
      <c r="K186" s="34" t="str">
        <f t="shared" si="29"/>
        <v/>
      </c>
      <c r="L186" s="42"/>
      <c r="M186" s="43"/>
      <c r="N186" s="43"/>
      <c r="O186" s="42"/>
      <c r="P186" s="44"/>
      <c r="Q186" s="34" t="str">
        <f t="shared" si="30"/>
        <v/>
      </c>
      <c r="R186" s="34" t="str">
        <f t="shared" si="31"/>
        <v/>
      </c>
      <c r="S186" s="36" t="str">
        <f t="shared" si="32"/>
        <v/>
      </c>
      <c r="T186" s="42"/>
      <c r="U186" s="51" t="str">
        <f t="shared" si="27"/>
        <v/>
      </c>
      <c r="V186" s="51" t="str">
        <f>IF($A186="","",COUNTIF($A$2:$A186,$A186))</f>
        <v/>
      </c>
    </row>
    <row r="187" spans="1:22" x14ac:dyDescent="0.3">
      <c r="A187" s="42"/>
      <c r="B187" s="42"/>
      <c r="C187" s="36" t="str">
        <f>IF($A187="","",IFERROR(INDEX(SERVIZI!$B:$B,MATCH($B187,SERVIZI!$A:$A,0)),""))</f>
        <v/>
      </c>
      <c r="D187" s="42"/>
      <c r="E187" s="42"/>
      <c r="F187" s="42"/>
      <c r="G187" s="42"/>
      <c r="H187" s="44"/>
      <c r="I187" s="44"/>
      <c r="J187" s="35" t="str">
        <f t="shared" si="28"/>
        <v/>
      </c>
      <c r="K187" s="34" t="str">
        <f t="shared" si="29"/>
        <v/>
      </c>
      <c r="L187" s="42"/>
      <c r="M187" s="43"/>
      <c r="N187" s="43"/>
      <c r="O187" s="42"/>
      <c r="P187" s="44"/>
      <c r="Q187" s="34" t="str">
        <f t="shared" si="30"/>
        <v/>
      </c>
      <c r="R187" s="34" t="str">
        <f t="shared" si="31"/>
        <v/>
      </c>
      <c r="S187" s="36" t="str">
        <f t="shared" si="32"/>
        <v/>
      </c>
      <c r="T187" s="42"/>
      <c r="U187" s="51" t="str">
        <f t="shared" si="27"/>
        <v/>
      </c>
      <c r="V187" s="51" t="str">
        <f>IF($A187="","",COUNTIF($A$2:$A187,$A187))</f>
        <v/>
      </c>
    </row>
    <row r="188" spans="1:22" x14ac:dyDescent="0.3">
      <c r="A188" s="42"/>
      <c r="B188" s="42"/>
      <c r="C188" s="36" t="str">
        <f>IF($A188="","",IFERROR(INDEX(SERVIZI!$B:$B,MATCH($B188,SERVIZI!$A:$A,0)),""))</f>
        <v/>
      </c>
      <c r="D188" s="42"/>
      <c r="E188" s="42"/>
      <c r="F188" s="42"/>
      <c r="G188" s="42"/>
      <c r="H188" s="44"/>
      <c r="I188" s="44"/>
      <c r="J188" s="35" t="str">
        <f t="shared" si="28"/>
        <v/>
      </c>
      <c r="K188" s="34" t="str">
        <f t="shared" si="29"/>
        <v/>
      </c>
      <c r="L188" s="42"/>
      <c r="M188" s="43"/>
      <c r="N188" s="43"/>
      <c r="O188" s="42"/>
      <c r="P188" s="44"/>
      <c r="Q188" s="34" t="str">
        <f t="shared" si="30"/>
        <v/>
      </c>
      <c r="R188" s="34" t="str">
        <f t="shared" si="31"/>
        <v/>
      </c>
      <c r="S188" s="36" t="str">
        <f t="shared" si="32"/>
        <v/>
      </c>
      <c r="T188" s="42"/>
      <c r="U188" s="51" t="str">
        <f t="shared" si="27"/>
        <v/>
      </c>
      <c r="V188" s="51" t="str">
        <f>IF($A188="","",COUNTIF($A$2:$A188,$A188))</f>
        <v/>
      </c>
    </row>
    <row r="189" spans="1:22" x14ac:dyDescent="0.3">
      <c r="A189" s="42"/>
      <c r="B189" s="42"/>
      <c r="C189" s="36" t="str">
        <f>IF($A189="","",IFERROR(INDEX(SERVIZI!$B:$B,MATCH($B189,SERVIZI!$A:$A,0)),""))</f>
        <v/>
      </c>
      <c r="D189" s="42"/>
      <c r="E189" s="42"/>
      <c r="F189" s="42"/>
      <c r="G189" s="42"/>
      <c r="H189" s="44"/>
      <c r="I189" s="44"/>
      <c r="J189" s="35" t="str">
        <f t="shared" si="28"/>
        <v/>
      </c>
      <c r="K189" s="34" t="str">
        <f t="shared" si="29"/>
        <v/>
      </c>
      <c r="L189" s="42"/>
      <c r="M189" s="43"/>
      <c r="N189" s="43"/>
      <c r="O189" s="42"/>
      <c r="P189" s="44"/>
      <c r="Q189" s="34" t="str">
        <f t="shared" si="30"/>
        <v/>
      </c>
      <c r="R189" s="34" t="str">
        <f t="shared" si="31"/>
        <v/>
      </c>
      <c r="S189" s="36" t="str">
        <f t="shared" si="32"/>
        <v/>
      </c>
      <c r="T189" s="42"/>
      <c r="U189" s="51" t="str">
        <f t="shared" si="27"/>
        <v/>
      </c>
      <c r="V189" s="51" t="str">
        <f>IF($A189="","",COUNTIF($A$2:$A189,$A189))</f>
        <v/>
      </c>
    </row>
    <row r="190" spans="1:22" x14ac:dyDescent="0.3">
      <c r="A190" s="42"/>
      <c r="B190" s="42"/>
      <c r="C190" s="36" t="str">
        <f>IF($A190="","",IFERROR(INDEX(SERVIZI!$B:$B,MATCH($B190,SERVIZI!$A:$A,0)),""))</f>
        <v/>
      </c>
      <c r="D190" s="42"/>
      <c r="E190" s="42"/>
      <c r="F190" s="42"/>
      <c r="G190" s="42"/>
      <c r="H190" s="44"/>
      <c r="I190" s="44"/>
      <c r="J190" s="35" t="str">
        <f t="shared" si="28"/>
        <v/>
      </c>
      <c r="K190" s="34" t="str">
        <f t="shared" si="29"/>
        <v/>
      </c>
      <c r="L190" s="42"/>
      <c r="M190" s="43"/>
      <c r="N190" s="43"/>
      <c r="O190" s="42"/>
      <c r="P190" s="44"/>
      <c r="Q190" s="34" t="str">
        <f t="shared" si="30"/>
        <v/>
      </c>
      <c r="R190" s="34" t="str">
        <f t="shared" si="31"/>
        <v/>
      </c>
      <c r="S190" s="36" t="str">
        <f t="shared" si="32"/>
        <v/>
      </c>
      <c r="T190" s="42"/>
      <c r="U190" s="51" t="str">
        <f t="shared" si="27"/>
        <v/>
      </c>
      <c r="V190" s="51" t="str">
        <f>IF($A190="","",COUNTIF($A$2:$A190,$A190))</f>
        <v/>
      </c>
    </row>
    <row r="191" spans="1:22" x14ac:dyDescent="0.3">
      <c r="A191" s="42"/>
      <c r="B191" s="42"/>
      <c r="C191" s="36" t="str">
        <f>IF($A191="","",IFERROR(INDEX(SERVIZI!$B:$B,MATCH($B191,SERVIZI!$A:$A,0)),""))</f>
        <v/>
      </c>
      <c r="D191" s="42"/>
      <c r="E191" s="42"/>
      <c r="F191" s="42"/>
      <c r="G191" s="42"/>
      <c r="H191" s="44"/>
      <c r="I191" s="44"/>
      <c r="J191" s="35" t="str">
        <f t="shared" si="28"/>
        <v/>
      </c>
      <c r="K191" s="34" t="str">
        <f t="shared" si="29"/>
        <v/>
      </c>
      <c r="L191" s="42"/>
      <c r="M191" s="43"/>
      <c r="N191" s="43"/>
      <c r="O191" s="42"/>
      <c r="P191" s="44"/>
      <c r="Q191" s="34" t="str">
        <f t="shared" si="30"/>
        <v/>
      </c>
      <c r="R191" s="34" t="str">
        <f t="shared" si="31"/>
        <v/>
      </c>
      <c r="S191" s="36" t="str">
        <f t="shared" si="32"/>
        <v/>
      </c>
      <c r="T191" s="42"/>
      <c r="U191" s="51" t="str">
        <f t="shared" si="27"/>
        <v/>
      </c>
      <c r="V191" s="51" t="str">
        <f>IF($A191="","",COUNTIF($A$2:$A191,$A191))</f>
        <v/>
      </c>
    </row>
    <row r="192" spans="1:22" x14ac:dyDescent="0.3">
      <c r="A192" s="42"/>
      <c r="B192" s="42"/>
      <c r="C192" s="36" t="str">
        <f>IF($A192="","",IFERROR(INDEX(SERVIZI!$B:$B,MATCH($B192,SERVIZI!$A:$A,0)),""))</f>
        <v/>
      </c>
      <c r="D192" s="42"/>
      <c r="E192" s="42"/>
      <c r="F192" s="42"/>
      <c r="G192" s="42"/>
      <c r="H192" s="44"/>
      <c r="I192" s="44"/>
      <c r="J192" s="35" t="str">
        <f t="shared" si="28"/>
        <v/>
      </c>
      <c r="K192" s="34" t="str">
        <f t="shared" si="29"/>
        <v/>
      </c>
      <c r="L192" s="42"/>
      <c r="M192" s="43"/>
      <c r="N192" s="43"/>
      <c r="O192" s="42"/>
      <c r="P192" s="44"/>
      <c r="Q192" s="34" t="str">
        <f t="shared" si="30"/>
        <v/>
      </c>
      <c r="R192" s="34" t="str">
        <f t="shared" si="31"/>
        <v/>
      </c>
      <c r="S192" s="36" t="str">
        <f t="shared" si="32"/>
        <v/>
      </c>
      <c r="T192" s="42"/>
      <c r="U192" s="51" t="str">
        <f t="shared" si="27"/>
        <v/>
      </c>
      <c r="V192" s="51" t="str">
        <f>IF($A192="","",COUNTIF($A$2:$A192,$A192))</f>
        <v/>
      </c>
    </row>
    <row r="193" spans="1:22" x14ac:dyDescent="0.3">
      <c r="A193" s="42"/>
      <c r="B193" s="42"/>
      <c r="C193" s="36" t="str">
        <f>IF($A193="","",IFERROR(INDEX(SERVIZI!$B:$B,MATCH($B193,SERVIZI!$A:$A,0)),""))</f>
        <v/>
      </c>
      <c r="D193" s="42"/>
      <c r="E193" s="42"/>
      <c r="F193" s="42"/>
      <c r="G193" s="42"/>
      <c r="H193" s="44"/>
      <c r="I193" s="44"/>
      <c r="J193" s="35" t="str">
        <f t="shared" si="28"/>
        <v/>
      </c>
      <c r="K193" s="34" t="str">
        <f t="shared" si="29"/>
        <v/>
      </c>
      <c r="L193" s="42"/>
      <c r="M193" s="43"/>
      <c r="N193" s="43"/>
      <c r="O193" s="42"/>
      <c r="P193" s="44"/>
      <c r="Q193" s="34" t="str">
        <f t="shared" si="30"/>
        <v/>
      </c>
      <c r="R193" s="34" t="str">
        <f t="shared" si="31"/>
        <v/>
      </c>
      <c r="S193" s="36" t="str">
        <f t="shared" si="32"/>
        <v/>
      </c>
      <c r="T193" s="42"/>
      <c r="U193" s="51" t="str">
        <f t="shared" si="27"/>
        <v/>
      </c>
      <c r="V193" s="51" t="str">
        <f>IF($A193="","",COUNTIF($A$2:$A193,$A193))</f>
        <v/>
      </c>
    </row>
    <row r="194" spans="1:22" x14ac:dyDescent="0.3">
      <c r="A194" s="42"/>
      <c r="B194" s="42"/>
      <c r="C194" s="36" t="str">
        <f>IF($A194="","",IFERROR(INDEX(SERVIZI!$B:$B,MATCH($B194,SERVIZI!$A:$A,0)),""))</f>
        <v/>
      </c>
      <c r="D194" s="42"/>
      <c r="E194" s="42"/>
      <c r="F194" s="42"/>
      <c r="G194" s="42"/>
      <c r="H194" s="44"/>
      <c r="I194" s="44"/>
      <c r="J194" s="35" t="str">
        <f t="shared" ref="J194:J201" si="33">IF($A194="","",IFERROR(($I194-$H194)/$H194,0))</f>
        <v/>
      </c>
      <c r="K194" s="34" t="str">
        <f t="shared" ref="K194:K201" si="34">IF($A194="","",$I194-$H194)</f>
        <v/>
      </c>
      <c r="L194" s="42"/>
      <c r="M194" s="43"/>
      <c r="N194" s="43"/>
      <c r="O194" s="42"/>
      <c r="P194" s="44"/>
      <c r="Q194" s="34" t="str">
        <f t="shared" ref="Q194:Q201" si="35">IF($A194="","",$H194-$P194)</f>
        <v/>
      </c>
      <c r="R194" s="34" t="str">
        <f t="shared" ref="R194:R201" si="36">IF($A194="","",IF(OR($L194="Emesso",$L194="Prestazione erogata",$L194="Fatturato",$L194="Pagato"),$H194,0))</f>
        <v/>
      </c>
      <c r="S194" s="36" t="str">
        <f t="shared" ref="S194:S201" si="37">IF($A194="","",IF($H194&gt;SOGLIA_DIR,"Direzione",IF($H194&gt;SOGLIA_PM,"Project Manager","Autonomo")))</f>
        <v/>
      </c>
      <c r="T194" s="42"/>
      <c r="U194" s="51" t="str">
        <f t="shared" si="27"/>
        <v/>
      </c>
      <c r="V194" s="51" t="str">
        <f>IF($A194="","",COUNTIF($A$2:$A194,$A194))</f>
        <v/>
      </c>
    </row>
    <row r="195" spans="1:22" x14ac:dyDescent="0.3">
      <c r="A195" s="42"/>
      <c r="B195" s="42"/>
      <c r="C195" s="36" t="str">
        <f>IF($A195="","",IFERROR(INDEX(SERVIZI!$B:$B,MATCH($B195,SERVIZI!$A:$A,0)),""))</f>
        <v/>
      </c>
      <c r="D195" s="42"/>
      <c r="E195" s="42"/>
      <c r="F195" s="42"/>
      <c r="G195" s="42"/>
      <c r="H195" s="44"/>
      <c r="I195" s="44"/>
      <c r="J195" s="35" t="str">
        <f t="shared" si="33"/>
        <v/>
      </c>
      <c r="K195" s="34" t="str">
        <f t="shared" si="34"/>
        <v/>
      </c>
      <c r="L195" s="42"/>
      <c r="M195" s="43"/>
      <c r="N195" s="43"/>
      <c r="O195" s="42"/>
      <c r="P195" s="44"/>
      <c r="Q195" s="34" t="str">
        <f t="shared" si="35"/>
        <v/>
      </c>
      <c r="R195" s="34" t="str">
        <f t="shared" si="36"/>
        <v/>
      </c>
      <c r="S195" s="36" t="str">
        <f t="shared" si="37"/>
        <v/>
      </c>
      <c r="T195" s="42"/>
      <c r="U195" s="51" t="str">
        <f t="shared" ref="U195:U201" si="38">IF($A195="","",SUMIF($A:$A,$A195,$H:$H))</f>
        <v/>
      </c>
      <c r="V195" s="51" t="str">
        <f>IF($A195="","",COUNTIF($A$2:$A195,$A195))</f>
        <v/>
      </c>
    </row>
    <row r="196" spans="1:22" x14ac:dyDescent="0.3">
      <c r="A196" s="42"/>
      <c r="B196" s="42"/>
      <c r="C196" s="36" t="str">
        <f>IF($A196="","",IFERROR(INDEX(SERVIZI!$B:$B,MATCH($B196,SERVIZI!$A:$A,0)),""))</f>
        <v/>
      </c>
      <c r="D196" s="42"/>
      <c r="E196" s="42"/>
      <c r="F196" s="42"/>
      <c r="G196" s="42"/>
      <c r="H196" s="44"/>
      <c r="I196" s="44"/>
      <c r="J196" s="35" t="str">
        <f t="shared" si="33"/>
        <v/>
      </c>
      <c r="K196" s="34" t="str">
        <f t="shared" si="34"/>
        <v/>
      </c>
      <c r="L196" s="42"/>
      <c r="M196" s="43"/>
      <c r="N196" s="43"/>
      <c r="O196" s="42"/>
      <c r="P196" s="44"/>
      <c r="Q196" s="34" t="str">
        <f t="shared" si="35"/>
        <v/>
      </c>
      <c r="R196" s="34" t="str">
        <f t="shared" si="36"/>
        <v/>
      </c>
      <c r="S196" s="36" t="str">
        <f t="shared" si="37"/>
        <v/>
      </c>
      <c r="T196" s="42"/>
      <c r="U196" s="51" t="str">
        <f t="shared" si="38"/>
        <v/>
      </c>
      <c r="V196" s="51" t="str">
        <f>IF($A196="","",COUNTIF($A$2:$A196,$A196))</f>
        <v/>
      </c>
    </row>
    <row r="197" spans="1:22" x14ac:dyDescent="0.3">
      <c r="A197" s="42"/>
      <c r="B197" s="42"/>
      <c r="C197" s="36" t="str">
        <f>IF($A197="","",IFERROR(INDEX(SERVIZI!$B:$B,MATCH($B197,SERVIZI!$A:$A,0)),""))</f>
        <v/>
      </c>
      <c r="D197" s="42"/>
      <c r="E197" s="42"/>
      <c r="F197" s="42"/>
      <c r="G197" s="42"/>
      <c r="H197" s="44"/>
      <c r="I197" s="44"/>
      <c r="J197" s="35" t="str">
        <f t="shared" si="33"/>
        <v/>
      </c>
      <c r="K197" s="34" t="str">
        <f t="shared" si="34"/>
        <v/>
      </c>
      <c r="L197" s="42"/>
      <c r="M197" s="43"/>
      <c r="N197" s="43"/>
      <c r="O197" s="42"/>
      <c r="P197" s="44"/>
      <c r="Q197" s="34" t="str">
        <f t="shared" si="35"/>
        <v/>
      </c>
      <c r="R197" s="34" t="str">
        <f t="shared" si="36"/>
        <v/>
      </c>
      <c r="S197" s="36" t="str">
        <f t="shared" si="37"/>
        <v/>
      </c>
      <c r="T197" s="42"/>
      <c r="U197" s="51" t="str">
        <f t="shared" si="38"/>
        <v/>
      </c>
      <c r="V197" s="51" t="str">
        <f>IF($A197="","",COUNTIF($A$2:$A197,$A197))</f>
        <v/>
      </c>
    </row>
    <row r="198" spans="1:22" x14ac:dyDescent="0.3">
      <c r="A198" s="42"/>
      <c r="B198" s="42"/>
      <c r="C198" s="36" t="str">
        <f>IF($A198="","",IFERROR(INDEX(SERVIZI!$B:$B,MATCH($B198,SERVIZI!$A:$A,0)),""))</f>
        <v/>
      </c>
      <c r="D198" s="42"/>
      <c r="E198" s="42"/>
      <c r="F198" s="42"/>
      <c r="G198" s="42"/>
      <c r="H198" s="44"/>
      <c r="I198" s="44"/>
      <c r="J198" s="35" t="str">
        <f t="shared" si="33"/>
        <v/>
      </c>
      <c r="K198" s="34" t="str">
        <f t="shared" si="34"/>
        <v/>
      </c>
      <c r="L198" s="42"/>
      <c r="M198" s="43"/>
      <c r="N198" s="43"/>
      <c r="O198" s="42"/>
      <c r="P198" s="44"/>
      <c r="Q198" s="34" t="str">
        <f t="shared" si="35"/>
        <v/>
      </c>
      <c r="R198" s="34" t="str">
        <f t="shared" si="36"/>
        <v/>
      </c>
      <c r="S198" s="36" t="str">
        <f t="shared" si="37"/>
        <v/>
      </c>
      <c r="T198" s="42"/>
      <c r="U198" s="51" t="str">
        <f t="shared" si="38"/>
        <v/>
      </c>
      <c r="V198" s="51" t="str">
        <f>IF($A198="","",COUNTIF($A$2:$A198,$A198))</f>
        <v/>
      </c>
    </row>
    <row r="199" spans="1:22" x14ac:dyDescent="0.3">
      <c r="A199" s="42"/>
      <c r="B199" s="42"/>
      <c r="C199" s="36" t="str">
        <f>IF($A199="","",IFERROR(INDEX(SERVIZI!$B:$B,MATCH($B199,SERVIZI!$A:$A,0)),""))</f>
        <v/>
      </c>
      <c r="D199" s="42"/>
      <c r="E199" s="42"/>
      <c r="F199" s="42"/>
      <c r="G199" s="42"/>
      <c r="H199" s="44"/>
      <c r="I199" s="44"/>
      <c r="J199" s="35" t="str">
        <f t="shared" si="33"/>
        <v/>
      </c>
      <c r="K199" s="34" t="str">
        <f t="shared" si="34"/>
        <v/>
      </c>
      <c r="L199" s="42"/>
      <c r="M199" s="43"/>
      <c r="N199" s="43"/>
      <c r="O199" s="42"/>
      <c r="P199" s="44"/>
      <c r="Q199" s="34" t="str">
        <f t="shared" si="35"/>
        <v/>
      </c>
      <c r="R199" s="34" t="str">
        <f t="shared" si="36"/>
        <v/>
      </c>
      <c r="S199" s="36" t="str">
        <f t="shared" si="37"/>
        <v/>
      </c>
      <c r="T199" s="42"/>
      <c r="U199" s="51" t="str">
        <f t="shared" si="38"/>
        <v/>
      </c>
      <c r="V199" s="51" t="str">
        <f>IF($A199="","",COUNTIF($A$2:$A199,$A199))</f>
        <v/>
      </c>
    </row>
    <row r="200" spans="1:22" x14ac:dyDescent="0.3">
      <c r="A200" s="42"/>
      <c r="B200" s="42"/>
      <c r="C200" s="36" t="str">
        <f>IF($A200="","",IFERROR(INDEX(SERVIZI!$B:$B,MATCH($B200,SERVIZI!$A:$A,0)),""))</f>
        <v/>
      </c>
      <c r="D200" s="42"/>
      <c r="E200" s="42"/>
      <c r="F200" s="42"/>
      <c r="G200" s="42"/>
      <c r="H200" s="44"/>
      <c r="I200" s="44"/>
      <c r="J200" s="35" t="str">
        <f t="shared" si="33"/>
        <v/>
      </c>
      <c r="K200" s="34" t="str">
        <f t="shared" si="34"/>
        <v/>
      </c>
      <c r="L200" s="42"/>
      <c r="M200" s="43"/>
      <c r="N200" s="43"/>
      <c r="O200" s="42"/>
      <c r="P200" s="44"/>
      <c r="Q200" s="34" t="str">
        <f t="shared" si="35"/>
        <v/>
      </c>
      <c r="R200" s="34" t="str">
        <f t="shared" si="36"/>
        <v/>
      </c>
      <c r="S200" s="36" t="str">
        <f t="shared" si="37"/>
        <v/>
      </c>
      <c r="T200" s="42"/>
      <c r="U200" s="51" t="str">
        <f t="shared" si="38"/>
        <v/>
      </c>
      <c r="V200" s="51" t="str">
        <f>IF($A200="","",COUNTIF($A$2:$A200,$A200))</f>
        <v/>
      </c>
    </row>
    <row r="201" spans="1:22" x14ac:dyDescent="0.3">
      <c r="A201" s="42"/>
      <c r="B201" s="42"/>
      <c r="C201" s="36" t="str">
        <f>IF($A201="","",IFERROR(INDEX(SERVIZI!$B:$B,MATCH($B201,SERVIZI!$A:$A,0)),""))</f>
        <v/>
      </c>
      <c r="D201" s="42"/>
      <c r="E201" s="42"/>
      <c r="F201" s="42"/>
      <c r="G201" s="42"/>
      <c r="H201" s="44"/>
      <c r="I201" s="44"/>
      <c r="J201" s="35" t="str">
        <f t="shared" si="33"/>
        <v/>
      </c>
      <c r="K201" s="34" t="str">
        <f t="shared" si="34"/>
        <v/>
      </c>
      <c r="L201" s="42"/>
      <c r="M201" s="43"/>
      <c r="N201" s="43"/>
      <c r="O201" s="42"/>
      <c r="P201" s="44"/>
      <c r="Q201" s="34" t="str">
        <f t="shared" si="35"/>
        <v/>
      </c>
      <c r="R201" s="34" t="str">
        <f t="shared" si="36"/>
        <v/>
      </c>
      <c r="S201" s="36" t="str">
        <f t="shared" si="37"/>
        <v/>
      </c>
      <c r="T201" s="42"/>
      <c r="U201" s="51" t="str">
        <f t="shared" si="38"/>
        <v/>
      </c>
      <c r="V201" s="51" t="str">
        <f>IF($A201="","",COUNTIF($A$2:$A201,$A201))</f>
        <v/>
      </c>
    </row>
  </sheetData>
  <dataValidations count="3">
    <dataValidation type="list" allowBlank="1" sqref="E2:E201" xr:uid="{00000000-0002-0000-0900-000002000000}">
      <formula1>CATEGORIE</formula1>
    </dataValidation>
    <dataValidation type="list" allowBlank="1" sqref="L2:L201" xr:uid="{00000000-0002-0000-0900-000003000000}">
      <formula1>L_STATO_ODA</formula1>
    </dataValidation>
    <dataValidation type="list" allowBlank="1" sqref="O2:O201" xr:uid="{00000000-0002-0000-0900-000004000000}">
      <formula1>L_PERSONA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900-000000000000}">
          <x14:formula1>
            <xm:f>SERVIZI!$A$2:$A$201</xm:f>
          </x14:formula1>
          <x14:formula2>
            <xm:f>0</xm:f>
          </x14:formula2>
          <xm:sqref>B2:B201</xm:sqref>
        </x14:dataValidation>
        <x14:dataValidation type="list" allowBlank="1" xr:uid="{00000000-0002-0000-0900-000001000000}">
          <x14:formula1>
            <xm:f>FORNITORI!$B$2:$B$201</xm:f>
          </x14:formula1>
          <x14:formula2>
            <xm:f>0</xm:f>
          </x14:formula2>
          <xm:sqref>D2:D201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1">
    <tabColor rgb="FF7F7F7F"/>
  </sheetPr>
  <dimension ref="A1:K201"/>
  <sheetViews>
    <sheetView showGridLines="0" zoomScaleNormal="100" workbookViewId="0">
      <pane ySplit="1" topLeftCell="A2" activePane="bottomLeft" state="frozen"/>
      <selection pane="bottomLeft" activeCell="D2" sqref="D2"/>
    </sheetView>
  </sheetViews>
  <sheetFormatPr defaultColWidth="8.6640625" defaultRowHeight="14.4" x14ac:dyDescent="0.3"/>
  <cols>
    <col min="1" max="1" width="12" customWidth="1"/>
    <col min="2" max="3" width="17" customWidth="1"/>
    <col min="4" max="4" width="40" customWidth="1"/>
    <col min="5" max="5" width="22" customWidth="1"/>
    <col min="6" max="6" width="10" customWidth="1"/>
    <col min="7" max="8" width="14" customWidth="1"/>
    <col min="9" max="9" width="20" customWidth="1"/>
  </cols>
  <sheetData>
    <row r="1" spans="1:11" ht="36" customHeight="1" x14ac:dyDescent="0.3">
      <c r="A1" s="41" t="s">
        <v>428</v>
      </c>
      <c r="B1" s="41" t="s">
        <v>278</v>
      </c>
      <c r="C1" s="41" t="s">
        <v>304</v>
      </c>
      <c r="D1" s="41" t="s">
        <v>366</v>
      </c>
      <c r="E1" s="41" t="s">
        <v>185</v>
      </c>
      <c r="F1" s="41" t="s">
        <v>429</v>
      </c>
      <c r="G1" s="41" t="s">
        <v>349</v>
      </c>
      <c r="H1" s="41" t="s">
        <v>430</v>
      </c>
      <c r="I1" s="41" t="s">
        <v>431</v>
      </c>
      <c r="K1" s="2" t="s">
        <v>432</v>
      </c>
    </row>
    <row r="2" spans="1:11" x14ac:dyDescent="0.3">
      <c r="A2" s="42" t="s">
        <v>973</v>
      </c>
      <c r="B2" s="42" t="s">
        <v>937</v>
      </c>
      <c r="C2" s="36" t="str">
        <f>IF($A2="","",IFERROR(INDEX(SERVIZI!$B:$B,MATCH($B2,SERVIZI!$A:$A,0)),""))</f>
        <v>26-017</v>
      </c>
      <c r="D2" s="42"/>
      <c r="E2" s="42" t="s">
        <v>916</v>
      </c>
      <c r="F2" s="48">
        <v>72</v>
      </c>
      <c r="G2" s="47">
        <f>IF($A2="","",IFERROR(INDEX(TEAM!$C:$C,MATCH($E2,TEAM!$A:$A,0)),0))</f>
        <v>38</v>
      </c>
      <c r="H2" s="34">
        <f t="shared" ref="H2:H33" si="0">IF($A2="","",$F2*$G2)</f>
        <v>2736</v>
      </c>
      <c r="I2" s="42" t="s">
        <v>974</v>
      </c>
      <c r="K2" s="2" t="s">
        <v>433</v>
      </c>
    </row>
    <row r="3" spans="1:11" x14ac:dyDescent="0.3">
      <c r="A3" s="42" t="s">
        <v>973</v>
      </c>
      <c r="B3" s="42" t="s">
        <v>951</v>
      </c>
      <c r="C3" s="36" t="str">
        <f>IF($A3="","",IFERROR(INDEX(SERVIZI!$B:$B,MATCH($B3,SERVIZI!$A:$A,0)),""))</f>
        <v>26-017</v>
      </c>
      <c r="D3" s="42"/>
      <c r="E3" s="42" t="s">
        <v>915</v>
      </c>
      <c r="F3" s="48">
        <v>54</v>
      </c>
      <c r="G3" s="47">
        <f>IF($A3="","",IFERROR(INDEX(TEAM!$C:$C,MATCH($E3,TEAM!$A:$A,0)),0))</f>
        <v>38</v>
      </c>
      <c r="H3" s="34">
        <f t="shared" si="0"/>
        <v>2052</v>
      </c>
      <c r="I3" s="42" t="s">
        <v>974</v>
      </c>
    </row>
    <row r="4" spans="1:11" x14ac:dyDescent="0.3">
      <c r="A4" s="42"/>
      <c r="B4" s="42"/>
      <c r="C4" s="36" t="str">
        <f>IF($A4="","",IFERROR(INDEX(SERVIZI!$B:$B,MATCH($B4,SERVIZI!$A:$A,0)),""))</f>
        <v/>
      </c>
      <c r="D4" s="42"/>
      <c r="E4" s="42"/>
      <c r="F4" s="48"/>
      <c r="G4" s="47" t="str">
        <f>IF($A4="","",IFERROR(INDEX(TEAM!$C:$C,MATCH($E4,TEAM!$A:$A,0)),0))</f>
        <v/>
      </c>
      <c r="H4" s="34" t="str">
        <f t="shared" si="0"/>
        <v/>
      </c>
      <c r="I4" s="42"/>
    </row>
    <row r="5" spans="1:11" x14ac:dyDescent="0.3">
      <c r="A5" s="42"/>
      <c r="B5" s="42"/>
      <c r="C5" s="36" t="str">
        <f>IF($A5="","",IFERROR(INDEX(SERVIZI!$B:$B,MATCH($B5,SERVIZI!$A:$A,0)),""))</f>
        <v/>
      </c>
      <c r="D5" s="42"/>
      <c r="E5" s="42"/>
      <c r="F5" s="48"/>
      <c r="G5" s="47" t="str">
        <f>IF($A5="","",IFERROR(INDEX(TEAM!$C:$C,MATCH($E5,TEAM!$A:$A,0)),0))</f>
        <v/>
      </c>
      <c r="H5" s="34" t="str">
        <f t="shared" si="0"/>
        <v/>
      </c>
      <c r="I5" s="42"/>
    </row>
    <row r="6" spans="1:11" x14ac:dyDescent="0.3">
      <c r="A6" s="42"/>
      <c r="B6" s="42"/>
      <c r="C6" s="36" t="str">
        <f>IF($A6="","",IFERROR(INDEX(SERVIZI!$B:$B,MATCH($B6,SERVIZI!$A:$A,0)),""))</f>
        <v/>
      </c>
      <c r="D6" s="42"/>
      <c r="E6" s="42"/>
      <c r="F6" s="48"/>
      <c r="G6" s="47" t="str">
        <f>IF($A6="","",IFERROR(INDEX(TEAM!$C:$C,MATCH($E6,TEAM!$A:$A,0)),0))</f>
        <v/>
      </c>
      <c r="H6" s="34" t="str">
        <f t="shared" si="0"/>
        <v/>
      </c>
      <c r="I6" s="42"/>
    </row>
    <row r="7" spans="1:11" x14ac:dyDescent="0.3">
      <c r="A7" s="42"/>
      <c r="B7" s="42"/>
      <c r="C7" s="36" t="str">
        <f>IF($A7="","",IFERROR(INDEX(SERVIZI!$B:$B,MATCH($B7,SERVIZI!$A:$A,0)),""))</f>
        <v/>
      </c>
      <c r="D7" s="42"/>
      <c r="E7" s="42"/>
      <c r="F7" s="48"/>
      <c r="G7" s="47" t="str">
        <f>IF($A7="","",IFERROR(INDEX(TEAM!$C:$C,MATCH($E7,TEAM!$A:$A,0)),0))</f>
        <v/>
      </c>
      <c r="H7" s="34" t="str">
        <f t="shared" si="0"/>
        <v/>
      </c>
      <c r="I7" s="42"/>
    </row>
    <row r="8" spans="1:11" x14ac:dyDescent="0.3">
      <c r="A8" s="42"/>
      <c r="B8" s="42"/>
      <c r="C8" s="36" t="str">
        <f>IF($A8="","",IFERROR(INDEX(SERVIZI!$B:$B,MATCH($B8,SERVIZI!$A:$A,0)),""))</f>
        <v/>
      </c>
      <c r="D8" s="42"/>
      <c r="E8" s="42"/>
      <c r="F8" s="48"/>
      <c r="G8" s="47" t="str">
        <f>IF($A8="","",IFERROR(INDEX(TEAM!$C:$C,MATCH($E8,TEAM!$A:$A,0)),0))</f>
        <v/>
      </c>
      <c r="H8" s="34" t="str">
        <f t="shared" si="0"/>
        <v/>
      </c>
      <c r="I8" s="42"/>
    </row>
    <row r="9" spans="1:11" x14ac:dyDescent="0.3">
      <c r="A9" s="42"/>
      <c r="B9" s="42"/>
      <c r="C9" s="36" t="str">
        <f>IF($A9="","",IFERROR(INDEX(SERVIZI!$B:$B,MATCH($B9,SERVIZI!$A:$A,0)),""))</f>
        <v/>
      </c>
      <c r="D9" s="42"/>
      <c r="E9" s="42"/>
      <c r="F9" s="48"/>
      <c r="G9" s="47" t="str">
        <f>IF($A9="","",IFERROR(INDEX(TEAM!$C:$C,MATCH($E9,TEAM!$A:$A,0)),0))</f>
        <v/>
      </c>
      <c r="H9" s="34" t="str">
        <f t="shared" si="0"/>
        <v/>
      </c>
      <c r="I9" s="42"/>
    </row>
    <row r="10" spans="1:11" x14ac:dyDescent="0.3">
      <c r="A10" s="42"/>
      <c r="B10" s="42"/>
      <c r="C10" s="36" t="str">
        <f>IF($A10="","",IFERROR(INDEX(SERVIZI!$B:$B,MATCH($B10,SERVIZI!$A:$A,0)),""))</f>
        <v/>
      </c>
      <c r="D10" s="42"/>
      <c r="E10" s="42"/>
      <c r="F10" s="48"/>
      <c r="G10" s="47" t="str">
        <f>IF($A10="","",IFERROR(INDEX(TEAM!$C:$C,MATCH($E10,TEAM!$A:$A,0)),0))</f>
        <v/>
      </c>
      <c r="H10" s="34" t="str">
        <f t="shared" si="0"/>
        <v/>
      </c>
      <c r="I10" s="42"/>
    </row>
    <row r="11" spans="1:11" x14ac:dyDescent="0.3">
      <c r="A11" s="42"/>
      <c r="B11" s="42"/>
      <c r="C11" s="36" t="str">
        <f>IF($A11="","",IFERROR(INDEX(SERVIZI!$B:$B,MATCH($B11,SERVIZI!$A:$A,0)),""))</f>
        <v/>
      </c>
      <c r="D11" s="42"/>
      <c r="E11" s="42"/>
      <c r="F11" s="48"/>
      <c r="G11" s="47" t="str">
        <f>IF($A11="","",IFERROR(INDEX(TEAM!$C:$C,MATCH($E11,TEAM!$A:$A,0)),0))</f>
        <v/>
      </c>
      <c r="H11" s="34" t="str">
        <f t="shared" si="0"/>
        <v/>
      </c>
      <c r="I11" s="42"/>
    </row>
    <row r="12" spans="1:11" x14ac:dyDescent="0.3">
      <c r="A12" s="42"/>
      <c r="B12" s="42"/>
      <c r="C12" s="36" t="str">
        <f>IF($A12="","",IFERROR(INDEX(SERVIZI!$B:$B,MATCH($B12,SERVIZI!$A:$A,0)),""))</f>
        <v/>
      </c>
      <c r="D12" s="42"/>
      <c r="E12" s="42"/>
      <c r="F12" s="48"/>
      <c r="G12" s="47" t="str">
        <f>IF($A12="","",IFERROR(INDEX(TEAM!$C:$C,MATCH($E12,TEAM!$A:$A,0)),0))</f>
        <v/>
      </c>
      <c r="H12" s="34" t="str">
        <f t="shared" si="0"/>
        <v/>
      </c>
      <c r="I12" s="42"/>
    </row>
    <row r="13" spans="1:11" x14ac:dyDescent="0.3">
      <c r="A13" s="42"/>
      <c r="B13" s="42"/>
      <c r="C13" s="36" t="str">
        <f>IF($A13="","",IFERROR(INDEX(SERVIZI!$B:$B,MATCH($B13,SERVIZI!$A:$A,0)),""))</f>
        <v/>
      </c>
      <c r="D13" s="42"/>
      <c r="E13" s="42"/>
      <c r="F13" s="48"/>
      <c r="G13" s="47" t="str">
        <f>IF($A13="","",IFERROR(INDEX(TEAM!$C:$C,MATCH($E13,TEAM!$A:$A,0)),0))</f>
        <v/>
      </c>
      <c r="H13" s="34" t="str">
        <f t="shared" si="0"/>
        <v/>
      </c>
      <c r="I13" s="42"/>
    </row>
    <row r="14" spans="1:11" x14ac:dyDescent="0.3">
      <c r="A14" s="42"/>
      <c r="B14" s="42"/>
      <c r="C14" s="36" t="str">
        <f>IF($A14="","",IFERROR(INDEX(SERVIZI!$B:$B,MATCH($B14,SERVIZI!$A:$A,0)),""))</f>
        <v/>
      </c>
      <c r="D14" s="42"/>
      <c r="E14" s="42"/>
      <c r="F14" s="48"/>
      <c r="G14" s="47" t="str">
        <f>IF($A14="","",IFERROR(INDEX(TEAM!$C:$C,MATCH($E14,TEAM!$A:$A,0)),0))</f>
        <v/>
      </c>
      <c r="H14" s="34" t="str">
        <f t="shared" si="0"/>
        <v/>
      </c>
      <c r="I14" s="42"/>
    </row>
    <row r="15" spans="1:11" x14ac:dyDescent="0.3">
      <c r="A15" s="42"/>
      <c r="B15" s="42"/>
      <c r="C15" s="36" t="str">
        <f>IF($A15="","",IFERROR(INDEX(SERVIZI!$B:$B,MATCH($B15,SERVIZI!$A:$A,0)),""))</f>
        <v/>
      </c>
      <c r="D15" s="42"/>
      <c r="E15" s="42"/>
      <c r="F15" s="48"/>
      <c r="G15" s="47" t="str">
        <f>IF($A15="","",IFERROR(INDEX(TEAM!$C:$C,MATCH($E15,TEAM!$A:$A,0)),0))</f>
        <v/>
      </c>
      <c r="H15" s="34" t="str">
        <f t="shared" si="0"/>
        <v/>
      </c>
      <c r="I15" s="42"/>
    </row>
    <row r="16" spans="1:11" x14ac:dyDescent="0.3">
      <c r="A16" s="42"/>
      <c r="B16" s="42"/>
      <c r="C16" s="36" t="str">
        <f>IF($A16="","",IFERROR(INDEX(SERVIZI!$B:$B,MATCH($B16,SERVIZI!$A:$A,0)),""))</f>
        <v/>
      </c>
      <c r="D16" s="42"/>
      <c r="E16" s="42"/>
      <c r="F16" s="48"/>
      <c r="G16" s="47" t="str">
        <f>IF($A16="","",IFERROR(INDEX(TEAM!$C:$C,MATCH($E16,TEAM!$A:$A,0)),0))</f>
        <v/>
      </c>
      <c r="H16" s="34" t="str">
        <f t="shared" si="0"/>
        <v/>
      </c>
      <c r="I16" s="42"/>
    </row>
    <row r="17" spans="1:9" x14ac:dyDescent="0.3">
      <c r="A17" s="42"/>
      <c r="B17" s="42"/>
      <c r="C17" s="36" t="str">
        <f>IF($A17="","",IFERROR(INDEX(SERVIZI!$B:$B,MATCH($B17,SERVIZI!$A:$A,0)),""))</f>
        <v/>
      </c>
      <c r="D17" s="42"/>
      <c r="E17" s="42"/>
      <c r="F17" s="48"/>
      <c r="G17" s="47" t="str">
        <f>IF($A17="","",IFERROR(INDEX(TEAM!$C:$C,MATCH($E17,TEAM!$A:$A,0)),0))</f>
        <v/>
      </c>
      <c r="H17" s="34" t="str">
        <f t="shared" si="0"/>
        <v/>
      </c>
      <c r="I17" s="42"/>
    </row>
    <row r="18" spans="1:9" x14ac:dyDescent="0.3">
      <c r="A18" s="42"/>
      <c r="B18" s="42"/>
      <c r="C18" s="36" t="str">
        <f>IF($A18="","",IFERROR(INDEX(SERVIZI!$B:$B,MATCH($B18,SERVIZI!$A:$A,0)),""))</f>
        <v/>
      </c>
      <c r="D18" s="42"/>
      <c r="E18" s="42"/>
      <c r="F18" s="48"/>
      <c r="G18" s="47" t="str">
        <f>IF($A18="","",IFERROR(INDEX(TEAM!$C:$C,MATCH($E18,TEAM!$A:$A,0)),0))</f>
        <v/>
      </c>
      <c r="H18" s="34" t="str">
        <f t="shared" si="0"/>
        <v/>
      </c>
      <c r="I18" s="42"/>
    </row>
    <row r="19" spans="1:9" x14ac:dyDescent="0.3">
      <c r="A19" s="42"/>
      <c r="B19" s="42"/>
      <c r="C19" s="36" t="str">
        <f>IF($A19="","",IFERROR(INDEX(SERVIZI!$B:$B,MATCH($B19,SERVIZI!$A:$A,0)),""))</f>
        <v/>
      </c>
      <c r="D19" s="42"/>
      <c r="E19" s="42"/>
      <c r="F19" s="48"/>
      <c r="G19" s="47" t="str">
        <f>IF($A19="","",IFERROR(INDEX(TEAM!$C:$C,MATCH($E19,TEAM!$A:$A,0)),0))</f>
        <v/>
      </c>
      <c r="H19" s="34" t="str">
        <f t="shared" si="0"/>
        <v/>
      </c>
      <c r="I19" s="42"/>
    </row>
    <row r="20" spans="1:9" x14ac:dyDescent="0.3">
      <c r="A20" s="42"/>
      <c r="B20" s="42"/>
      <c r="C20" s="36" t="str">
        <f>IF($A20="","",IFERROR(INDEX(SERVIZI!$B:$B,MATCH($B20,SERVIZI!$A:$A,0)),""))</f>
        <v/>
      </c>
      <c r="D20" s="42"/>
      <c r="E20" s="42"/>
      <c r="F20" s="48"/>
      <c r="G20" s="47" t="str">
        <f>IF($A20="","",IFERROR(INDEX(TEAM!$C:$C,MATCH($E20,TEAM!$A:$A,0)),0))</f>
        <v/>
      </c>
      <c r="H20" s="34" t="str">
        <f t="shared" si="0"/>
        <v/>
      </c>
      <c r="I20" s="42"/>
    </row>
    <row r="21" spans="1:9" x14ac:dyDescent="0.3">
      <c r="A21" s="42"/>
      <c r="B21" s="42"/>
      <c r="C21" s="36" t="str">
        <f>IF($A21="","",IFERROR(INDEX(SERVIZI!$B:$B,MATCH($B21,SERVIZI!$A:$A,0)),""))</f>
        <v/>
      </c>
      <c r="D21" s="42"/>
      <c r="E21" s="42"/>
      <c r="F21" s="48"/>
      <c r="G21" s="47" t="str">
        <f>IF($A21="","",IFERROR(INDEX(TEAM!$C:$C,MATCH($E21,TEAM!$A:$A,0)),0))</f>
        <v/>
      </c>
      <c r="H21" s="34" t="str">
        <f t="shared" si="0"/>
        <v/>
      </c>
      <c r="I21" s="42"/>
    </row>
    <row r="22" spans="1:9" x14ac:dyDescent="0.3">
      <c r="A22" s="42"/>
      <c r="B22" s="42"/>
      <c r="C22" s="36" t="str">
        <f>IF($A22="","",IFERROR(INDEX(SERVIZI!$B:$B,MATCH($B22,SERVIZI!$A:$A,0)),""))</f>
        <v/>
      </c>
      <c r="D22" s="42"/>
      <c r="E22" s="42"/>
      <c r="F22" s="48"/>
      <c r="G22" s="47" t="str">
        <f>IF($A22="","",IFERROR(INDEX(TEAM!$C:$C,MATCH($E22,TEAM!$A:$A,0)),0))</f>
        <v/>
      </c>
      <c r="H22" s="34" t="str">
        <f t="shared" si="0"/>
        <v/>
      </c>
      <c r="I22" s="42"/>
    </row>
    <row r="23" spans="1:9" x14ac:dyDescent="0.3">
      <c r="A23" s="42"/>
      <c r="B23" s="42"/>
      <c r="C23" s="36" t="str">
        <f>IF($A23="","",IFERROR(INDEX(SERVIZI!$B:$B,MATCH($B23,SERVIZI!$A:$A,0)),""))</f>
        <v/>
      </c>
      <c r="D23" s="42"/>
      <c r="E23" s="42"/>
      <c r="F23" s="48"/>
      <c r="G23" s="47" t="str">
        <f>IF($A23="","",IFERROR(INDEX(TEAM!$C:$C,MATCH($E23,TEAM!$A:$A,0)),0))</f>
        <v/>
      </c>
      <c r="H23" s="34" t="str">
        <f t="shared" si="0"/>
        <v/>
      </c>
      <c r="I23" s="42"/>
    </row>
    <row r="24" spans="1:9" x14ac:dyDescent="0.3">
      <c r="A24" s="42"/>
      <c r="B24" s="42"/>
      <c r="C24" s="36" t="str">
        <f>IF($A24="","",IFERROR(INDEX(SERVIZI!$B:$B,MATCH($B24,SERVIZI!$A:$A,0)),""))</f>
        <v/>
      </c>
      <c r="D24" s="42"/>
      <c r="E24" s="42"/>
      <c r="F24" s="48"/>
      <c r="G24" s="47" t="str">
        <f>IF($A24="","",IFERROR(INDEX(TEAM!$C:$C,MATCH($E24,TEAM!$A:$A,0)),0))</f>
        <v/>
      </c>
      <c r="H24" s="34" t="str">
        <f t="shared" si="0"/>
        <v/>
      </c>
      <c r="I24" s="42"/>
    </row>
    <row r="25" spans="1:9" x14ac:dyDescent="0.3">
      <c r="A25" s="42"/>
      <c r="B25" s="42"/>
      <c r="C25" s="36" t="str">
        <f>IF($A25="","",IFERROR(INDEX(SERVIZI!$B:$B,MATCH($B25,SERVIZI!$A:$A,0)),""))</f>
        <v/>
      </c>
      <c r="D25" s="42"/>
      <c r="E25" s="42"/>
      <c r="F25" s="48"/>
      <c r="G25" s="47" t="str">
        <f>IF($A25="","",IFERROR(INDEX(TEAM!$C:$C,MATCH($E25,TEAM!$A:$A,0)),0))</f>
        <v/>
      </c>
      <c r="H25" s="34" t="str">
        <f t="shared" si="0"/>
        <v/>
      </c>
      <c r="I25" s="42"/>
    </row>
    <row r="26" spans="1:9" x14ac:dyDescent="0.3">
      <c r="A26" s="42"/>
      <c r="B26" s="42"/>
      <c r="C26" s="36" t="str">
        <f>IF($A26="","",IFERROR(INDEX(SERVIZI!$B:$B,MATCH($B26,SERVIZI!$A:$A,0)),""))</f>
        <v/>
      </c>
      <c r="D26" s="42"/>
      <c r="E26" s="42"/>
      <c r="F26" s="48"/>
      <c r="G26" s="47" t="str">
        <f>IF($A26="","",IFERROR(INDEX(TEAM!$C:$C,MATCH($E26,TEAM!$A:$A,0)),0))</f>
        <v/>
      </c>
      <c r="H26" s="34" t="str">
        <f t="shared" si="0"/>
        <v/>
      </c>
      <c r="I26" s="42"/>
    </row>
    <row r="27" spans="1:9" x14ac:dyDescent="0.3">
      <c r="A27" s="42"/>
      <c r="B27" s="42"/>
      <c r="C27" s="36" t="str">
        <f>IF($A27="","",IFERROR(INDEX(SERVIZI!$B:$B,MATCH($B27,SERVIZI!$A:$A,0)),""))</f>
        <v/>
      </c>
      <c r="D27" s="42"/>
      <c r="E27" s="42"/>
      <c r="F27" s="48"/>
      <c r="G27" s="47" t="str">
        <f>IF($A27="","",IFERROR(INDEX(TEAM!$C:$C,MATCH($E27,TEAM!$A:$A,0)),0))</f>
        <v/>
      </c>
      <c r="H27" s="34" t="str">
        <f t="shared" si="0"/>
        <v/>
      </c>
      <c r="I27" s="42"/>
    </row>
    <row r="28" spans="1:9" x14ac:dyDescent="0.3">
      <c r="A28" s="42"/>
      <c r="B28" s="42"/>
      <c r="C28" s="36" t="str">
        <f>IF($A28="","",IFERROR(INDEX(SERVIZI!$B:$B,MATCH($B28,SERVIZI!$A:$A,0)),""))</f>
        <v/>
      </c>
      <c r="D28" s="42"/>
      <c r="E28" s="42"/>
      <c r="F28" s="48"/>
      <c r="G28" s="47" t="str">
        <f>IF($A28="","",IFERROR(INDEX(TEAM!$C:$C,MATCH($E28,TEAM!$A:$A,0)),0))</f>
        <v/>
      </c>
      <c r="H28" s="34" t="str">
        <f t="shared" si="0"/>
        <v/>
      </c>
      <c r="I28" s="42"/>
    </row>
    <row r="29" spans="1:9" x14ac:dyDescent="0.3">
      <c r="A29" s="42"/>
      <c r="B29" s="42"/>
      <c r="C29" s="36" t="str">
        <f>IF($A29="","",IFERROR(INDEX(SERVIZI!$B:$B,MATCH($B29,SERVIZI!$A:$A,0)),""))</f>
        <v/>
      </c>
      <c r="D29" s="42"/>
      <c r="E29" s="42"/>
      <c r="F29" s="48"/>
      <c r="G29" s="47" t="str">
        <f>IF($A29="","",IFERROR(INDEX(TEAM!$C:$C,MATCH($E29,TEAM!$A:$A,0)),0))</f>
        <v/>
      </c>
      <c r="H29" s="34" t="str">
        <f t="shared" si="0"/>
        <v/>
      </c>
      <c r="I29" s="42"/>
    </row>
    <row r="30" spans="1:9" x14ac:dyDescent="0.3">
      <c r="A30" s="42"/>
      <c r="B30" s="42"/>
      <c r="C30" s="36" t="str">
        <f>IF($A30="","",IFERROR(INDEX(SERVIZI!$B:$B,MATCH($B30,SERVIZI!$A:$A,0)),""))</f>
        <v/>
      </c>
      <c r="D30" s="42"/>
      <c r="E30" s="42"/>
      <c r="F30" s="48"/>
      <c r="G30" s="47" t="str">
        <f>IF($A30="","",IFERROR(INDEX(TEAM!$C:$C,MATCH($E30,TEAM!$A:$A,0)),0))</f>
        <v/>
      </c>
      <c r="H30" s="34" t="str">
        <f t="shared" si="0"/>
        <v/>
      </c>
      <c r="I30" s="42"/>
    </row>
    <row r="31" spans="1:9" x14ac:dyDescent="0.3">
      <c r="A31" s="42"/>
      <c r="B31" s="42"/>
      <c r="C31" s="36" t="str">
        <f>IF($A31="","",IFERROR(INDEX(SERVIZI!$B:$B,MATCH($B31,SERVIZI!$A:$A,0)),""))</f>
        <v/>
      </c>
      <c r="D31" s="42"/>
      <c r="E31" s="42"/>
      <c r="F31" s="48"/>
      <c r="G31" s="47" t="str">
        <f>IF($A31="","",IFERROR(INDEX(TEAM!$C:$C,MATCH($E31,TEAM!$A:$A,0)),0))</f>
        <v/>
      </c>
      <c r="H31" s="34" t="str">
        <f t="shared" si="0"/>
        <v/>
      </c>
      <c r="I31" s="42"/>
    </row>
    <row r="32" spans="1:9" x14ac:dyDescent="0.3">
      <c r="A32" s="42"/>
      <c r="B32" s="42"/>
      <c r="C32" s="36" t="str">
        <f>IF($A32="","",IFERROR(INDEX(SERVIZI!$B:$B,MATCH($B32,SERVIZI!$A:$A,0)),""))</f>
        <v/>
      </c>
      <c r="D32" s="42"/>
      <c r="E32" s="42"/>
      <c r="F32" s="48"/>
      <c r="G32" s="47" t="str">
        <f>IF($A32="","",IFERROR(INDEX(TEAM!$C:$C,MATCH($E32,TEAM!$A:$A,0)),0))</f>
        <v/>
      </c>
      <c r="H32" s="34" t="str">
        <f t="shared" si="0"/>
        <v/>
      </c>
      <c r="I32" s="42"/>
    </row>
    <row r="33" spans="1:9" x14ac:dyDescent="0.3">
      <c r="A33" s="42"/>
      <c r="B33" s="42"/>
      <c r="C33" s="36" t="str">
        <f>IF($A33="","",IFERROR(INDEX(SERVIZI!$B:$B,MATCH($B33,SERVIZI!$A:$A,0)),""))</f>
        <v/>
      </c>
      <c r="D33" s="42"/>
      <c r="E33" s="42"/>
      <c r="F33" s="48"/>
      <c r="G33" s="47" t="str">
        <f>IF($A33="","",IFERROR(INDEX(TEAM!$C:$C,MATCH($E33,TEAM!$A:$A,0)),0))</f>
        <v/>
      </c>
      <c r="H33" s="34" t="str">
        <f t="shared" si="0"/>
        <v/>
      </c>
      <c r="I33" s="42"/>
    </row>
    <row r="34" spans="1:9" x14ac:dyDescent="0.3">
      <c r="A34" s="42"/>
      <c r="B34" s="42"/>
      <c r="C34" s="36" t="str">
        <f>IF($A34="","",IFERROR(INDEX(SERVIZI!$B:$B,MATCH($B34,SERVIZI!$A:$A,0)),""))</f>
        <v/>
      </c>
      <c r="D34" s="42"/>
      <c r="E34" s="42"/>
      <c r="F34" s="48"/>
      <c r="G34" s="47" t="str">
        <f>IF($A34="","",IFERROR(INDEX(TEAM!$C:$C,MATCH($E34,TEAM!$A:$A,0)),0))</f>
        <v/>
      </c>
      <c r="H34" s="34" t="str">
        <f t="shared" ref="H34:H65" si="1">IF($A34="","",$F34*$G34)</f>
        <v/>
      </c>
      <c r="I34" s="42"/>
    </row>
    <row r="35" spans="1:9" x14ac:dyDescent="0.3">
      <c r="A35" s="42"/>
      <c r="B35" s="42"/>
      <c r="C35" s="36" t="str">
        <f>IF($A35="","",IFERROR(INDEX(SERVIZI!$B:$B,MATCH($B35,SERVIZI!$A:$A,0)),""))</f>
        <v/>
      </c>
      <c r="D35" s="42"/>
      <c r="E35" s="42"/>
      <c r="F35" s="48"/>
      <c r="G35" s="47" t="str">
        <f>IF($A35="","",IFERROR(INDEX(TEAM!$C:$C,MATCH($E35,TEAM!$A:$A,0)),0))</f>
        <v/>
      </c>
      <c r="H35" s="34" t="str">
        <f t="shared" si="1"/>
        <v/>
      </c>
      <c r="I35" s="42"/>
    </row>
    <row r="36" spans="1:9" x14ac:dyDescent="0.3">
      <c r="A36" s="42"/>
      <c r="B36" s="42"/>
      <c r="C36" s="36" t="str">
        <f>IF($A36="","",IFERROR(INDEX(SERVIZI!$B:$B,MATCH($B36,SERVIZI!$A:$A,0)),""))</f>
        <v/>
      </c>
      <c r="D36" s="42"/>
      <c r="E36" s="42"/>
      <c r="F36" s="48"/>
      <c r="G36" s="47" t="str">
        <f>IF($A36="","",IFERROR(INDEX(TEAM!$C:$C,MATCH($E36,TEAM!$A:$A,0)),0))</f>
        <v/>
      </c>
      <c r="H36" s="34" t="str">
        <f t="shared" si="1"/>
        <v/>
      </c>
      <c r="I36" s="42"/>
    </row>
    <row r="37" spans="1:9" x14ac:dyDescent="0.3">
      <c r="A37" s="42"/>
      <c r="B37" s="42"/>
      <c r="C37" s="36" t="str">
        <f>IF($A37="","",IFERROR(INDEX(SERVIZI!$B:$B,MATCH($B37,SERVIZI!$A:$A,0)),""))</f>
        <v/>
      </c>
      <c r="D37" s="42"/>
      <c r="E37" s="42"/>
      <c r="F37" s="48"/>
      <c r="G37" s="47" t="str">
        <f>IF($A37="","",IFERROR(INDEX(TEAM!$C:$C,MATCH($E37,TEAM!$A:$A,0)),0))</f>
        <v/>
      </c>
      <c r="H37" s="34" t="str">
        <f t="shared" si="1"/>
        <v/>
      </c>
      <c r="I37" s="42"/>
    </row>
    <row r="38" spans="1:9" x14ac:dyDescent="0.3">
      <c r="A38" s="42"/>
      <c r="B38" s="42"/>
      <c r="C38" s="36" t="str">
        <f>IF($A38="","",IFERROR(INDEX(SERVIZI!$B:$B,MATCH($B38,SERVIZI!$A:$A,0)),""))</f>
        <v/>
      </c>
      <c r="D38" s="42"/>
      <c r="E38" s="42"/>
      <c r="F38" s="48"/>
      <c r="G38" s="47" t="str">
        <f>IF($A38="","",IFERROR(INDEX(TEAM!$C:$C,MATCH($E38,TEAM!$A:$A,0)),0))</f>
        <v/>
      </c>
      <c r="H38" s="34" t="str">
        <f t="shared" si="1"/>
        <v/>
      </c>
      <c r="I38" s="42"/>
    </row>
    <row r="39" spans="1:9" x14ac:dyDescent="0.3">
      <c r="A39" s="42"/>
      <c r="B39" s="42"/>
      <c r="C39" s="36" t="str">
        <f>IF($A39="","",IFERROR(INDEX(SERVIZI!$B:$B,MATCH($B39,SERVIZI!$A:$A,0)),""))</f>
        <v/>
      </c>
      <c r="D39" s="42"/>
      <c r="E39" s="42"/>
      <c r="F39" s="48"/>
      <c r="G39" s="47" t="str">
        <f>IF($A39="","",IFERROR(INDEX(TEAM!$C:$C,MATCH($E39,TEAM!$A:$A,0)),0))</f>
        <v/>
      </c>
      <c r="H39" s="34" t="str">
        <f t="shared" si="1"/>
        <v/>
      </c>
      <c r="I39" s="42"/>
    </row>
    <row r="40" spans="1:9" x14ac:dyDescent="0.3">
      <c r="A40" s="42"/>
      <c r="B40" s="42"/>
      <c r="C40" s="36" t="str">
        <f>IF($A40="","",IFERROR(INDEX(SERVIZI!$B:$B,MATCH($B40,SERVIZI!$A:$A,0)),""))</f>
        <v/>
      </c>
      <c r="D40" s="42"/>
      <c r="E40" s="42"/>
      <c r="F40" s="48"/>
      <c r="G40" s="47" t="str">
        <f>IF($A40="","",IFERROR(INDEX(TEAM!$C:$C,MATCH($E40,TEAM!$A:$A,0)),0))</f>
        <v/>
      </c>
      <c r="H40" s="34" t="str">
        <f t="shared" si="1"/>
        <v/>
      </c>
      <c r="I40" s="42"/>
    </row>
    <row r="41" spans="1:9" x14ac:dyDescent="0.3">
      <c r="A41" s="42"/>
      <c r="B41" s="42"/>
      <c r="C41" s="36" t="str">
        <f>IF($A41="","",IFERROR(INDEX(SERVIZI!$B:$B,MATCH($B41,SERVIZI!$A:$A,0)),""))</f>
        <v/>
      </c>
      <c r="D41" s="42"/>
      <c r="E41" s="42"/>
      <c r="F41" s="48"/>
      <c r="G41" s="47" t="str">
        <f>IF($A41="","",IFERROR(INDEX(TEAM!$C:$C,MATCH($E41,TEAM!$A:$A,0)),0))</f>
        <v/>
      </c>
      <c r="H41" s="34" t="str">
        <f t="shared" si="1"/>
        <v/>
      </c>
      <c r="I41" s="42"/>
    </row>
    <row r="42" spans="1:9" x14ac:dyDescent="0.3">
      <c r="A42" s="42"/>
      <c r="B42" s="42"/>
      <c r="C42" s="36" t="str">
        <f>IF($A42="","",IFERROR(INDEX(SERVIZI!$B:$B,MATCH($B42,SERVIZI!$A:$A,0)),""))</f>
        <v/>
      </c>
      <c r="D42" s="42"/>
      <c r="E42" s="42"/>
      <c r="F42" s="48"/>
      <c r="G42" s="47" t="str">
        <f>IF($A42="","",IFERROR(INDEX(TEAM!$C:$C,MATCH($E42,TEAM!$A:$A,0)),0))</f>
        <v/>
      </c>
      <c r="H42" s="34" t="str">
        <f t="shared" si="1"/>
        <v/>
      </c>
      <c r="I42" s="42"/>
    </row>
    <row r="43" spans="1:9" x14ac:dyDescent="0.3">
      <c r="A43" s="42"/>
      <c r="B43" s="42"/>
      <c r="C43" s="36" t="str">
        <f>IF($A43="","",IFERROR(INDEX(SERVIZI!$B:$B,MATCH($B43,SERVIZI!$A:$A,0)),""))</f>
        <v/>
      </c>
      <c r="D43" s="42"/>
      <c r="E43" s="42"/>
      <c r="F43" s="48"/>
      <c r="G43" s="47" t="str">
        <f>IF($A43="","",IFERROR(INDEX(TEAM!$C:$C,MATCH($E43,TEAM!$A:$A,0)),0))</f>
        <v/>
      </c>
      <c r="H43" s="34" t="str">
        <f t="shared" si="1"/>
        <v/>
      </c>
      <c r="I43" s="42"/>
    </row>
    <row r="44" spans="1:9" x14ac:dyDescent="0.3">
      <c r="A44" s="42"/>
      <c r="B44" s="42"/>
      <c r="C44" s="36" t="str">
        <f>IF($A44="","",IFERROR(INDEX(SERVIZI!$B:$B,MATCH($B44,SERVIZI!$A:$A,0)),""))</f>
        <v/>
      </c>
      <c r="D44" s="42"/>
      <c r="E44" s="42"/>
      <c r="F44" s="48"/>
      <c r="G44" s="47" t="str">
        <f>IF($A44="","",IFERROR(INDEX(TEAM!$C:$C,MATCH($E44,TEAM!$A:$A,0)),0))</f>
        <v/>
      </c>
      <c r="H44" s="34" t="str">
        <f t="shared" si="1"/>
        <v/>
      </c>
      <c r="I44" s="42"/>
    </row>
    <row r="45" spans="1:9" x14ac:dyDescent="0.3">
      <c r="A45" s="42"/>
      <c r="B45" s="42"/>
      <c r="C45" s="36" t="str">
        <f>IF($A45="","",IFERROR(INDEX(SERVIZI!$B:$B,MATCH($B45,SERVIZI!$A:$A,0)),""))</f>
        <v/>
      </c>
      <c r="D45" s="42"/>
      <c r="E45" s="42"/>
      <c r="F45" s="48"/>
      <c r="G45" s="47" t="str">
        <f>IF($A45="","",IFERROR(INDEX(TEAM!$C:$C,MATCH($E45,TEAM!$A:$A,0)),0))</f>
        <v/>
      </c>
      <c r="H45" s="34" t="str">
        <f t="shared" si="1"/>
        <v/>
      </c>
      <c r="I45" s="42"/>
    </row>
    <row r="46" spans="1:9" x14ac:dyDescent="0.3">
      <c r="A46" s="42"/>
      <c r="B46" s="42"/>
      <c r="C46" s="36" t="str">
        <f>IF($A46="","",IFERROR(INDEX(SERVIZI!$B:$B,MATCH($B46,SERVIZI!$A:$A,0)),""))</f>
        <v/>
      </c>
      <c r="D46" s="42"/>
      <c r="E46" s="42"/>
      <c r="F46" s="48"/>
      <c r="G46" s="47" t="str">
        <f>IF($A46="","",IFERROR(INDEX(TEAM!$C:$C,MATCH($E46,TEAM!$A:$A,0)),0))</f>
        <v/>
      </c>
      <c r="H46" s="34" t="str">
        <f t="shared" si="1"/>
        <v/>
      </c>
      <c r="I46" s="42"/>
    </row>
    <row r="47" spans="1:9" x14ac:dyDescent="0.3">
      <c r="A47" s="42"/>
      <c r="B47" s="42"/>
      <c r="C47" s="36" t="str">
        <f>IF($A47="","",IFERROR(INDEX(SERVIZI!$B:$B,MATCH($B47,SERVIZI!$A:$A,0)),""))</f>
        <v/>
      </c>
      <c r="D47" s="42"/>
      <c r="E47" s="42"/>
      <c r="F47" s="48"/>
      <c r="G47" s="47" t="str">
        <f>IF($A47="","",IFERROR(INDEX(TEAM!$C:$C,MATCH($E47,TEAM!$A:$A,0)),0))</f>
        <v/>
      </c>
      <c r="H47" s="34" t="str">
        <f t="shared" si="1"/>
        <v/>
      </c>
      <c r="I47" s="42"/>
    </row>
    <row r="48" spans="1:9" x14ac:dyDescent="0.3">
      <c r="A48" s="42"/>
      <c r="B48" s="42"/>
      <c r="C48" s="36" t="str">
        <f>IF($A48="","",IFERROR(INDEX(SERVIZI!$B:$B,MATCH($B48,SERVIZI!$A:$A,0)),""))</f>
        <v/>
      </c>
      <c r="D48" s="42"/>
      <c r="E48" s="42"/>
      <c r="F48" s="48"/>
      <c r="G48" s="47" t="str">
        <f>IF($A48="","",IFERROR(INDEX(TEAM!$C:$C,MATCH($E48,TEAM!$A:$A,0)),0))</f>
        <v/>
      </c>
      <c r="H48" s="34" t="str">
        <f t="shared" si="1"/>
        <v/>
      </c>
      <c r="I48" s="42"/>
    </row>
    <row r="49" spans="1:9" x14ac:dyDescent="0.3">
      <c r="A49" s="42"/>
      <c r="B49" s="42"/>
      <c r="C49" s="36" t="str">
        <f>IF($A49="","",IFERROR(INDEX(SERVIZI!$B:$B,MATCH($B49,SERVIZI!$A:$A,0)),""))</f>
        <v/>
      </c>
      <c r="D49" s="42"/>
      <c r="E49" s="42"/>
      <c r="F49" s="48"/>
      <c r="G49" s="47" t="str">
        <f>IF($A49="","",IFERROR(INDEX(TEAM!$C:$C,MATCH($E49,TEAM!$A:$A,0)),0))</f>
        <v/>
      </c>
      <c r="H49" s="34" t="str">
        <f t="shared" si="1"/>
        <v/>
      </c>
      <c r="I49" s="42"/>
    </row>
    <row r="50" spans="1:9" x14ac:dyDescent="0.3">
      <c r="A50" s="42"/>
      <c r="B50" s="42"/>
      <c r="C50" s="36" t="str">
        <f>IF($A50="","",IFERROR(INDEX(SERVIZI!$B:$B,MATCH($B50,SERVIZI!$A:$A,0)),""))</f>
        <v/>
      </c>
      <c r="D50" s="42"/>
      <c r="E50" s="42"/>
      <c r="F50" s="48"/>
      <c r="G50" s="47" t="str">
        <f>IF($A50="","",IFERROR(INDEX(TEAM!$C:$C,MATCH($E50,TEAM!$A:$A,0)),0))</f>
        <v/>
      </c>
      <c r="H50" s="34" t="str">
        <f t="shared" si="1"/>
        <v/>
      </c>
      <c r="I50" s="42"/>
    </row>
    <row r="51" spans="1:9" x14ac:dyDescent="0.3">
      <c r="A51" s="42"/>
      <c r="B51" s="42"/>
      <c r="C51" s="36" t="str">
        <f>IF($A51="","",IFERROR(INDEX(SERVIZI!$B:$B,MATCH($B51,SERVIZI!$A:$A,0)),""))</f>
        <v/>
      </c>
      <c r="D51" s="42"/>
      <c r="E51" s="42"/>
      <c r="F51" s="48"/>
      <c r="G51" s="47" t="str">
        <f>IF($A51="","",IFERROR(INDEX(TEAM!$C:$C,MATCH($E51,TEAM!$A:$A,0)),0))</f>
        <v/>
      </c>
      <c r="H51" s="34" t="str">
        <f t="shared" si="1"/>
        <v/>
      </c>
      <c r="I51" s="42"/>
    </row>
    <row r="52" spans="1:9" x14ac:dyDescent="0.3">
      <c r="A52" s="42"/>
      <c r="B52" s="42"/>
      <c r="C52" s="36" t="str">
        <f>IF($A52="","",IFERROR(INDEX(SERVIZI!$B:$B,MATCH($B52,SERVIZI!$A:$A,0)),""))</f>
        <v/>
      </c>
      <c r="D52" s="42"/>
      <c r="E52" s="42"/>
      <c r="F52" s="48"/>
      <c r="G52" s="47" t="str">
        <f>IF($A52="","",IFERROR(INDEX(TEAM!$C:$C,MATCH($E52,TEAM!$A:$A,0)),0))</f>
        <v/>
      </c>
      <c r="H52" s="34" t="str">
        <f t="shared" si="1"/>
        <v/>
      </c>
      <c r="I52" s="42"/>
    </row>
    <row r="53" spans="1:9" x14ac:dyDescent="0.3">
      <c r="A53" s="42"/>
      <c r="B53" s="42"/>
      <c r="C53" s="36" t="str">
        <f>IF($A53="","",IFERROR(INDEX(SERVIZI!$B:$B,MATCH($B53,SERVIZI!$A:$A,0)),""))</f>
        <v/>
      </c>
      <c r="D53" s="42"/>
      <c r="E53" s="42"/>
      <c r="F53" s="48"/>
      <c r="G53" s="47" t="str">
        <f>IF($A53="","",IFERROR(INDEX(TEAM!$C:$C,MATCH($E53,TEAM!$A:$A,0)),0))</f>
        <v/>
      </c>
      <c r="H53" s="34" t="str">
        <f t="shared" si="1"/>
        <v/>
      </c>
      <c r="I53" s="42"/>
    </row>
    <row r="54" spans="1:9" x14ac:dyDescent="0.3">
      <c r="A54" s="42"/>
      <c r="B54" s="42"/>
      <c r="C54" s="36" t="str">
        <f>IF($A54="","",IFERROR(INDEX(SERVIZI!$B:$B,MATCH($B54,SERVIZI!$A:$A,0)),""))</f>
        <v/>
      </c>
      <c r="D54" s="42"/>
      <c r="E54" s="42"/>
      <c r="F54" s="48"/>
      <c r="G54" s="47" t="str">
        <f>IF($A54="","",IFERROR(INDEX(TEAM!$C:$C,MATCH($E54,TEAM!$A:$A,0)),0))</f>
        <v/>
      </c>
      <c r="H54" s="34" t="str">
        <f t="shared" si="1"/>
        <v/>
      </c>
      <c r="I54" s="42"/>
    </row>
    <row r="55" spans="1:9" x14ac:dyDescent="0.3">
      <c r="A55" s="42"/>
      <c r="B55" s="42"/>
      <c r="C55" s="36" t="str">
        <f>IF($A55="","",IFERROR(INDEX(SERVIZI!$B:$B,MATCH($B55,SERVIZI!$A:$A,0)),""))</f>
        <v/>
      </c>
      <c r="D55" s="42"/>
      <c r="E55" s="42"/>
      <c r="F55" s="48"/>
      <c r="G55" s="47" t="str">
        <f>IF($A55="","",IFERROR(INDEX(TEAM!$C:$C,MATCH($E55,TEAM!$A:$A,0)),0))</f>
        <v/>
      </c>
      <c r="H55" s="34" t="str">
        <f t="shared" si="1"/>
        <v/>
      </c>
      <c r="I55" s="42"/>
    </row>
    <row r="56" spans="1:9" x14ac:dyDescent="0.3">
      <c r="A56" s="42"/>
      <c r="B56" s="42"/>
      <c r="C56" s="36" t="str">
        <f>IF($A56="","",IFERROR(INDEX(SERVIZI!$B:$B,MATCH($B56,SERVIZI!$A:$A,0)),""))</f>
        <v/>
      </c>
      <c r="D56" s="42"/>
      <c r="E56" s="42"/>
      <c r="F56" s="48"/>
      <c r="G56" s="47" t="str">
        <f>IF($A56="","",IFERROR(INDEX(TEAM!$C:$C,MATCH($E56,TEAM!$A:$A,0)),0))</f>
        <v/>
      </c>
      <c r="H56" s="34" t="str">
        <f t="shared" si="1"/>
        <v/>
      </c>
      <c r="I56" s="42"/>
    </row>
    <row r="57" spans="1:9" x14ac:dyDescent="0.3">
      <c r="A57" s="42"/>
      <c r="B57" s="42"/>
      <c r="C57" s="36" t="str">
        <f>IF($A57="","",IFERROR(INDEX(SERVIZI!$B:$B,MATCH($B57,SERVIZI!$A:$A,0)),""))</f>
        <v/>
      </c>
      <c r="D57" s="42"/>
      <c r="E57" s="42"/>
      <c r="F57" s="48"/>
      <c r="G57" s="47" t="str">
        <f>IF($A57="","",IFERROR(INDEX(TEAM!$C:$C,MATCH($E57,TEAM!$A:$A,0)),0))</f>
        <v/>
      </c>
      <c r="H57" s="34" t="str">
        <f t="shared" si="1"/>
        <v/>
      </c>
      <c r="I57" s="42"/>
    </row>
    <row r="58" spans="1:9" x14ac:dyDescent="0.3">
      <c r="A58" s="42"/>
      <c r="B58" s="42"/>
      <c r="C58" s="36" t="str">
        <f>IF($A58="","",IFERROR(INDEX(SERVIZI!$B:$B,MATCH($B58,SERVIZI!$A:$A,0)),""))</f>
        <v/>
      </c>
      <c r="D58" s="42"/>
      <c r="E58" s="42"/>
      <c r="F58" s="48"/>
      <c r="G58" s="47" t="str">
        <f>IF($A58="","",IFERROR(INDEX(TEAM!$C:$C,MATCH($E58,TEAM!$A:$A,0)),0))</f>
        <v/>
      </c>
      <c r="H58" s="34" t="str">
        <f t="shared" si="1"/>
        <v/>
      </c>
      <c r="I58" s="42"/>
    </row>
    <row r="59" spans="1:9" x14ac:dyDescent="0.3">
      <c r="A59" s="42"/>
      <c r="B59" s="42"/>
      <c r="C59" s="36" t="str">
        <f>IF($A59="","",IFERROR(INDEX(SERVIZI!$B:$B,MATCH($B59,SERVIZI!$A:$A,0)),""))</f>
        <v/>
      </c>
      <c r="D59" s="42"/>
      <c r="E59" s="42"/>
      <c r="F59" s="48"/>
      <c r="G59" s="47" t="str">
        <f>IF($A59="","",IFERROR(INDEX(TEAM!$C:$C,MATCH($E59,TEAM!$A:$A,0)),0))</f>
        <v/>
      </c>
      <c r="H59" s="34" t="str">
        <f t="shared" si="1"/>
        <v/>
      </c>
      <c r="I59" s="42"/>
    </row>
    <row r="60" spans="1:9" x14ac:dyDescent="0.3">
      <c r="A60" s="42"/>
      <c r="B60" s="42"/>
      <c r="C60" s="36" t="str">
        <f>IF($A60="","",IFERROR(INDEX(SERVIZI!$B:$B,MATCH($B60,SERVIZI!$A:$A,0)),""))</f>
        <v/>
      </c>
      <c r="D60" s="42"/>
      <c r="E60" s="42"/>
      <c r="F60" s="48"/>
      <c r="G60" s="47" t="str">
        <f>IF($A60="","",IFERROR(INDEX(TEAM!$C:$C,MATCH($E60,TEAM!$A:$A,0)),0))</f>
        <v/>
      </c>
      <c r="H60" s="34" t="str">
        <f t="shared" si="1"/>
        <v/>
      </c>
      <c r="I60" s="42"/>
    </row>
    <row r="61" spans="1:9" x14ac:dyDescent="0.3">
      <c r="A61" s="42"/>
      <c r="B61" s="42"/>
      <c r="C61" s="36" t="str">
        <f>IF($A61="","",IFERROR(INDEX(SERVIZI!$B:$B,MATCH($B61,SERVIZI!$A:$A,0)),""))</f>
        <v/>
      </c>
      <c r="D61" s="42"/>
      <c r="E61" s="42"/>
      <c r="F61" s="48"/>
      <c r="G61" s="47" t="str">
        <f>IF($A61="","",IFERROR(INDEX(TEAM!$C:$C,MATCH($E61,TEAM!$A:$A,0)),0))</f>
        <v/>
      </c>
      <c r="H61" s="34" t="str">
        <f t="shared" si="1"/>
        <v/>
      </c>
      <c r="I61" s="42"/>
    </row>
    <row r="62" spans="1:9" x14ac:dyDescent="0.3">
      <c r="A62" s="42"/>
      <c r="B62" s="42"/>
      <c r="C62" s="36" t="str">
        <f>IF($A62="","",IFERROR(INDEX(SERVIZI!$B:$B,MATCH($B62,SERVIZI!$A:$A,0)),""))</f>
        <v/>
      </c>
      <c r="D62" s="42"/>
      <c r="E62" s="42"/>
      <c r="F62" s="48"/>
      <c r="G62" s="47" t="str">
        <f>IF($A62="","",IFERROR(INDEX(TEAM!$C:$C,MATCH($E62,TEAM!$A:$A,0)),0))</f>
        <v/>
      </c>
      <c r="H62" s="34" t="str">
        <f t="shared" si="1"/>
        <v/>
      </c>
      <c r="I62" s="42"/>
    </row>
    <row r="63" spans="1:9" x14ac:dyDescent="0.3">
      <c r="A63" s="42"/>
      <c r="B63" s="42"/>
      <c r="C63" s="36" t="str">
        <f>IF($A63="","",IFERROR(INDEX(SERVIZI!$B:$B,MATCH($B63,SERVIZI!$A:$A,0)),""))</f>
        <v/>
      </c>
      <c r="D63" s="42"/>
      <c r="E63" s="42"/>
      <c r="F63" s="48"/>
      <c r="G63" s="47" t="str">
        <f>IF($A63="","",IFERROR(INDEX(TEAM!$C:$C,MATCH($E63,TEAM!$A:$A,0)),0))</f>
        <v/>
      </c>
      <c r="H63" s="34" t="str">
        <f t="shared" si="1"/>
        <v/>
      </c>
      <c r="I63" s="42"/>
    </row>
    <row r="64" spans="1:9" x14ac:dyDescent="0.3">
      <c r="A64" s="42"/>
      <c r="B64" s="42"/>
      <c r="C64" s="36" t="str">
        <f>IF($A64="","",IFERROR(INDEX(SERVIZI!$B:$B,MATCH($B64,SERVIZI!$A:$A,0)),""))</f>
        <v/>
      </c>
      <c r="D64" s="42"/>
      <c r="E64" s="42"/>
      <c r="F64" s="48"/>
      <c r="G64" s="47" t="str">
        <f>IF($A64="","",IFERROR(INDEX(TEAM!$C:$C,MATCH($E64,TEAM!$A:$A,0)),0))</f>
        <v/>
      </c>
      <c r="H64" s="34" t="str">
        <f t="shared" si="1"/>
        <v/>
      </c>
      <c r="I64" s="42"/>
    </row>
    <row r="65" spans="1:9" x14ac:dyDescent="0.3">
      <c r="A65" s="42"/>
      <c r="B65" s="42"/>
      <c r="C65" s="36" t="str">
        <f>IF($A65="","",IFERROR(INDEX(SERVIZI!$B:$B,MATCH($B65,SERVIZI!$A:$A,0)),""))</f>
        <v/>
      </c>
      <c r="D65" s="42"/>
      <c r="E65" s="42"/>
      <c r="F65" s="48"/>
      <c r="G65" s="47" t="str">
        <f>IF($A65="","",IFERROR(INDEX(TEAM!$C:$C,MATCH($E65,TEAM!$A:$A,0)),0))</f>
        <v/>
      </c>
      <c r="H65" s="34" t="str">
        <f t="shared" si="1"/>
        <v/>
      </c>
      <c r="I65" s="42"/>
    </row>
    <row r="66" spans="1:9" x14ac:dyDescent="0.3">
      <c r="A66" s="42"/>
      <c r="B66" s="42"/>
      <c r="C66" s="36" t="str">
        <f>IF($A66="","",IFERROR(INDEX(SERVIZI!$B:$B,MATCH($B66,SERVIZI!$A:$A,0)),""))</f>
        <v/>
      </c>
      <c r="D66" s="42"/>
      <c r="E66" s="42"/>
      <c r="F66" s="48"/>
      <c r="G66" s="47" t="str">
        <f>IF($A66="","",IFERROR(INDEX(TEAM!$C:$C,MATCH($E66,TEAM!$A:$A,0)),0))</f>
        <v/>
      </c>
      <c r="H66" s="34" t="str">
        <f t="shared" ref="H66:H97" si="2">IF($A66="","",$F66*$G66)</f>
        <v/>
      </c>
      <c r="I66" s="42"/>
    </row>
    <row r="67" spans="1:9" x14ac:dyDescent="0.3">
      <c r="A67" s="42"/>
      <c r="B67" s="42"/>
      <c r="C67" s="36" t="str">
        <f>IF($A67="","",IFERROR(INDEX(SERVIZI!$B:$B,MATCH($B67,SERVIZI!$A:$A,0)),""))</f>
        <v/>
      </c>
      <c r="D67" s="42"/>
      <c r="E67" s="42"/>
      <c r="F67" s="48"/>
      <c r="G67" s="47" t="str">
        <f>IF($A67="","",IFERROR(INDEX(TEAM!$C:$C,MATCH($E67,TEAM!$A:$A,0)),0))</f>
        <v/>
      </c>
      <c r="H67" s="34" t="str">
        <f t="shared" si="2"/>
        <v/>
      </c>
      <c r="I67" s="42"/>
    </row>
    <row r="68" spans="1:9" x14ac:dyDescent="0.3">
      <c r="A68" s="42"/>
      <c r="B68" s="42"/>
      <c r="C68" s="36" t="str">
        <f>IF($A68="","",IFERROR(INDEX(SERVIZI!$B:$B,MATCH($B68,SERVIZI!$A:$A,0)),""))</f>
        <v/>
      </c>
      <c r="D68" s="42"/>
      <c r="E68" s="42"/>
      <c r="F68" s="48"/>
      <c r="G68" s="47" t="str">
        <f>IF($A68="","",IFERROR(INDEX(TEAM!$C:$C,MATCH($E68,TEAM!$A:$A,0)),0))</f>
        <v/>
      </c>
      <c r="H68" s="34" t="str">
        <f t="shared" si="2"/>
        <v/>
      </c>
      <c r="I68" s="42"/>
    </row>
    <row r="69" spans="1:9" x14ac:dyDescent="0.3">
      <c r="A69" s="42"/>
      <c r="B69" s="42"/>
      <c r="C69" s="36" t="str">
        <f>IF($A69="","",IFERROR(INDEX(SERVIZI!$B:$B,MATCH($B69,SERVIZI!$A:$A,0)),""))</f>
        <v/>
      </c>
      <c r="D69" s="42"/>
      <c r="E69" s="42"/>
      <c r="F69" s="48"/>
      <c r="G69" s="47" t="str">
        <f>IF($A69="","",IFERROR(INDEX(TEAM!$C:$C,MATCH($E69,TEAM!$A:$A,0)),0))</f>
        <v/>
      </c>
      <c r="H69" s="34" t="str">
        <f t="shared" si="2"/>
        <v/>
      </c>
      <c r="I69" s="42"/>
    </row>
    <row r="70" spans="1:9" x14ac:dyDescent="0.3">
      <c r="A70" s="42"/>
      <c r="B70" s="42"/>
      <c r="C70" s="36" t="str">
        <f>IF($A70="","",IFERROR(INDEX(SERVIZI!$B:$B,MATCH($B70,SERVIZI!$A:$A,0)),""))</f>
        <v/>
      </c>
      <c r="D70" s="42"/>
      <c r="E70" s="42"/>
      <c r="F70" s="48"/>
      <c r="G70" s="47" t="str">
        <f>IF($A70="","",IFERROR(INDEX(TEAM!$C:$C,MATCH($E70,TEAM!$A:$A,0)),0))</f>
        <v/>
      </c>
      <c r="H70" s="34" t="str">
        <f t="shared" si="2"/>
        <v/>
      </c>
      <c r="I70" s="42"/>
    </row>
    <row r="71" spans="1:9" x14ac:dyDescent="0.3">
      <c r="A71" s="42"/>
      <c r="B71" s="42"/>
      <c r="C71" s="36" t="str">
        <f>IF($A71="","",IFERROR(INDEX(SERVIZI!$B:$B,MATCH($B71,SERVIZI!$A:$A,0)),""))</f>
        <v/>
      </c>
      <c r="D71" s="42"/>
      <c r="E71" s="42"/>
      <c r="F71" s="48"/>
      <c r="G71" s="47" t="str">
        <f>IF($A71="","",IFERROR(INDEX(TEAM!$C:$C,MATCH($E71,TEAM!$A:$A,0)),0))</f>
        <v/>
      </c>
      <c r="H71" s="34" t="str">
        <f t="shared" si="2"/>
        <v/>
      </c>
      <c r="I71" s="42"/>
    </row>
    <row r="72" spans="1:9" x14ac:dyDescent="0.3">
      <c r="A72" s="42"/>
      <c r="B72" s="42"/>
      <c r="C72" s="36" t="str">
        <f>IF($A72="","",IFERROR(INDEX(SERVIZI!$B:$B,MATCH($B72,SERVIZI!$A:$A,0)),""))</f>
        <v/>
      </c>
      <c r="D72" s="42"/>
      <c r="E72" s="42"/>
      <c r="F72" s="48"/>
      <c r="G72" s="47" t="str">
        <f>IF($A72="","",IFERROR(INDEX(TEAM!$C:$C,MATCH($E72,TEAM!$A:$A,0)),0))</f>
        <v/>
      </c>
      <c r="H72" s="34" t="str">
        <f t="shared" si="2"/>
        <v/>
      </c>
      <c r="I72" s="42"/>
    </row>
    <row r="73" spans="1:9" x14ac:dyDescent="0.3">
      <c r="A73" s="42"/>
      <c r="B73" s="42"/>
      <c r="C73" s="36" t="str">
        <f>IF($A73="","",IFERROR(INDEX(SERVIZI!$B:$B,MATCH($B73,SERVIZI!$A:$A,0)),""))</f>
        <v/>
      </c>
      <c r="D73" s="42"/>
      <c r="E73" s="42"/>
      <c r="F73" s="48"/>
      <c r="G73" s="47" t="str">
        <f>IF($A73="","",IFERROR(INDEX(TEAM!$C:$C,MATCH($E73,TEAM!$A:$A,0)),0))</f>
        <v/>
      </c>
      <c r="H73" s="34" t="str">
        <f t="shared" si="2"/>
        <v/>
      </c>
      <c r="I73" s="42"/>
    </row>
    <row r="74" spans="1:9" x14ac:dyDescent="0.3">
      <c r="A74" s="42"/>
      <c r="B74" s="42"/>
      <c r="C74" s="36" t="str">
        <f>IF($A74="","",IFERROR(INDEX(SERVIZI!$B:$B,MATCH($B74,SERVIZI!$A:$A,0)),""))</f>
        <v/>
      </c>
      <c r="D74" s="42"/>
      <c r="E74" s="42"/>
      <c r="F74" s="48"/>
      <c r="G74" s="47" t="str">
        <f>IF($A74="","",IFERROR(INDEX(TEAM!$C:$C,MATCH($E74,TEAM!$A:$A,0)),0))</f>
        <v/>
      </c>
      <c r="H74" s="34" t="str">
        <f t="shared" si="2"/>
        <v/>
      </c>
      <c r="I74" s="42"/>
    </row>
    <row r="75" spans="1:9" x14ac:dyDescent="0.3">
      <c r="A75" s="42"/>
      <c r="B75" s="42"/>
      <c r="C75" s="36" t="str">
        <f>IF($A75="","",IFERROR(INDEX(SERVIZI!$B:$B,MATCH($B75,SERVIZI!$A:$A,0)),""))</f>
        <v/>
      </c>
      <c r="D75" s="42"/>
      <c r="E75" s="42"/>
      <c r="F75" s="48"/>
      <c r="G75" s="47" t="str">
        <f>IF($A75="","",IFERROR(INDEX(TEAM!$C:$C,MATCH($E75,TEAM!$A:$A,0)),0))</f>
        <v/>
      </c>
      <c r="H75" s="34" t="str">
        <f t="shared" si="2"/>
        <v/>
      </c>
      <c r="I75" s="42"/>
    </row>
    <row r="76" spans="1:9" x14ac:dyDescent="0.3">
      <c r="A76" s="42"/>
      <c r="B76" s="42"/>
      <c r="C76" s="36" t="str">
        <f>IF($A76="","",IFERROR(INDEX(SERVIZI!$B:$B,MATCH($B76,SERVIZI!$A:$A,0)),""))</f>
        <v/>
      </c>
      <c r="D76" s="42"/>
      <c r="E76" s="42"/>
      <c r="F76" s="48"/>
      <c r="G76" s="47" t="str">
        <f>IF($A76="","",IFERROR(INDEX(TEAM!$C:$C,MATCH($E76,TEAM!$A:$A,0)),0))</f>
        <v/>
      </c>
      <c r="H76" s="34" t="str">
        <f t="shared" si="2"/>
        <v/>
      </c>
      <c r="I76" s="42"/>
    </row>
    <row r="77" spans="1:9" x14ac:dyDescent="0.3">
      <c r="A77" s="42"/>
      <c r="B77" s="42"/>
      <c r="C77" s="36" t="str">
        <f>IF($A77="","",IFERROR(INDEX(SERVIZI!$B:$B,MATCH($B77,SERVIZI!$A:$A,0)),""))</f>
        <v/>
      </c>
      <c r="D77" s="42"/>
      <c r="E77" s="42"/>
      <c r="F77" s="48"/>
      <c r="G77" s="47" t="str">
        <f>IF($A77="","",IFERROR(INDEX(TEAM!$C:$C,MATCH($E77,TEAM!$A:$A,0)),0))</f>
        <v/>
      </c>
      <c r="H77" s="34" t="str">
        <f t="shared" si="2"/>
        <v/>
      </c>
      <c r="I77" s="42"/>
    </row>
    <row r="78" spans="1:9" x14ac:dyDescent="0.3">
      <c r="A78" s="42"/>
      <c r="B78" s="42"/>
      <c r="C78" s="36" t="str">
        <f>IF($A78="","",IFERROR(INDEX(SERVIZI!$B:$B,MATCH($B78,SERVIZI!$A:$A,0)),""))</f>
        <v/>
      </c>
      <c r="D78" s="42"/>
      <c r="E78" s="42"/>
      <c r="F78" s="48"/>
      <c r="G78" s="47" t="str">
        <f>IF($A78="","",IFERROR(INDEX(TEAM!$C:$C,MATCH($E78,TEAM!$A:$A,0)),0))</f>
        <v/>
      </c>
      <c r="H78" s="34" t="str">
        <f t="shared" si="2"/>
        <v/>
      </c>
      <c r="I78" s="42"/>
    </row>
    <row r="79" spans="1:9" x14ac:dyDescent="0.3">
      <c r="A79" s="42"/>
      <c r="B79" s="42"/>
      <c r="C79" s="36" t="str">
        <f>IF($A79="","",IFERROR(INDEX(SERVIZI!$B:$B,MATCH($B79,SERVIZI!$A:$A,0)),""))</f>
        <v/>
      </c>
      <c r="D79" s="42"/>
      <c r="E79" s="42"/>
      <c r="F79" s="48"/>
      <c r="G79" s="47" t="str">
        <f>IF($A79="","",IFERROR(INDEX(TEAM!$C:$C,MATCH($E79,TEAM!$A:$A,0)),0))</f>
        <v/>
      </c>
      <c r="H79" s="34" t="str">
        <f t="shared" si="2"/>
        <v/>
      </c>
      <c r="I79" s="42"/>
    </row>
    <row r="80" spans="1:9" x14ac:dyDescent="0.3">
      <c r="A80" s="42"/>
      <c r="B80" s="42"/>
      <c r="C80" s="36" t="str">
        <f>IF($A80="","",IFERROR(INDEX(SERVIZI!$B:$B,MATCH($B80,SERVIZI!$A:$A,0)),""))</f>
        <v/>
      </c>
      <c r="D80" s="42"/>
      <c r="E80" s="42"/>
      <c r="F80" s="48"/>
      <c r="G80" s="47" t="str">
        <f>IF($A80="","",IFERROR(INDEX(TEAM!$C:$C,MATCH($E80,TEAM!$A:$A,0)),0))</f>
        <v/>
      </c>
      <c r="H80" s="34" t="str">
        <f t="shared" si="2"/>
        <v/>
      </c>
      <c r="I80" s="42"/>
    </row>
    <row r="81" spans="1:9" x14ac:dyDescent="0.3">
      <c r="A81" s="42"/>
      <c r="B81" s="42"/>
      <c r="C81" s="36" t="str">
        <f>IF($A81="","",IFERROR(INDEX(SERVIZI!$B:$B,MATCH($B81,SERVIZI!$A:$A,0)),""))</f>
        <v/>
      </c>
      <c r="D81" s="42"/>
      <c r="E81" s="42"/>
      <c r="F81" s="48"/>
      <c r="G81" s="47" t="str">
        <f>IF($A81="","",IFERROR(INDEX(TEAM!$C:$C,MATCH($E81,TEAM!$A:$A,0)),0))</f>
        <v/>
      </c>
      <c r="H81" s="34" t="str">
        <f t="shared" si="2"/>
        <v/>
      </c>
      <c r="I81" s="42"/>
    </row>
    <row r="82" spans="1:9" x14ac:dyDescent="0.3">
      <c r="A82" s="42"/>
      <c r="B82" s="42"/>
      <c r="C82" s="36" t="str">
        <f>IF($A82="","",IFERROR(INDEX(SERVIZI!$B:$B,MATCH($B82,SERVIZI!$A:$A,0)),""))</f>
        <v/>
      </c>
      <c r="D82" s="42"/>
      <c r="E82" s="42"/>
      <c r="F82" s="48"/>
      <c r="G82" s="47" t="str">
        <f>IF($A82="","",IFERROR(INDEX(TEAM!$C:$C,MATCH($E82,TEAM!$A:$A,0)),0))</f>
        <v/>
      </c>
      <c r="H82" s="34" t="str">
        <f t="shared" si="2"/>
        <v/>
      </c>
      <c r="I82" s="42"/>
    </row>
    <row r="83" spans="1:9" x14ac:dyDescent="0.3">
      <c r="A83" s="42"/>
      <c r="B83" s="42"/>
      <c r="C83" s="36" t="str">
        <f>IF($A83="","",IFERROR(INDEX(SERVIZI!$B:$B,MATCH($B83,SERVIZI!$A:$A,0)),""))</f>
        <v/>
      </c>
      <c r="D83" s="42"/>
      <c r="E83" s="42"/>
      <c r="F83" s="48"/>
      <c r="G83" s="47" t="str">
        <f>IF($A83="","",IFERROR(INDEX(TEAM!$C:$C,MATCH($E83,TEAM!$A:$A,0)),0))</f>
        <v/>
      </c>
      <c r="H83" s="34" t="str">
        <f t="shared" si="2"/>
        <v/>
      </c>
      <c r="I83" s="42"/>
    </row>
    <row r="84" spans="1:9" x14ac:dyDescent="0.3">
      <c r="A84" s="42"/>
      <c r="B84" s="42"/>
      <c r="C84" s="36" t="str">
        <f>IF($A84="","",IFERROR(INDEX(SERVIZI!$B:$B,MATCH($B84,SERVIZI!$A:$A,0)),""))</f>
        <v/>
      </c>
      <c r="D84" s="42"/>
      <c r="E84" s="42"/>
      <c r="F84" s="48"/>
      <c r="G84" s="47" t="str">
        <f>IF($A84="","",IFERROR(INDEX(TEAM!$C:$C,MATCH($E84,TEAM!$A:$A,0)),0))</f>
        <v/>
      </c>
      <c r="H84" s="34" t="str">
        <f t="shared" si="2"/>
        <v/>
      </c>
      <c r="I84" s="42"/>
    </row>
    <row r="85" spans="1:9" x14ac:dyDescent="0.3">
      <c r="A85" s="42"/>
      <c r="B85" s="42"/>
      <c r="C85" s="36" t="str">
        <f>IF($A85="","",IFERROR(INDEX(SERVIZI!$B:$B,MATCH($B85,SERVIZI!$A:$A,0)),""))</f>
        <v/>
      </c>
      <c r="D85" s="42"/>
      <c r="E85" s="42"/>
      <c r="F85" s="48"/>
      <c r="G85" s="47" t="str">
        <f>IF($A85="","",IFERROR(INDEX(TEAM!$C:$C,MATCH($E85,TEAM!$A:$A,0)),0))</f>
        <v/>
      </c>
      <c r="H85" s="34" t="str">
        <f t="shared" si="2"/>
        <v/>
      </c>
      <c r="I85" s="42"/>
    </row>
    <row r="86" spans="1:9" x14ac:dyDescent="0.3">
      <c r="A86" s="42"/>
      <c r="B86" s="42"/>
      <c r="C86" s="36" t="str">
        <f>IF($A86="","",IFERROR(INDEX(SERVIZI!$B:$B,MATCH($B86,SERVIZI!$A:$A,0)),""))</f>
        <v/>
      </c>
      <c r="D86" s="42"/>
      <c r="E86" s="42"/>
      <c r="F86" s="48"/>
      <c r="G86" s="47" t="str">
        <f>IF($A86="","",IFERROR(INDEX(TEAM!$C:$C,MATCH($E86,TEAM!$A:$A,0)),0))</f>
        <v/>
      </c>
      <c r="H86" s="34" t="str">
        <f t="shared" si="2"/>
        <v/>
      </c>
      <c r="I86" s="42"/>
    </row>
    <row r="87" spans="1:9" x14ac:dyDescent="0.3">
      <c r="A87" s="42"/>
      <c r="B87" s="42"/>
      <c r="C87" s="36" t="str">
        <f>IF($A87="","",IFERROR(INDEX(SERVIZI!$B:$B,MATCH($B87,SERVIZI!$A:$A,0)),""))</f>
        <v/>
      </c>
      <c r="D87" s="42"/>
      <c r="E87" s="42"/>
      <c r="F87" s="48"/>
      <c r="G87" s="47" t="str">
        <f>IF($A87="","",IFERROR(INDEX(TEAM!$C:$C,MATCH($E87,TEAM!$A:$A,0)),0))</f>
        <v/>
      </c>
      <c r="H87" s="34" t="str">
        <f t="shared" si="2"/>
        <v/>
      </c>
      <c r="I87" s="42"/>
    </row>
    <row r="88" spans="1:9" x14ac:dyDescent="0.3">
      <c r="A88" s="42"/>
      <c r="B88" s="42"/>
      <c r="C88" s="36" t="str">
        <f>IF($A88="","",IFERROR(INDEX(SERVIZI!$B:$B,MATCH($B88,SERVIZI!$A:$A,0)),""))</f>
        <v/>
      </c>
      <c r="D88" s="42"/>
      <c r="E88" s="42"/>
      <c r="F88" s="48"/>
      <c r="G88" s="47" t="str">
        <f>IF($A88="","",IFERROR(INDEX(TEAM!$C:$C,MATCH($E88,TEAM!$A:$A,0)),0))</f>
        <v/>
      </c>
      <c r="H88" s="34" t="str">
        <f t="shared" si="2"/>
        <v/>
      </c>
      <c r="I88" s="42"/>
    </row>
    <row r="89" spans="1:9" x14ac:dyDescent="0.3">
      <c r="A89" s="42"/>
      <c r="B89" s="42"/>
      <c r="C89" s="36" t="str">
        <f>IF($A89="","",IFERROR(INDEX(SERVIZI!$B:$B,MATCH($B89,SERVIZI!$A:$A,0)),""))</f>
        <v/>
      </c>
      <c r="D89" s="42"/>
      <c r="E89" s="42"/>
      <c r="F89" s="48"/>
      <c r="G89" s="47" t="str">
        <f>IF($A89="","",IFERROR(INDEX(TEAM!$C:$C,MATCH($E89,TEAM!$A:$A,0)),0))</f>
        <v/>
      </c>
      <c r="H89" s="34" t="str">
        <f t="shared" si="2"/>
        <v/>
      </c>
      <c r="I89" s="42"/>
    </row>
    <row r="90" spans="1:9" x14ac:dyDescent="0.3">
      <c r="A90" s="42"/>
      <c r="B90" s="42"/>
      <c r="C90" s="36" t="str">
        <f>IF($A90="","",IFERROR(INDEX(SERVIZI!$B:$B,MATCH($B90,SERVIZI!$A:$A,0)),""))</f>
        <v/>
      </c>
      <c r="D90" s="42"/>
      <c r="E90" s="42"/>
      <c r="F90" s="48"/>
      <c r="G90" s="47" t="str">
        <f>IF($A90="","",IFERROR(INDEX(TEAM!$C:$C,MATCH($E90,TEAM!$A:$A,0)),0))</f>
        <v/>
      </c>
      <c r="H90" s="34" t="str">
        <f t="shared" si="2"/>
        <v/>
      </c>
      <c r="I90" s="42"/>
    </row>
    <row r="91" spans="1:9" x14ac:dyDescent="0.3">
      <c r="A91" s="42"/>
      <c r="B91" s="42"/>
      <c r="C91" s="36" t="str">
        <f>IF($A91="","",IFERROR(INDEX(SERVIZI!$B:$B,MATCH($B91,SERVIZI!$A:$A,0)),""))</f>
        <v/>
      </c>
      <c r="D91" s="42"/>
      <c r="E91" s="42"/>
      <c r="F91" s="48"/>
      <c r="G91" s="47" t="str">
        <f>IF($A91="","",IFERROR(INDEX(TEAM!$C:$C,MATCH($E91,TEAM!$A:$A,0)),0))</f>
        <v/>
      </c>
      <c r="H91" s="34" t="str">
        <f t="shared" si="2"/>
        <v/>
      </c>
      <c r="I91" s="42"/>
    </row>
    <row r="92" spans="1:9" x14ac:dyDescent="0.3">
      <c r="A92" s="42"/>
      <c r="B92" s="42"/>
      <c r="C92" s="36" t="str">
        <f>IF($A92="","",IFERROR(INDEX(SERVIZI!$B:$B,MATCH($B92,SERVIZI!$A:$A,0)),""))</f>
        <v/>
      </c>
      <c r="D92" s="42"/>
      <c r="E92" s="42"/>
      <c r="F92" s="48"/>
      <c r="G92" s="47" t="str">
        <f>IF($A92="","",IFERROR(INDEX(TEAM!$C:$C,MATCH($E92,TEAM!$A:$A,0)),0))</f>
        <v/>
      </c>
      <c r="H92" s="34" t="str">
        <f t="shared" si="2"/>
        <v/>
      </c>
      <c r="I92" s="42"/>
    </row>
    <row r="93" spans="1:9" x14ac:dyDescent="0.3">
      <c r="A93" s="42"/>
      <c r="B93" s="42"/>
      <c r="C93" s="36" t="str">
        <f>IF($A93="","",IFERROR(INDEX(SERVIZI!$B:$B,MATCH($B93,SERVIZI!$A:$A,0)),""))</f>
        <v/>
      </c>
      <c r="D93" s="42"/>
      <c r="E93" s="42"/>
      <c r="F93" s="48"/>
      <c r="G93" s="47" t="str">
        <f>IF($A93="","",IFERROR(INDEX(TEAM!$C:$C,MATCH($E93,TEAM!$A:$A,0)),0))</f>
        <v/>
      </c>
      <c r="H93" s="34" t="str">
        <f t="shared" si="2"/>
        <v/>
      </c>
      <c r="I93" s="42"/>
    </row>
    <row r="94" spans="1:9" x14ac:dyDescent="0.3">
      <c r="A94" s="42"/>
      <c r="B94" s="42"/>
      <c r="C94" s="36" t="str">
        <f>IF($A94="","",IFERROR(INDEX(SERVIZI!$B:$B,MATCH($B94,SERVIZI!$A:$A,0)),""))</f>
        <v/>
      </c>
      <c r="D94" s="42"/>
      <c r="E94" s="42"/>
      <c r="F94" s="48"/>
      <c r="G94" s="47" t="str">
        <f>IF($A94="","",IFERROR(INDEX(TEAM!$C:$C,MATCH($E94,TEAM!$A:$A,0)),0))</f>
        <v/>
      </c>
      <c r="H94" s="34" t="str">
        <f t="shared" si="2"/>
        <v/>
      </c>
      <c r="I94" s="42"/>
    </row>
    <row r="95" spans="1:9" x14ac:dyDescent="0.3">
      <c r="A95" s="42"/>
      <c r="B95" s="42"/>
      <c r="C95" s="36" t="str">
        <f>IF($A95="","",IFERROR(INDEX(SERVIZI!$B:$B,MATCH($B95,SERVIZI!$A:$A,0)),""))</f>
        <v/>
      </c>
      <c r="D95" s="42"/>
      <c r="E95" s="42"/>
      <c r="F95" s="48"/>
      <c r="G95" s="47" t="str">
        <f>IF($A95="","",IFERROR(INDEX(TEAM!$C:$C,MATCH($E95,TEAM!$A:$A,0)),0))</f>
        <v/>
      </c>
      <c r="H95" s="34" t="str">
        <f t="shared" si="2"/>
        <v/>
      </c>
      <c r="I95" s="42"/>
    </row>
    <row r="96" spans="1:9" x14ac:dyDescent="0.3">
      <c r="A96" s="42"/>
      <c r="B96" s="42"/>
      <c r="C96" s="36" t="str">
        <f>IF($A96="","",IFERROR(INDEX(SERVIZI!$B:$B,MATCH($B96,SERVIZI!$A:$A,0)),""))</f>
        <v/>
      </c>
      <c r="D96" s="42"/>
      <c r="E96" s="42"/>
      <c r="F96" s="48"/>
      <c r="G96" s="47" t="str">
        <f>IF($A96="","",IFERROR(INDEX(TEAM!$C:$C,MATCH($E96,TEAM!$A:$A,0)),0))</f>
        <v/>
      </c>
      <c r="H96" s="34" t="str">
        <f t="shared" si="2"/>
        <v/>
      </c>
      <c r="I96" s="42"/>
    </row>
    <row r="97" spans="1:9" x14ac:dyDescent="0.3">
      <c r="A97" s="42"/>
      <c r="B97" s="42"/>
      <c r="C97" s="36" t="str">
        <f>IF($A97="","",IFERROR(INDEX(SERVIZI!$B:$B,MATCH($B97,SERVIZI!$A:$A,0)),""))</f>
        <v/>
      </c>
      <c r="D97" s="42"/>
      <c r="E97" s="42"/>
      <c r="F97" s="48"/>
      <c r="G97" s="47" t="str">
        <f>IF($A97="","",IFERROR(INDEX(TEAM!$C:$C,MATCH($E97,TEAM!$A:$A,0)),0))</f>
        <v/>
      </c>
      <c r="H97" s="34" t="str">
        <f t="shared" si="2"/>
        <v/>
      </c>
      <c r="I97" s="42"/>
    </row>
    <row r="98" spans="1:9" x14ac:dyDescent="0.3">
      <c r="A98" s="42"/>
      <c r="B98" s="42"/>
      <c r="C98" s="36" t="str">
        <f>IF($A98="","",IFERROR(INDEX(SERVIZI!$B:$B,MATCH($B98,SERVIZI!$A:$A,0)),""))</f>
        <v/>
      </c>
      <c r="D98" s="42"/>
      <c r="E98" s="42"/>
      <c r="F98" s="48"/>
      <c r="G98" s="47" t="str">
        <f>IF($A98="","",IFERROR(INDEX(TEAM!$C:$C,MATCH($E98,TEAM!$A:$A,0)),0))</f>
        <v/>
      </c>
      <c r="H98" s="34" t="str">
        <f t="shared" ref="H98:H129" si="3">IF($A98="","",$F98*$G98)</f>
        <v/>
      </c>
      <c r="I98" s="42"/>
    </row>
    <row r="99" spans="1:9" x14ac:dyDescent="0.3">
      <c r="A99" s="42"/>
      <c r="B99" s="42"/>
      <c r="C99" s="36" t="str">
        <f>IF($A99="","",IFERROR(INDEX(SERVIZI!$B:$B,MATCH($B99,SERVIZI!$A:$A,0)),""))</f>
        <v/>
      </c>
      <c r="D99" s="42"/>
      <c r="E99" s="42"/>
      <c r="F99" s="48"/>
      <c r="G99" s="47" t="str">
        <f>IF($A99="","",IFERROR(INDEX(TEAM!$C:$C,MATCH($E99,TEAM!$A:$A,0)),0))</f>
        <v/>
      </c>
      <c r="H99" s="34" t="str">
        <f t="shared" si="3"/>
        <v/>
      </c>
      <c r="I99" s="42"/>
    </row>
    <row r="100" spans="1:9" x14ac:dyDescent="0.3">
      <c r="A100" s="42"/>
      <c r="B100" s="42"/>
      <c r="C100" s="36" t="str">
        <f>IF($A100="","",IFERROR(INDEX(SERVIZI!$B:$B,MATCH($B100,SERVIZI!$A:$A,0)),""))</f>
        <v/>
      </c>
      <c r="D100" s="42"/>
      <c r="E100" s="42"/>
      <c r="F100" s="48"/>
      <c r="G100" s="47" t="str">
        <f>IF($A100="","",IFERROR(INDEX(TEAM!$C:$C,MATCH($E100,TEAM!$A:$A,0)),0))</f>
        <v/>
      </c>
      <c r="H100" s="34" t="str">
        <f t="shared" si="3"/>
        <v/>
      </c>
      <c r="I100" s="42"/>
    </row>
    <row r="101" spans="1:9" x14ac:dyDescent="0.3">
      <c r="A101" s="42"/>
      <c r="B101" s="42"/>
      <c r="C101" s="36" t="str">
        <f>IF($A101="","",IFERROR(INDEX(SERVIZI!$B:$B,MATCH($B101,SERVIZI!$A:$A,0)),""))</f>
        <v/>
      </c>
      <c r="D101" s="42"/>
      <c r="E101" s="42"/>
      <c r="F101" s="48"/>
      <c r="G101" s="47" t="str">
        <f>IF($A101="","",IFERROR(INDEX(TEAM!$C:$C,MATCH($E101,TEAM!$A:$A,0)),0))</f>
        <v/>
      </c>
      <c r="H101" s="34" t="str">
        <f t="shared" si="3"/>
        <v/>
      </c>
      <c r="I101" s="42"/>
    </row>
    <row r="102" spans="1:9" x14ac:dyDescent="0.3">
      <c r="A102" s="42"/>
      <c r="B102" s="42"/>
      <c r="C102" s="36" t="str">
        <f>IF($A102="","",IFERROR(INDEX(SERVIZI!$B:$B,MATCH($B102,SERVIZI!$A:$A,0)),""))</f>
        <v/>
      </c>
      <c r="D102" s="42"/>
      <c r="E102" s="42"/>
      <c r="F102" s="48"/>
      <c r="G102" s="47" t="str">
        <f>IF($A102="","",IFERROR(INDEX(TEAM!$C:$C,MATCH($E102,TEAM!$A:$A,0)),0))</f>
        <v/>
      </c>
      <c r="H102" s="34" t="str">
        <f t="shared" si="3"/>
        <v/>
      </c>
      <c r="I102" s="42"/>
    </row>
    <row r="103" spans="1:9" x14ac:dyDescent="0.3">
      <c r="A103" s="42"/>
      <c r="B103" s="42"/>
      <c r="C103" s="36" t="str">
        <f>IF($A103="","",IFERROR(INDEX(SERVIZI!$B:$B,MATCH($B103,SERVIZI!$A:$A,0)),""))</f>
        <v/>
      </c>
      <c r="D103" s="42"/>
      <c r="E103" s="42"/>
      <c r="F103" s="48"/>
      <c r="G103" s="47" t="str">
        <f>IF($A103="","",IFERROR(INDEX(TEAM!$C:$C,MATCH($E103,TEAM!$A:$A,0)),0))</f>
        <v/>
      </c>
      <c r="H103" s="34" t="str">
        <f t="shared" si="3"/>
        <v/>
      </c>
      <c r="I103" s="42"/>
    </row>
    <row r="104" spans="1:9" x14ac:dyDescent="0.3">
      <c r="A104" s="42"/>
      <c r="B104" s="42"/>
      <c r="C104" s="36" t="str">
        <f>IF($A104="","",IFERROR(INDEX(SERVIZI!$B:$B,MATCH($B104,SERVIZI!$A:$A,0)),""))</f>
        <v/>
      </c>
      <c r="D104" s="42"/>
      <c r="E104" s="42"/>
      <c r="F104" s="48"/>
      <c r="G104" s="47" t="str">
        <f>IF($A104="","",IFERROR(INDEX(TEAM!$C:$C,MATCH($E104,TEAM!$A:$A,0)),0))</f>
        <v/>
      </c>
      <c r="H104" s="34" t="str">
        <f t="shared" si="3"/>
        <v/>
      </c>
      <c r="I104" s="42"/>
    </row>
    <row r="105" spans="1:9" x14ac:dyDescent="0.3">
      <c r="A105" s="42"/>
      <c r="B105" s="42"/>
      <c r="C105" s="36" t="str">
        <f>IF($A105="","",IFERROR(INDEX(SERVIZI!$B:$B,MATCH($B105,SERVIZI!$A:$A,0)),""))</f>
        <v/>
      </c>
      <c r="D105" s="42"/>
      <c r="E105" s="42"/>
      <c r="F105" s="48"/>
      <c r="G105" s="47" t="str">
        <f>IF($A105="","",IFERROR(INDEX(TEAM!$C:$C,MATCH($E105,TEAM!$A:$A,0)),0))</f>
        <v/>
      </c>
      <c r="H105" s="34" t="str">
        <f t="shared" si="3"/>
        <v/>
      </c>
      <c r="I105" s="42"/>
    </row>
    <row r="106" spans="1:9" x14ac:dyDescent="0.3">
      <c r="A106" s="42"/>
      <c r="B106" s="42"/>
      <c r="C106" s="36" t="str">
        <f>IF($A106="","",IFERROR(INDEX(SERVIZI!$B:$B,MATCH($B106,SERVIZI!$A:$A,0)),""))</f>
        <v/>
      </c>
      <c r="D106" s="42"/>
      <c r="E106" s="42"/>
      <c r="F106" s="48"/>
      <c r="G106" s="47" t="str">
        <f>IF($A106="","",IFERROR(INDEX(TEAM!$C:$C,MATCH($E106,TEAM!$A:$A,0)),0))</f>
        <v/>
      </c>
      <c r="H106" s="34" t="str">
        <f t="shared" si="3"/>
        <v/>
      </c>
      <c r="I106" s="42"/>
    </row>
    <row r="107" spans="1:9" x14ac:dyDescent="0.3">
      <c r="A107" s="42"/>
      <c r="B107" s="42"/>
      <c r="C107" s="36" t="str">
        <f>IF($A107="","",IFERROR(INDEX(SERVIZI!$B:$B,MATCH($B107,SERVIZI!$A:$A,0)),""))</f>
        <v/>
      </c>
      <c r="D107" s="42"/>
      <c r="E107" s="42"/>
      <c r="F107" s="48"/>
      <c r="G107" s="47" t="str">
        <f>IF($A107="","",IFERROR(INDEX(TEAM!$C:$C,MATCH($E107,TEAM!$A:$A,0)),0))</f>
        <v/>
      </c>
      <c r="H107" s="34" t="str">
        <f t="shared" si="3"/>
        <v/>
      </c>
      <c r="I107" s="42"/>
    </row>
    <row r="108" spans="1:9" x14ac:dyDescent="0.3">
      <c r="A108" s="42"/>
      <c r="B108" s="42"/>
      <c r="C108" s="36" t="str">
        <f>IF($A108="","",IFERROR(INDEX(SERVIZI!$B:$B,MATCH($B108,SERVIZI!$A:$A,0)),""))</f>
        <v/>
      </c>
      <c r="D108" s="42"/>
      <c r="E108" s="42"/>
      <c r="F108" s="48"/>
      <c r="G108" s="47" t="str">
        <f>IF($A108="","",IFERROR(INDEX(TEAM!$C:$C,MATCH($E108,TEAM!$A:$A,0)),0))</f>
        <v/>
      </c>
      <c r="H108" s="34" t="str">
        <f t="shared" si="3"/>
        <v/>
      </c>
      <c r="I108" s="42"/>
    </row>
    <row r="109" spans="1:9" x14ac:dyDescent="0.3">
      <c r="A109" s="42"/>
      <c r="B109" s="42"/>
      <c r="C109" s="36" t="str">
        <f>IF($A109="","",IFERROR(INDEX(SERVIZI!$B:$B,MATCH($B109,SERVIZI!$A:$A,0)),""))</f>
        <v/>
      </c>
      <c r="D109" s="42"/>
      <c r="E109" s="42"/>
      <c r="F109" s="48"/>
      <c r="G109" s="47" t="str">
        <f>IF($A109="","",IFERROR(INDEX(TEAM!$C:$C,MATCH($E109,TEAM!$A:$A,0)),0))</f>
        <v/>
      </c>
      <c r="H109" s="34" t="str">
        <f t="shared" si="3"/>
        <v/>
      </c>
      <c r="I109" s="42"/>
    </row>
    <row r="110" spans="1:9" x14ac:dyDescent="0.3">
      <c r="A110" s="42"/>
      <c r="B110" s="42"/>
      <c r="C110" s="36" t="str">
        <f>IF($A110="","",IFERROR(INDEX(SERVIZI!$B:$B,MATCH($B110,SERVIZI!$A:$A,0)),""))</f>
        <v/>
      </c>
      <c r="D110" s="42"/>
      <c r="E110" s="42"/>
      <c r="F110" s="48"/>
      <c r="G110" s="47" t="str">
        <f>IF($A110="","",IFERROR(INDEX(TEAM!$C:$C,MATCH($E110,TEAM!$A:$A,0)),0))</f>
        <v/>
      </c>
      <c r="H110" s="34" t="str">
        <f t="shared" si="3"/>
        <v/>
      </c>
      <c r="I110" s="42"/>
    </row>
    <row r="111" spans="1:9" x14ac:dyDescent="0.3">
      <c r="A111" s="42"/>
      <c r="B111" s="42"/>
      <c r="C111" s="36" t="str">
        <f>IF($A111="","",IFERROR(INDEX(SERVIZI!$B:$B,MATCH($B111,SERVIZI!$A:$A,0)),""))</f>
        <v/>
      </c>
      <c r="D111" s="42"/>
      <c r="E111" s="42"/>
      <c r="F111" s="48"/>
      <c r="G111" s="47" t="str">
        <f>IF($A111="","",IFERROR(INDEX(TEAM!$C:$C,MATCH($E111,TEAM!$A:$A,0)),0))</f>
        <v/>
      </c>
      <c r="H111" s="34" t="str">
        <f t="shared" si="3"/>
        <v/>
      </c>
      <c r="I111" s="42"/>
    </row>
    <row r="112" spans="1:9" x14ac:dyDescent="0.3">
      <c r="A112" s="42"/>
      <c r="B112" s="42"/>
      <c r="C112" s="36" t="str">
        <f>IF($A112="","",IFERROR(INDEX(SERVIZI!$B:$B,MATCH($B112,SERVIZI!$A:$A,0)),""))</f>
        <v/>
      </c>
      <c r="D112" s="42"/>
      <c r="E112" s="42"/>
      <c r="F112" s="48"/>
      <c r="G112" s="47" t="str">
        <f>IF($A112="","",IFERROR(INDEX(TEAM!$C:$C,MATCH($E112,TEAM!$A:$A,0)),0))</f>
        <v/>
      </c>
      <c r="H112" s="34" t="str">
        <f t="shared" si="3"/>
        <v/>
      </c>
      <c r="I112" s="42"/>
    </row>
    <row r="113" spans="1:9" x14ac:dyDescent="0.3">
      <c r="A113" s="42"/>
      <c r="B113" s="42"/>
      <c r="C113" s="36" t="str">
        <f>IF($A113="","",IFERROR(INDEX(SERVIZI!$B:$B,MATCH($B113,SERVIZI!$A:$A,0)),""))</f>
        <v/>
      </c>
      <c r="D113" s="42"/>
      <c r="E113" s="42"/>
      <c r="F113" s="48"/>
      <c r="G113" s="47" t="str">
        <f>IF($A113="","",IFERROR(INDEX(TEAM!$C:$C,MATCH($E113,TEAM!$A:$A,0)),0))</f>
        <v/>
      </c>
      <c r="H113" s="34" t="str">
        <f t="shared" si="3"/>
        <v/>
      </c>
      <c r="I113" s="42"/>
    </row>
    <row r="114" spans="1:9" x14ac:dyDescent="0.3">
      <c r="A114" s="42"/>
      <c r="B114" s="42"/>
      <c r="C114" s="36" t="str">
        <f>IF($A114="","",IFERROR(INDEX(SERVIZI!$B:$B,MATCH($B114,SERVIZI!$A:$A,0)),""))</f>
        <v/>
      </c>
      <c r="D114" s="42"/>
      <c r="E114" s="42"/>
      <c r="F114" s="48"/>
      <c r="G114" s="47" t="str">
        <f>IF($A114="","",IFERROR(INDEX(TEAM!$C:$C,MATCH($E114,TEAM!$A:$A,0)),0))</f>
        <v/>
      </c>
      <c r="H114" s="34" t="str">
        <f t="shared" si="3"/>
        <v/>
      </c>
      <c r="I114" s="42"/>
    </row>
    <row r="115" spans="1:9" x14ac:dyDescent="0.3">
      <c r="A115" s="42"/>
      <c r="B115" s="42"/>
      <c r="C115" s="36" t="str">
        <f>IF($A115="","",IFERROR(INDEX(SERVIZI!$B:$B,MATCH($B115,SERVIZI!$A:$A,0)),""))</f>
        <v/>
      </c>
      <c r="D115" s="42"/>
      <c r="E115" s="42"/>
      <c r="F115" s="48"/>
      <c r="G115" s="47" t="str">
        <f>IF($A115="","",IFERROR(INDEX(TEAM!$C:$C,MATCH($E115,TEAM!$A:$A,0)),0))</f>
        <v/>
      </c>
      <c r="H115" s="34" t="str">
        <f t="shared" si="3"/>
        <v/>
      </c>
      <c r="I115" s="42"/>
    </row>
    <row r="116" spans="1:9" x14ac:dyDescent="0.3">
      <c r="A116" s="42"/>
      <c r="B116" s="42"/>
      <c r="C116" s="36" t="str">
        <f>IF($A116="","",IFERROR(INDEX(SERVIZI!$B:$B,MATCH($B116,SERVIZI!$A:$A,0)),""))</f>
        <v/>
      </c>
      <c r="D116" s="42"/>
      <c r="E116" s="42"/>
      <c r="F116" s="48"/>
      <c r="G116" s="47" t="str">
        <f>IF($A116="","",IFERROR(INDEX(TEAM!$C:$C,MATCH($E116,TEAM!$A:$A,0)),0))</f>
        <v/>
      </c>
      <c r="H116" s="34" t="str">
        <f t="shared" si="3"/>
        <v/>
      </c>
      <c r="I116" s="42"/>
    </row>
    <row r="117" spans="1:9" x14ac:dyDescent="0.3">
      <c r="A117" s="42"/>
      <c r="B117" s="42"/>
      <c r="C117" s="36" t="str">
        <f>IF($A117="","",IFERROR(INDEX(SERVIZI!$B:$B,MATCH($B117,SERVIZI!$A:$A,0)),""))</f>
        <v/>
      </c>
      <c r="D117" s="42"/>
      <c r="E117" s="42"/>
      <c r="F117" s="48"/>
      <c r="G117" s="47" t="str">
        <f>IF($A117="","",IFERROR(INDEX(TEAM!$C:$C,MATCH($E117,TEAM!$A:$A,0)),0))</f>
        <v/>
      </c>
      <c r="H117" s="34" t="str">
        <f t="shared" si="3"/>
        <v/>
      </c>
      <c r="I117" s="42"/>
    </row>
    <row r="118" spans="1:9" x14ac:dyDescent="0.3">
      <c r="A118" s="42"/>
      <c r="B118" s="42"/>
      <c r="C118" s="36" t="str">
        <f>IF($A118="","",IFERROR(INDEX(SERVIZI!$B:$B,MATCH($B118,SERVIZI!$A:$A,0)),""))</f>
        <v/>
      </c>
      <c r="D118" s="42"/>
      <c r="E118" s="42"/>
      <c r="F118" s="48"/>
      <c r="G118" s="47" t="str">
        <f>IF($A118="","",IFERROR(INDEX(TEAM!$C:$C,MATCH($E118,TEAM!$A:$A,0)),0))</f>
        <v/>
      </c>
      <c r="H118" s="34" t="str">
        <f t="shared" si="3"/>
        <v/>
      </c>
      <c r="I118" s="42"/>
    </row>
    <row r="119" spans="1:9" x14ac:dyDescent="0.3">
      <c r="A119" s="42"/>
      <c r="B119" s="42"/>
      <c r="C119" s="36" t="str">
        <f>IF($A119="","",IFERROR(INDEX(SERVIZI!$B:$B,MATCH($B119,SERVIZI!$A:$A,0)),""))</f>
        <v/>
      </c>
      <c r="D119" s="42"/>
      <c r="E119" s="42"/>
      <c r="F119" s="48"/>
      <c r="G119" s="47" t="str">
        <f>IF($A119="","",IFERROR(INDEX(TEAM!$C:$C,MATCH($E119,TEAM!$A:$A,0)),0))</f>
        <v/>
      </c>
      <c r="H119" s="34" t="str">
        <f t="shared" si="3"/>
        <v/>
      </c>
      <c r="I119" s="42"/>
    </row>
    <row r="120" spans="1:9" x14ac:dyDescent="0.3">
      <c r="A120" s="42"/>
      <c r="B120" s="42"/>
      <c r="C120" s="36" t="str">
        <f>IF($A120="","",IFERROR(INDEX(SERVIZI!$B:$B,MATCH($B120,SERVIZI!$A:$A,0)),""))</f>
        <v/>
      </c>
      <c r="D120" s="42"/>
      <c r="E120" s="42"/>
      <c r="F120" s="48"/>
      <c r="G120" s="47" t="str">
        <f>IF($A120="","",IFERROR(INDEX(TEAM!$C:$C,MATCH($E120,TEAM!$A:$A,0)),0))</f>
        <v/>
      </c>
      <c r="H120" s="34" t="str">
        <f t="shared" si="3"/>
        <v/>
      </c>
      <c r="I120" s="42"/>
    </row>
    <row r="121" spans="1:9" x14ac:dyDescent="0.3">
      <c r="A121" s="42"/>
      <c r="B121" s="42"/>
      <c r="C121" s="36" t="str">
        <f>IF($A121="","",IFERROR(INDEX(SERVIZI!$B:$B,MATCH($B121,SERVIZI!$A:$A,0)),""))</f>
        <v/>
      </c>
      <c r="D121" s="42"/>
      <c r="E121" s="42"/>
      <c r="F121" s="48"/>
      <c r="G121" s="47" t="str">
        <f>IF($A121="","",IFERROR(INDEX(TEAM!$C:$C,MATCH($E121,TEAM!$A:$A,0)),0))</f>
        <v/>
      </c>
      <c r="H121" s="34" t="str">
        <f t="shared" si="3"/>
        <v/>
      </c>
      <c r="I121" s="42"/>
    </row>
    <row r="122" spans="1:9" x14ac:dyDescent="0.3">
      <c r="A122" s="42"/>
      <c r="B122" s="42"/>
      <c r="C122" s="36" t="str">
        <f>IF($A122="","",IFERROR(INDEX(SERVIZI!$B:$B,MATCH($B122,SERVIZI!$A:$A,0)),""))</f>
        <v/>
      </c>
      <c r="D122" s="42"/>
      <c r="E122" s="42"/>
      <c r="F122" s="48"/>
      <c r="G122" s="47" t="str">
        <f>IF($A122="","",IFERROR(INDEX(TEAM!$C:$C,MATCH($E122,TEAM!$A:$A,0)),0))</f>
        <v/>
      </c>
      <c r="H122" s="34" t="str">
        <f t="shared" si="3"/>
        <v/>
      </c>
      <c r="I122" s="42"/>
    </row>
    <row r="123" spans="1:9" x14ac:dyDescent="0.3">
      <c r="A123" s="42"/>
      <c r="B123" s="42"/>
      <c r="C123" s="36" t="str">
        <f>IF($A123="","",IFERROR(INDEX(SERVIZI!$B:$B,MATCH($B123,SERVIZI!$A:$A,0)),""))</f>
        <v/>
      </c>
      <c r="D123" s="42"/>
      <c r="E123" s="42"/>
      <c r="F123" s="48"/>
      <c r="G123" s="47" t="str">
        <f>IF($A123="","",IFERROR(INDEX(TEAM!$C:$C,MATCH($E123,TEAM!$A:$A,0)),0))</f>
        <v/>
      </c>
      <c r="H123" s="34" t="str">
        <f t="shared" si="3"/>
        <v/>
      </c>
      <c r="I123" s="42"/>
    </row>
    <row r="124" spans="1:9" x14ac:dyDescent="0.3">
      <c r="A124" s="42"/>
      <c r="B124" s="42"/>
      <c r="C124" s="36" t="str">
        <f>IF($A124="","",IFERROR(INDEX(SERVIZI!$B:$B,MATCH($B124,SERVIZI!$A:$A,0)),""))</f>
        <v/>
      </c>
      <c r="D124" s="42"/>
      <c r="E124" s="42"/>
      <c r="F124" s="48"/>
      <c r="G124" s="47" t="str">
        <f>IF($A124="","",IFERROR(INDEX(TEAM!$C:$C,MATCH($E124,TEAM!$A:$A,0)),0))</f>
        <v/>
      </c>
      <c r="H124" s="34" t="str">
        <f t="shared" si="3"/>
        <v/>
      </c>
      <c r="I124" s="42"/>
    </row>
    <row r="125" spans="1:9" x14ac:dyDescent="0.3">
      <c r="A125" s="42"/>
      <c r="B125" s="42"/>
      <c r="C125" s="36" t="str">
        <f>IF($A125="","",IFERROR(INDEX(SERVIZI!$B:$B,MATCH($B125,SERVIZI!$A:$A,0)),""))</f>
        <v/>
      </c>
      <c r="D125" s="42"/>
      <c r="E125" s="42"/>
      <c r="F125" s="48"/>
      <c r="G125" s="47" t="str">
        <f>IF($A125="","",IFERROR(INDEX(TEAM!$C:$C,MATCH($E125,TEAM!$A:$A,0)),0))</f>
        <v/>
      </c>
      <c r="H125" s="34" t="str">
        <f t="shared" si="3"/>
        <v/>
      </c>
      <c r="I125" s="42"/>
    </row>
    <row r="126" spans="1:9" x14ac:dyDescent="0.3">
      <c r="A126" s="42"/>
      <c r="B126" s="42"/>
      <c r="C126" s="36" t="str">
        <f>IF($A126="","",IFERROR(INDEX(SERVIZI!$B:$B,MATCH($B126,SERVIZI!$A:$A,0)),""))</f>
        <v/>
      </c>
      <c r="D126" s="42"/>
      <c r="E126" s="42"/>
      <c r="F126" s="48"/>
      <c r="G126" s="47" t="str">
        <f>IF($A126="","",IFERROR(INDEX(TEAM!$C:$C,MATCH($E126,TEAM!$A:$A,0)),0))</f>
        <v/>
      </c>
      <c r="H126" s="34" t="str">
        <f t="shared" si="3"/>
        <v/>
      </c>
      <c r="I126" s="42"/>
    </row>
    <row r="127" spans="1:9" x14ac:dyDescent="0.3">
      <c r="A127" s="42"/>
      <c r="B127" s="42"/>
      <c r="C127" s="36" t="str">
        <f>IF($A127="","",IFERROR(INDEX(SERVIZI!$B:$B,MATCH($B127,SERVIZI!$A:$A,0)),""))</f>
        <v/>
      </c>
      <c r="D127" s="42"/>
      <c r="E127" s="42"/>
      <c r="F127" s="48"/>
      <c r="G127" s="47" t="str">
        <f>IF($A127="","",IFERROR(INDEX(TEAM!$C:$C,MATCH($E127,TEAM!$A:$A,0)),0))</f>
        <v/>
      </c>
      <c r="H127" s="34" t="str">
        <f t="shared" si="3"/>
        <v/>
      </c>
      <c r="I127" s="42"/>
    </row>
    <row r="128" spans="1:9" x14ac:dyDescent="0.3">
      <c r="A128" s="42"/>
      <c r="B128" s="42"/>
      <c r="C128" s="36" t="str">
        <f>IF($A128="","",IFERROR(INDEX(SERVIZI!$B:$B,MATCH($B128,SERVIZI!$A:$A,0)),""))</f>
        <v/>
      </c>
      <c r="D128" s="42"/>
      <c r="E128" s="42"/>
      <c r="F128" s="48"/>
      <c r="G128" s="47" t="str">
        <f>IF($A128="","",IFERROR(INDEX(TEAM!$C:$C,MATCH($E128,TEAM!$A:$A,0)),0))</f>
        <v/>
      </c>
      <c r="H128" s="34" t="str">
        <f t="shared" si="3"/>
        <v/>
      </c>
      <c r="I128" s="42"/>
    </row>
    <row r="129" spans="1:9" x14ac:dyDescent="0.3">
      <c r="A129" s="42"/>
      <c r="B129" s="42"/>
      <c r="C129" s="36" t="str">
        <f>IF($A129="","",IFERROR(INDEX(SERVIZI!$B:$B,MATCH($B129,SERVIZI!$A:$A,0)),""))</f>
        <v/>
      </c>
      <c r="D129" s="42"/>
      <c r="E129" s="42"/>
      <c r="F129" s="48"/>
      <c r="G129" s="47" t="str">
        <f>IF($A129="","",IFERROR(INDEX(TEAM!$C:$C,MATCH($E129,TEAM!$A:$A,0)),0))</f>
        <v/>
      </c>
      <c r="H129" s="34" t="str">
        <f t="shared" si="3"/>
        <v/>
      </c>
      <c r="I129" s="42"/>
    </row>
    <row r="130" spans="1:9" x14ac:dyDescent="0.3">
      <c r="A130" s="42"/>
      <c r="B130" s="42"/>
      <c r="C130" s="36" t="str">
        <f>IF($A130="","",IFERROR(INDEX(SERVIZI!$B:$B,MATCH($B130,SERVIZI!$A:$A,0)),""))</f>
        <v/>
      </c>
      <c r="D130" s="42"/>
      <c r="E130" s="42"/>
      <c r="F130" s="48"/>
      <c r="G130" s="47" t="str">
        <f>IF($A130="","",IFERROR(INDEX(TEAM!$C:$C,MATCH($E130,TEAM!$A:$A,0)),0))</f>
        <v/>
      </c>
      <c r="H130" s="34" t="str">
        <f t="shared" ref="H130:H161" si="4">IF($A130="","",$F130*$G130)</f>
        <v/>
      </c>
      <c r="I130" s="42"/>
    </row>
    <row r="131" spans="1:9" x14ac:dyDescent="0.3">
      <c r="A131" s="42"/>
      <c r="B131" s="42"/>
      <c r="C131" s="36" t="str">
        <f>IF($A131="","",IFERROR(INDEX(SERVIZI!$B:$B,MATCH($B131,SERVIZI!$A:$A,0)),""))</f>
        <v/>
      </c>
      <c r="D131" s="42"/>
      <c r="E131" s="42"/>
      <c r="F131" s="48"/>
      <c r="G131" s="47" t="str">
        <f>IF($A131="","",IFERROR(INDEX(TEAM!$C:$C,MATCH($E131,TEAM!$A:$A,0)),0))</f>
        <v/>
      </c>
      <c r="H131" s="34" t="str">
        <f t="shared" si="4"/>
        <v/>
      </c>
      <c r="I131" s="42"/>
    </row>
    <row r="132" spans="1:9" x14ac:dyDescent="0.3">
      <c r="A132" s="42"/>
      <c r="B132" s="42"/>
      <c r="C132" s="36" t="str">
        <f>IF($A132="","",IFERROR(INDEX(SERVIZI!$B:$B,MATCH($B132,SERVIZI!$A:$A,0)),""))</f>
        <v/>
      </c>
      <c r="D132" s="42"/>
      <c r="E132" s="42"/>
      <c r="F132" s="48"/>
      <c r="G132" s="47" t="str">
        <f>IF($A132="","",IFERROR(INDEX(TEAM!$C:$C,MATCH($E132,TEAM!$A:$A,0)),0))</f>
        <v/>
      </c>
      <c r="H132" s="34" t="str">
        <f t="shared" si="4"/>
        <v/>
      </c>
      <c r="I132" s="42"/>
    </row>
    <row r="133" spans="1:9" x14ac:dyDescent="0.3">
      <c r="A133" s="42"/>
      <c r="B133" s="42"/>
      <c r="C133" s="36" t="str">
        <f>IF($A133="","",IFERROR(INDEX(SERVIZI!$B:$B,MATCH($B133,SERVIZI!$A:$A,0)),""))</f>
        <v/>
      </c>
      <c r="D133" s="42"/>
      <c r="E133" s="42"/>
      <c r="F133" s="48"/>
      <c r="G133" s="47" t="str">
        <f>IF($A133="","",IFERROR(INDEX(TEAM!$C:$C,MATCH($E133,TEAM!$A:$A,0)),0))</f>
        <v/>
      </c>
      <c r="H133" s="34" t="str">
        <f t="shared" si="4"/>
        <v/>
      </c>
      <c r="I133" s="42"/>
    </row>
    <row r="134" spans="1:9" x14ac:dyDescent="0.3">
      <c r="A134" s="42"/>
      <c r="B134" s="42"/>
      <c r="C134" s="36" t="str">
        <f>IF($A134="","",IFERROR(INDEX(SERVIZI!$B:$B,MATCH($B134,SERVIZI!$A:$A,0)),""))</f>
        <v/>
      </c>
      <c r="D134" s="42"/>
      <c r="E134" s="42"/>
      <c r="F134" s="48"/>
      <c r="G134" s="47" t="str">
        <f>IF($A134="","",IFERROR(INDEX(TEAM!$C:$C,MATCH($E134,TEAM!$A:$A,0)),0))</f>
        <v/>
      </c>
      <c r="H134" s="34" t="str">
        <f t="shared" si="4"/>
        <v/>
      </c>
      <c r="I134" s="42"/>
    </row>
    <row r="135" spans="1:9" x14ac:dyDescent="0.3">
      <c r="A135" s="42"/>
      <c r="B135" s="42"/>
      <c r="C135" s="36" t="str">
        <f>IF($A135="","",IFERROR(INDEX(SERVIZI!$B:$B,MATCH($B135,SERVIZI!$A:$A,0)),""))</f>
        <v/>
      </c>
      <c r="D135" s="42"/>
      <c r="E135" s="42"/>
      <c r="F135" s="48"/>
      <c r="G135" s="47" t="str">
        <f>IF($A135="","",IFERROR(INDEX(TEAM!$C:$C,MATCH($E135,TEAM!$A:$A,0)),0))</f>
        <v/>
      </c>
      <c r="H135" s="34" t="str">
        <f t="shared" si="4"/>
        <v/>
      </c>
      <c r="I135" s="42"/>
    </row>
    <row r="136" spans="1:9" x14ac:dyDescent="0.3">
      <c r="A136" s="42"/>
      <c r="B136" s="42"/>
      <c r="C136" s="36" t="str">
        <f>IF($A136="","",IFERROR(INDEX(SERVIZI!$B:$B,MATCH($B136,SERVIZI!$A:$A,0)),""))</f>
        <v/>
      </c>
      <c r="D136" s="42"/>
      <c r="E136" s="42"/>
      <c r="F136" s="48"/>
      <c r="G136" s="47" t="str">
        <f>IF($A136="","",IFERROR(INDEX(TEAM!$C:$C,MATCH($E136,TEAM!$A:$A,0)),0))</f>
        <v/>
      </c>
      <c r="H136" s="34" t="str">
        <f t="shared" si="4"/>
        <v/>
      </c>
      <c r="I136" s="42"/>
    </row>
    <row r="137" spans="1:9" x14ac:dyDescent="0.3">
      <c r="A137" s="42"/>
      <c r="B137" s="42"/>
      <c r="C137" s="36" t="str">
        <f>IF($A137="","",IFERROR(INDEX(SERVIZI!$B:$B,MATCH($B137,SERVIZI!$A:$A,0)),""))</f>
        <v/>
      </c>
      <c r="D137" s="42"/>
      <c r="E137" s="42"/>
      <c r="F137" s="48"/>
      <c r="G137" s="47" t="str">
        <f>IF($A137="","",IFERROR(INDEX(TEAM!$C:$C,MATCH($E137,TEAM!$A:$A,0)),0))</f>
        <v/>
      </c>
      <c r="H137" s="34" t="str">
        <f t="shared" si="4"/>
        <v/>
      </c>
      <c r="I137" s="42"/>
    </row>
    <row r="138" spans="1:9" x14ac:dyDescent="0.3">
      <c r="A138" s="42"/>
      <c r="B138" s="42"/>
      <c r="C138" s="36" t="str">
        <f>IF($A138="","",IFERROR(INDEX(SERVIZI!$B:$B,MATCH($B138,SERVIZI!$A:$A,0)),""))</f>
        <v/>
      </c>
      <c r="D138" s="42"/>
      <c r="E138" s="42"/>
      <c r="F138" s="48"/>
      <c r="G138" s="47" t="str">
        <f>IF($A138="","",IFERROR(INDEX(TEAM!$C:$C,MATCH($E138,TEAM!$A:$A,0)),0))</f>
        <v/>
      </c>
      <c r="H138" s="34" t="str">
        <f t="shared" si="4"/>
        <v/>
      </c>
      <c r="I138" s="42"/>
    </row>
    <row r="139" spans="1:9" x14ac:dyDescent="0.3">
      <c r="A139" s="42"/>
      <c r="B139" s="42"/>
      <c r="C139" s="36" t="str">
        <f>IF($A139="","",IFERROR(INDEX(SERVIZI!$B:$B,MATCH($B139,SERVIZI!$A:$A,0)),""))</f>
        <v/>
      </c>
      <c r="D139" s="42"/>
      <c r="E139" s="42"/>
      <c r="F139" s="48"/>
      <c r="G139" s="47" t="str">
        <f>IF($A139="","",IFERROR(INDEX(TEAM!$C:$C,MATCH($E139,TEAM!$A:$A,0)),0))</f>
        <v/>
      </c>
      <c r="H139" s="34" t="str">
        <f t="shared" si="4"/>
        <v/>
      </c>
      <c r="I139" s="42"/>
    </row>
    <row r="140" spans="1:9" x14ac:dyDescent="0.3">
      <c r="A140" s="42"/>
      <c r="B140" s="42"/>
      <c r="C140" s="36" t="str">
        <f>IF($A140="","",IFERROR(INDEX(SERVIZI!$B:$B,MATCH($B140,SERVIZI!$A:$A,0)),""))</f>
        <v/>
      </c>
      <c r="D140" s="42"/>
      <c r="E140" s="42"/>
      <c r="F140" s="48"/>
      <c r="G140" s="47" t="str">
        <f>IF($A140="","",IFERROR(INDEX(TEAM!$C:$C,MATCH($E140,TEAM!$A:$A,0)),0))</f>
        <v/>
      </c>
      <c r="H140" s="34" t="str">
        <f t="shared" si="4"/>
        <v/>
      </c>
      <c r="I140" s="42"/>
    </row>
    <row r="141" spans="1:9" x14ac:dyDescent="0.3">
      <c r="A141" s="42"/>
      <c r="B141" s="42"/>
      <c r="C141" s="36" t="str">
        <f>IF($A141="","",IFERROR(INDEX(SERVIZI!$B:$B,MATCH($B141,SERVIZI!$A:$A,0)),""))</f>
        <v/>
      </c>
      <c r="D141" s="42"/>
      <c r="E141" s="42"/>
      <c r="F141" s="48"/>
      <c r="G141" s="47" t="str">
        <f>IF($A141="","",IFERROR(INDEX(TEAM!$C:$C,MATCH($E141,TEAM!$A:$A,0)),0))</f>
        <v/>
      </c>
      <c r="H141" s="34" t="str">
        <f t="shared" si="4"/>
        <v/>
      </c>
      <c r="I141" s="42"/>
    </row>
    <row r="142" spans="1:9" x14ac:dyDescent="0.3">
      <c r="A142" s="42"/>
      <c r="B142" s="42"/>
      <c r="C142" s="36" t="str">
        <f>IF($A142="","",IFERROR(INDEX(SERVIZI!$B:$B,MATCH($B142,SERVIZI!$A:$A,0)),""))</f>
        <v/>
      </c>
      <c r="D142" s="42"/>
      <c r="E142" s="42"/>
      <c r="F142" s="48"/>
      <c r="G142" s="47" t="str">
        <f>IF($A142="","",IFERROR(INDEX(TEAM!$C:$C,MATCH($E142,TEAM!$A:$A,0)),0))</f>
        <v/>
      </c>
      <c r="H142" s="34" t="str">
        <f t="shared" si="4"/>
        <v/>
      </c>
      <c r="I142" s="42"/>
    </row>
    <row r="143" spans="1:9" x14ac:dyDescent="0.3">
      <c r="A143" s="42"/>
      <c r="B143" s="42"/>
      <c r="C143" s="36" t="str">
        <f>IF($A143="","",IFERROR(INDEX(SERVIZI!$B:$B,MATCH($B143,SERVIZI!$A:$A,0)),""))</f>
        <v/>
      </c>
      <c r="D143" s="42"/>
      <c r="E143" s="42"/>
      <c r="F143" s="48"/>
      <c r="G143" s="47" t="str">
        <f>IF($A143="","",IFERROR(INDEX(TEAM!$C:$C,MATCH($E143,TEAM!$A:$A,0)),0))</f>
        <v/>
      </c>
      <c r="H143" s="34" t="str">
        <f t="shared" si="4"/>
        <v/>
      </c>
      <c r="I143" s="42"/>
    </row>
    <row r="144" spans="1:9" x14ac:dyDescent="0.3">
      <c r="A144" s="42"/>
      <c r="B144" s="42"/>
      <c r="C144" s="36" t="str">
        <f>IF($A144="","",IFERROR(INDEX(SERVIZI!$B:$B,MATCH($B144,SERVIZI!$A:$A,0)),""))</f>
        <v/>
      </c>
      <c r="D144" s="42"/>
      <c r="E144" s="42"/>
      <c r="F144" s="48"/>
      <c r="G144" s="47" t="str">
        <f>IF($A144="","",IFERROR(INDEX(TEAM!$C:$C,MATCH($E144,TEAM!$A:$A,0)),0))</f>
        <v/>
      </c>
      <c r="H144" s="34" t="str">
        <f t="shared" si="4"/>
        <v/>
      </c>
      <c r="I144" s="42"/>
    </row>
    <row r="145" spans="1:9" x14ac:dyDescent="0.3">
      <c r="A145" s="42"/>
      <c r="B145" s="42"/>
      <c r="C145" s="36" t="str">
        <f>IF($A145="","",IFERROR(INDEX(SERVIZI!$B:$B,MATCH($B145,SERVIZI!$A:$A,0)),""))</f>
        <v/>
      </c>
      <c r="D145" s="42"/>
      <c r="E145" s="42"/>
      <c r="F145" s="48"/>
      <c r="G145" s="47" t="str">
        <f>IF($A145="","",IFERROR(INDEX(TEAM!$C:$C,MATCH($E145,TEAM!$A:$A,0)),0))</f>
        <v/>
      </c>
      <c r="H145" s="34" t="str">
        <f t="shared" si="4"/>
        <v/>
      </c>
      <c r="I145" s="42"/>
    </row>
    <row r="146" spans="1:9" x14ac:dyDescent="0.3">
      <c r="A146" s="42"/>
      <c r="B146" s="42"/>
      <c r="C146" s="36" t="str">
        <f>IF($A146="","",IFERROR(INDEX(SERVIZI!$B:$B,MATCH($B146,SERVIZI!$A:$A,0)),""))</f>
        <v/>
      </c>
      <c r="D146" s="42"/>
      <c r="E146" s="42"/>
      <c r="F146" s="48"/>
      <c r="G146" s="47" t="str">
        <f>IF($A146="","",IFERROR(INDEX(TEAM!$C:$C,MATCH($E146,TEAM!$A:$A,0)),0))</f>
        <v/>
      </c>
      <c r="H146" s="34" t="str">
        <f t="shared" si="4"/>
        <v/>
      </c>
      <c r="I146" s="42"/>
    </row>
    <row r="147" spans="1:9" x14ac:dyDescent="0.3">
      <c r="A147" s="42"/>
      <c r="B147" s="42"/>
      <c r="C147" s="36" t="str">
        <f>IF($A147="","",IFERROR(INDEX(SERVIZI!$B:$B,MATCH($B147,SERVIZI!$A:$A,0)),""))</f>
        <v/>
      </c>
      <c r="D147" s="42"/>
      <c r="E147" s="42"/>
      <c r="F147" s="48"/>
      <c r="G147" s="47" t="str">
        <f>IF($A147="","",IFERROR(INDEX(TEAM!$C:$C,MATCH($E147,TEAM!$A:$A,0)),0))</f>
        <v/>
      </c>
      <c r="H147" s="34" t="str">
        <f t="shared" si="4"/>
        <v/>
      </c>
      <c r="I147" s="42"/>
    </row>
    <row r="148" spans="1:9" x14ac:dyDescent="0.3">
      <c r="A148" s="42"/>
      <c r="B148" s="42"/>
      <c r="C148" s="36" t="str">
        <f>IF($A148="","",IFERROR(INDEX(SERVIZI!$B:$B,MATCH($B148,SERVIZI!$A:$A,0)),""))</f>
        <v/>
      </c>
      <c r="D148" s="42"/>
      <c r="E148" s="42"/>
      <c r="F148" s="48"/>
      <c r="G148" s="47" t="str">
        <f>IF($A148="","",IFERROR(INDEX(TEAM!$C:$C,MATCH($E148,TEAM!$A:$A,0)),0))</f>
        <v/>
      </c>
      <c r="H148" s="34" t="str">
        <f t="shared" si="4"/>
        <v/>
      </c>
      <c r="I148" s="42"/>
    </row>
    <row r="149" spans="1:9" x14ac:dyDescent="0.3">
      <c r="A149" s="42"/>
      <c r="B149" s="42"/>
      <c r="C149" s="36" t="str">
        <f>IF($A149="","",IFERROR(INDEX(SERVIZI!$B:$B,MATCH($B149,SERVIZI!$A:$A,0)),""))</f>
        <v/>
      </c>
      <c r="D149" s="42"/>
      <c r="E149" s="42"/>
      <c r="F149" s="48"/>
      <c r="G149" s="47" t="str">
        <f>IF($A149="","",IFERROR(INDEX(TEAM!$C:$C,MATCH($E149,TEAM!$A:$A,0)),0))</f>
        <v/>
      </c>
      <c r="H149" s="34" t="str">
        <f t="shared" si="4"/>
        <v/>
      </c>
      <c r="I149" s="42"/>
    </row>
    <row r="150" spans="1:9" x14ac:dyDescent="0.3">
      <c r="A150" s="42"/>
      <c r="B150" s="42"/>
      <c r="C150" s="36" t="str">
        <f>IF($A150="","",IFERROR(INDEX(SERVIZI!$B:$B,MATCH($B150,SERVIZI!$A:$A,0)),""))</f>
        <v/>
      </c>
      <c r="D150" s="42"/>
      <c r="E150" s="42"/>
      <c r="F150" s="48"/>
      <c r="G150" s="47" t="str">
        <f>IF($A150="","",IFERROR(INDEX(TEAM!$C:$C,MATCH($E150,TEAM!$A:$A,0)),0))</f>
        <v/>
      </c>
      <c r="H150" s="34" t="str">
        <f t="shared" si="4"/>
        <v/>
      </c>
      <c r="I150" s="42"/>
    </row>
    <row r="151" spans="1:9" x14ac:dyDescent="0.3">
      <c r="A151" s="42"/>
      <c r="B151" s="42"/>
      <c r="C151" s="36" t="str">
        <f>IF($A151="","",IFERROR(INDEX(SERVIZI!$B:$B,MATCH($B151,SERVIZI!$A:$A,0)),""))</f>
        <v/>
      </c>
      <c r="D151" s="42"/>
      <c r="E151" s="42"/>
      <c r="F151" s="48"/>
      <c r="G151" s="47" t="str">
        <f>IF($A151="","",IFERROR(INDEX(TEAM!$C:$C,MATCH($E151,TEAM!$A:$A,0)),0))</f>
        <v/>
      </c>
      <c r="H151" s="34" t="str">
        <f t="shared" si="4"/>
        <v/>
      </c>
      <c r="I151" s="42"/>
    </row>
    <row r="152" spans="1:9" x14ac:dyDescent="0.3">
      <c r="A152" s="42"/>
      <c r="B152" s="42"/>
      <c r="C152" s="36" t="str">
        <f>IF($A152="","",IFERROR(INDEX(SERVIZI!$B:$B,MATCH($B152,SERVIZI!$A:$A,0)),""))</f>
        <v/>
      </c>
      <c r="D152" s="42"/>
      <c r="E152" s="42"/>
      <c r="F152" s="48"/>
      <c r="G152" s="47" t="str">
        <f>IF($A152="","",IFERROR(INDEX(TEAM!$C:$C,MATCH($E152,TEAM!$A:$A,0)),0))</f>
        <v/>
      </c>
      <c r="H152" s="34" t="str">
        <f t="shared" si="4"/>
        <v/>
      </c>
      <c r="I152" s="42"/>
    </row>
    <row r="153" spans="1:9" x14ac:dyDescent="0.3">
      <c r="A153" s="42"/>
      <c r="B153" s="42"/>
      <c r="C153" s="36" t="str">
        <f>IF($A153="","",IFERROR(INDEX(SERVIZI!$B:$B,MATCH($B153,SERVIZI!$A:$A,0)),""))</f>
        <v/>
      </c>
      <c r="D153" s="42"/>
      <c r="E153" s="42"/>
      <c r="F153" s="48"/>
      <c r="G153" s="47" t="str">
        <f>IF($A153="","",IFERROR(INDEX(TEAM!$C:$C,MATCH($E153,TEAM!$A:$A,0)),0))</f>
        <v/>
      </c>
      <c r="H153" s="34" t="str">
        <f t="shared" si="4"/>
        <v/>
      </c>
      <c r="I153" s="42"/>
    </row>
    <row r="154" spans="1:9" x14ac:dyDescent="0.3">
      <c r="A154" s="42"/>
      <c r="B154" s="42"/>
      <c r="C154" s="36" t="str">
        <f>IF($A154="","",IFERROR(INDEX(SERVIZI!$B:$B,MATCH($B154,SERVIZI!$A:$A,0)),""))</f>
        <v/>
      </c>
      <c r="D154" s="42"/>
      <c r="E154" s="42"/>
      <c r="F154" s="48"/>
      <c r="G154" s="47" t="str">
        <f>IF($A154="","",IFERROR(INDEX(TEAM!$C:$C,MATCH($E154,TEAM!$A:$A,0)),0))</f>
        <v/>
      </c>
      <c r="H154" s="34" t="str">
        <f t="shared" si="4"/>
        <v/>
      </c>
      <c r="I154" s="42"/>
    </row>
    <row r="155" spans="1:9" x14ac:dyDescent="0.3">
      <c r="A155" s="42"/>
      <c r="B155" s="42"/>
      <c r="C155" s="36" t="str">
        <f>IF($A155="","",IFERROR(INDEX(SERVIZI!$B:$B,MATCH($B155,SERVIZI!$A:$A,0)),""))</f>
        <v/>
      </c>
      <c r="D155" s="42"/>
      <c r="E155" s="42"/>
      <c r="F155" s="48"/>
      <c r="G155" s="47" t="str">
        <f>IF($A155="","",IFERROR(INDEX(TEAM!$C:$C,MATCH($E155,TEAM!$A:$A,0)),0))</f>
        <v/>
      </c>
      <c r="H155" s="34" t="str">
        <f t="shared" si="4"/>
        <v/>
      </c>
      <c r="I155" s="42"/>
    </row>
    <row r="156" spans="1:9" x14ac:dyDescent="0.3">
      <c r="A156" s="42"/>
      <c r="B156" s="42"/>
      <c r="C156" s="36" t="str">
        <f>IF($A156="","",IFERROR(INDEX(SERVIZI!$B:$B,MATCH($B156,SERVIZI!$A:$A,0)),""))</f>
        <v/>
      </c>
      <c r="D156" s="42"/>
      <c r="E156" s="42"/>
      <c r="F156" s="48"/>
      <c r="G156" s="47" t="str">
        <f>IF($A156="","",IFERROR(INDEX(TEAM!$C:$C,MATCH($E156,TEAM!$A:$A,0)),0))</f>
        <v/>
      </c>
      <c r="H156" s="34" t="str">
        <f t="shared" si="4"/>
        <v/>
      </c>
      <c r="I156" s="42"/>
    </row>
    <row r="157" spans="1:9" x14ac:dyDescent="0.3">
      <c r="A157" s="42"/>
      <c r="B157" s="42"/>
      <c r="C157" s="36" t="str">
        <f>IF($A157="","",IFERROR(INDEX(SERVIZI!$B:$B,MATCH($B157,SERVIZI!$A:$A,0)),""))</f>
        <v/>
      </c>
      <c r="D157" s="42"/>
      <c r="E157" s="42"/>
      <c r="F157" s="48"/>
      <c r="G157" s="47" t="str">
        <f>IF($A157="","",IFERROR(INDEX(TEAM!$C:$C,MATCH($E157,TEAM!$A:$A,0)),0))</f>
        <v/>
      </c>
      <c r="H157" s="34" t="str">
        <f t="shared" si="4"/>
        <v/>
      </c>
      <c r="I157" s="42"/>
    </row>
    <row r="158" spans="1:9" x14ac:dyDescent="0.3">
      <c r="A158" s="42"/>
      <c r="B158" s="42"/>
      <c r="C158" s="36" t="str">
        <f>IF($A158="","",IFERROR(INDEX(SERVIZI!$B:$B,MATCH($B158,SERVIZI!$A:$A,0)),""))</f>
        <v/>
      </c>
      <c r="D158" s="42"/>
      <c r="E158" s="42"/>
      <c r="F158" s="48"/>
      <c r="G158" s="47" t="str">
        <f>IF($A158="","",IFERROR(INDEX(TEAM!$C:$C,MATCH($E158,TEAM!$A:$A,0)),0))</f>
        <v/>
      </c>
      <c r="H158" s="34" t="str">
        <f t="shared" si="4"/>
        <v/>
      </c>
      <c r="I158" s="42"/>
    </row>
    <row r="159" spans="1:9" x14ac:dyDescent="0.3">
      <c r="A159" s="42"/>
      <c r="B159" s="42"/>
      <c r="C159" s="36" t="str">
        <f>IF($A159="","",IFERROR(INDEX(SERVIZI!$B:$B,MATCH($B159,SERVIZI!$A:$A,0)),""))</f>
        <v/>
      </c>
      <c r="D159" s="42"/>
      <c r="E159" s="42"/>
      <c r="F159" s="48"/>
      <c r="G159" s="47" t="str">
        <f>IF($A159="","",IFERROR(INDEX(TEAM!$C:$C,MATCH($E159,TEAM!$A:$A,0)),0))</f>
        <v/>
      </c>
      <c r="H159" s="34" t="str">
        <f t="shared" si="4"/>
        <v/>
      </c>
      <c r="I159" s="42"/>
    </row>
    <row r="160" spans="1:9" x14ac:dyDescent="0.3">
      <c r="A160" s="42"/>
      <c r="B160" s="42"/>
      <c r="C160" s="36" t="str">
        <f>IF($A160="","",IFERROR(INDEX(SERVIZI!$B:$B,MATCH($B160,SERVIZI!$A:$A,0)),""))</f>
        <v/>
      </c>
      <c r="D160" s="42"/>
      <c r="E160" s="42"/>
      <c r="F160" s="48"/>
      <c r="G160" s="47" t="str">
        <f>IF($A160="","",IFERROR(INDEX(TEAM!$C:$C,MATCH($E160,TEAM!$A:$A,0)),0))</f>
        <v/>
      </c>
      <c r="H160" s="34" t="str">
        <f t="shared" si="4"/>
        <v/>
      </c>
      <c r="I160" s="42"/>
    </row>
    <row r="161" spans="1:9" x14ac:dyDescent="0.3">
      <c r="A161" s="42"/>
      <c r="B161" s="42"/>
      <c r="C161" s="36" t="str">
        <f>IF($A161="","",IFERROR(INDEX(SERVIZI!$B:$B,MATCH($B161,SERVIZI!$A:$A,0)),""))</f>
        <v/>
      </c>
      <c r="D161" s="42"/>
      <c r="E161" s="42"/>
      <c r="F161" s="48"/>
      <c r="G161" s="47" t="str">
        <f>IF($A161="","",IFERROR(INDEX(TEAM!$C:$C,MATCH($E161,TEAM!$A:$A,0)),0))</f>
        <v/>
      </c>
      <c r="H161" s="34" t="str">
        <f t="shared" si="4"/>
        <v/>
      </c>
      <c r="I161" s="42"/>
    </row>
    <row r="162" spans="1:9" x14ac:dyDescent="0.3">
      <c r="A162" s="42"/>
      <c r="B162" s="42"/>
      <c r="C162" s="36" t="str">
        <f>IF($A162="","",IFERROR(INDEX(SERVIZI!$B:$B,MATCH($B162,SERVIZI!$A:$A,0)),""))</f>
        <v/>
      </c>
      <c r="D162" s="42"/>
      <c r="E162" s="42"/>
      <c r="F162" s="48"/>
      <c r="G162" s="47" t="str">
        <f>IF($A162="","",IFERROR(INDEX(TEAM!$C:$C,MATCH($E162,TEAM!$A:$A,0)),0))</f>
        <v/>
      </c>
      <c r="H162" s="34" t="str">
        <f t="shared" ref="H162:H193" si="5">IF($A162="","",$F162*$G162)</f>
        <v/>
      </c>
      <c r="I162" s="42"/>
    </row>
    <row r="163" spans="1:9" x14ac:dyDescent="0.3">
      <c r="A163" s="42"/>
      <c r="B163" s="42"/>
      <c r="C163" s="36" t="str">
        <f>IF($A163="","",IFERROR(INDEX(SERVIZI!$B:$B,MATCH($B163,SERVIZI!$A:$A,0)),""))</f>
        <v/>
      </c>
      <c r="D163" s="42"/>
      <c r="E163" s="42"/>
      <c r="F163" s="48"/>
      <c r="G163" s="47" t="str">
        <f>IF($A163="","",IFERROR(INDEX(TEAM!$C:$C,MATCH($E163,TEAM!$A:$A,0)),0))</f>
        <v/>
      </c>
      <c r="H163" s="34" t="str">
        <f t="shared" si="5"/>
        <v/>
      </c>
      <c r="I163" s="42"/>
    </row>
    <row r="164" spans="1:9" x14ac:dyDescent="0.3">
      <c r="A164" s="42"/>
      <c r="B164" s="42"/>
      <c r="C164" s="36" t="str">
        <f>IF($A164="","",IFERROR(INDEX(SERVIZI!$B:$B,MATCH($B164,SERVIZI!$A:$A,0)),""))</f>
        <v/>
      </c>
      <c r="D164" s="42"/>
      <c r="E164" s="42"/>
      <c r="F164" s="48"/>
      <c r="G164" s="47" t="str">
        <f>IF($A164="","",IFERROR(INDEX(TEAM!$C:$C,MATCH($E164,TEAM!$A:$A,0)),0))</f>
        <v/>
      </c>
      <c r="H164" s="34" t="str">
        <f t="shared" si="5"/>
        <v/>
      </c>
      <c r="I164" s="42"/>
    </row>
    <row r="165" spans="1:9" x14ac:dyDescent="0.3">
      <c r="A165" s="42"/>
      <c r="B165" s="42"/>
      <c r="C165" s="36" t="str">
        <f>IF($A165="","",IFERROR(INDEX(SERVIZI!$B:$B,MATCH($B165,SERVIZI!$A:$A,0)),""))</f>
        <v/>
      </c>
      <c r="D165" s="42"/>
      <c r="E165" s="42"/>
      <c r="F165" s="48"/>
      <c r="G165" s="47" t="str">
        <f>IF($A165="","",IFERROR(INDEX(TEAM!$C:$C,MATCH($E165,TEAM!$A:$A,0)),0))</f>
        <v/>
      </c>
      <c r="H165" s="34" t="str">
        <f t="shared" si="5"/>
        <v/>
      </c>
      <c r="I165" s="42"/>
    </row>
    <row r="166" spans="1:9" x14ac:dyDescent="0.3">
      <c r="A166" s="42"/>
      <c r="B166" s="42"/>
      <c r="C166" s="36" t="str">
        <f>IF($A166="","",IFERROR(INDEX(SERVIZI!$B:$B,MATCH($B166,SERVIZI!$A:$A,0)),""))</f>
        <v/>
      </c>
      <c r="D166" s="42"/>
      <c r="E166" s="42"/>
      <c r="F166" s="48"/>
      <c r="G166" s="47" t="str">
        <f>IF($A166="","",IFERROR(INDEX(TEAM!$C:$C,MATCH($E166,TEAM!$A:$A,0)),0))</f>
        <v/>
      </c>
      <c r="H166" s="34" t="str">
        <f t="shared" si="5"/>
        <v/>
      </c>
      <c r="I166" s="42"/>
    </row>
    <row r="167" spans="1:9" x14ac:dyDescent="0.3">
      <c r="A167" s="42"/>
      <c r="B167" s="42"/>
      <c r="C167" s="36" t="str">
        <f>IF($A167="","",IFERROR(INDEX(SERVIZI!$B:$B,MATCH($B167,SERVIZI!$A:$A,0)),""))</f>
        <v/>
      </c>
      <c r="D167" s="42"/>
      <c r="E167" s="42"/>
      <c r="F167" s="48"/>
      <c r="G167" s="47" t="str">
        <f>IF($A167="","",IFERROR(INDEX(TEAM!$C:$C,MATCH($E167,TEAM!$A:$A,0)),0))</f>
        <v/>
      </c>
      <c r="H167" s="34" t="str">
        <f t="shared" si="5"/>
        <v/>
      </c>
      <c r="I167" s="42"/>
    </row>
    <row r="168" spans="1:9" x14ac:dyDescent="0.3">
      <c r="A168" s="42"/>
      <c r="B168" s="42"/>
      <c r="C168" s="36" t="str">
        <f>IF($A168="","",IFERROR(INDEX(SERVIZI!$B:$B,MATCH($B168,SERVIZI!$A:$A,0)),""))</f>
        <v/>
      </c>
      <c r="D168" s="42"/>
      <c r="E168" s="42"/>
      <c r="F168" s="48"/>
      <c r="G168" s="47" t="str">
        <f>IF($A168="","",IFERROR(INDEX(TEAM!$C:$C,MATCH($E168,TEAM!$A:$A,0)),0))</f>
        <v/>
      </c>
      <c r="H168" s="34" t="str">
        <f t="shared" si="5"/>
        <v/>
      </c>
      <c r="I168" s="42"/>
    </row>
    <row r="169" spans="1:9" x14ac:dyDescent="0.3">
      <c r="A169" s="42"/>
      <c r="B169" s="42"/>
      <c r="C169" s="36" t="str">
        <f>IF($A169="","",IFERROR(INDEX(SERVIZI!$B:$B,MATCH($B169,SERVIZI!$A:$A,0)),""))</f>
        <v/>
      </c>
      <c r="D169" s="42"/>
      <c r="E169" s="42"/>
      <c r="F169" s="48"/>
      <c r="G169" s="47" t="str">
        <f>IF($A169="","",IFERROR(INDEX(TEAM!$C:$C,MATCH($E169,TEAM!$A:$A,0)),0))</f>
        <v/>
      </c>
      <c r="H169" s="34" t="str">
        <f t="shared" si="5"/>
        <v/>
      </c>
      <c r="I169" s="42"/>
    </row>
    <row r="170" spans="1:9" x14ac:dyDescent="0.3">
      <c r="A170" s="42"/>
      <c r="B170" s="42"/>
      <c r="C170" s="36" t="str">
        <f>IF($A170="","",IFERROR(INDEX(SERVIZI!$B:$B,MATCH($B170,SERVIZI!$A:$A,0)),""))</f>
        <v/>
      </c>
      <c r="D170" s="42"/>
      <c r="E170" s="42"/>
      <c r="F170" s="48"/>
      <c r="G170" s="47" t="str">
        <f>IF($A170="","",IFERROR(INDEX(TEAM!$C:$C,MATCH($E170,TEAM!$A:$A,0)),0))</f>
        <v/>
      </c>
      <c r="H170" s="34" t="str">
        <f t="shared" si="5"/>
        <v/>
      </c>
      <c r="I170" s="42"/>
    </row>
    <row r="171" spans="1:9" x14ac:dyDescent="0.3">
      <c r="A171" s="42"/>
      <c r="B171" s="42"/>
      <c r="C171" s="36" t="str">
        <f>IF($A171="","",IFERROR(INDEX(SERVIZI!$B:$B,MATCH($B171,SERVIZI!$A:$A,0)),""))</f>
        <v/>
      </c>
      <c r="D171" s="42"/>
      <c r="E171" s="42"/>
      <c r="F171" s="48"/>
      <c r="G171" s="47" t="str">
        <f>IF($A171="","",IFERROR(INDEX(TEAM!$C:$C,MATCH($E171,TEAM!$A:$A,0)),0))</f>
        <v/>
      </c>
      <c r="H171" s="34" t="str">
        <f t="shared" si="5"/>
        <v/>
      </c>
      <c r="I171" s="42"/>
    </row>
    <row r="172" spans="1:9" x14ac:dyDescent="0.3">
      <c r="A172" s="42"/>
      <c r="B172" s="42"/>
      <c r="C172" s="36" t="str">
        <f>IF($A172="","",IFERROR(INDEX(SERVIZI!$B:$B,MATCH($B172,SERVIZI!$A:$A,0)),""))</f>
        <v/>
      </c>
      <c r="D172" s="42"/>
      <c r="E172" s="42"/>
      <c r="F172" s="48"/>
      <c r="G172" s="47" t="str">
        <f>IF($A172="","",IFERROR(INDEX(TEAM!$C:$C,MATCH($E172,TEAM!$A:$A,0)),0))</f>
        <v/>
      </c>
      <c r="H172" s="34" t="str">
        <f t="shared" si="5"/>
        <v/>
      </c>
      <c r="I172" s="42"/>
    </row>
    <row r="173" spans="1:9" x14ac:dyDescent="0.3">
      <c r="A173" s="42"/>
      <c r="B173" s="42"/>
      <c r="C173" s="36" t="str">
        <f>IF($A173="","",IFERROR(INDEX(SERVIZI!$B:$B,MATCH($B173,SERVIZI!$A:$A,0)),""))</f>
        <v/>
      </c>
      <c r="D173" s="42"/>
      <c r="E173" s="42"/>
      <c r="F173" s="48"/>
      <c r="G173" s="47" t="str">
        <f>IF($A173="","",IFERROR(INDEX(TEAM!$C:$C,MATCH($E173,TEAM!$A:$A,0)),0))</f>
        <v/>
      </c>
      <c r="H173" s="34" t="str">
        <f t="shared" si="5"/>
        <v/>
      </c>
      <c r="I173" s="42"/>
    </row>
    <row r="174" spans="1:9" x14ac:dyDescent="0.3">
      <c r="A174" s="42"/>
      <c r="B174" s="42"/>
      <c r="C174" s="36" t="str">
        <f>IF($A174="","",IFERROR(INDEX(SERVIZI!$B:$B,MATCH($B174,SERVIZI!$A:$A,0)),""))</f>
        <v/>
      </c>
      <c r="D174" s="42"/>
      <c r="E174" s="42"/>
      <c r="F174" s="48"/>
      <c r="G174" s="47" t="str">
        <f>IF($A174="","",IFERROR(INDEX(TEAM!$C:$C,MATCH($E174,TEAM!$A:$A,0)),0))</f>
        <v/>
      </c>
      <c r="H174" s="34" t="str">
        <f t="shared" si="5"/>
        <v/>
      </c>
      <c r="I174" s="42"/>
    </row>
    <row r="175" spans="1:9" x14ac:dyDescent="0.3">
      <c r="A175" s="42"/>
      <c r="B175" s="42"/>
      <c r="C175" s="36" t="str">
        <f>IF($A175="","",IFERROR(INDEX(SERVIZI!$B:$B,MATCH($B175,SERVIZI!$A:$A,0)),""))</f>
        <v/>
      </c>
      <c r="D175" s="42"/>
      <c r="E175" s="42"/>
      <c r="F175" s="48"/>
      <c r="G175" s="47" t="str">
        <f>IF($A175="","",IFERROR(INDEX(TEAM!$C:$C,MATCH($E175,TEAM!$A:$A,0)),0))</f>
        <v/>
      </c>
      <c r="H175" s="34" t="str">
        <f t="shared" si="5"/>
        <v/>
      </c>
      <c r="I175" s="42"/>
    </row>
    <row r="176" spans="1:9" x14ac:dyDescent="0.3">
      <c r="A176" s="42"/>
      <c r="B176" s="42"/>
      <c r="C176" s="36" t="str">
        <f>IF($A176="","",IFERROR(INDEX(SERVIZI!$B:$B,MATCH($B176,SERVIZI!$A:$A,0)),""))</f>
        <v/>
      </c>
      <c r="D176" s="42"/>
      <c r="E176" s="42"/>
      <c r="F176" s="48"/>
      <c r="G176" s="47" t="str">
        <f>IF($A176="","",IFERROR(INDEX(TEAM!$C:$C,MATCH($E176,TEAM!$A:$A,0)),0))</f>
        <v/>
      </c>
      <c r="H176" s="34" t="str">
        <f t="shared" si="5"/>
        <v/>
      </c>
      <c r="I176" s="42"/>
    </row>
    <row r="177" spans="1:9" x14ac:dyDescent="0.3">
      <c r="A177" s="42"/>
      <c r="B177" s="42"/>
      <c r="C177" s="36" t="str">
        <f>IF($A177="","",IFERROR(INDEX(SERVIZI!$B:$B,MATCH($B177,SERVIZI!$A:$A,0)),""))</f>
        <v/>
      </c>
      <c r="D177" s="42"/>
      <c r="E177" s="42"/>
      <c r="F177" s="48"/>
      <c r="G177" s="47" t="str">
        <f>IF($A177="","",IFERROR(INDEX(TEAM!$C:$C,MATCH($E177,TEAM!$A:$A,0)),0))</f>
        <v/>
      </c>
      <c r="H177" s="34" t="str">
        <f t="shared" si="5"/>
        <v/>
      </c>
      <c r="I177" s="42"/>
    </row>
    <row r="178" spans="1:9" x14ac:dyDescent="0.3">
      <c r="A178" s="42"/>
      <c r="B178" s="42"/>
      <c r="C178" s="36" t="str">
        <f>IF($A178="","",IFERROR(INDEX(SERVIZI!$B:$B,MATCH($B178,SERVIZI!$A:$A,0)),""))</f>
        <v/>
      </c>
      <c r="D178" s="42"/>
      <c r="E178" s="42"/>
      <c r="F178" s="48"/>
      <c r="G178" s="47" t="str">
        <f>IF($A178="","",IFERROR(INDEX(TEAM!$C:$C,MATCH($E178,TEAM!$A:$A,0)),0))</f>
        <v/>
      </c>
      <c r="H178" s="34" t="str">
        <f t="shared" si="5"/>
        <v/>
      </c>
      <c r="I178" s="42"/>
    </row>
    <row r="179" spans="1:9" x14ac:dyDescent="0.3">
      <c r="A179" s="42"/>
      <c r="B179" s="42"/>
      <c r="C179" s="36" t="str">
        <f>IF($A179="","",IFERROR(INDEX(SERVIZI!$B:$B,MATCH($B179,SERVIZI!$A:$A,0)),""))</f>
        <v/>
      </c>
      <c r="D179" s="42"/>
      <c r="E179" s="42"/>
      <c r="F179" s="48"/>
      <c r="G179" s="47" t="str">
        <f>IF($A179="","",IFERROR(INDEX(TEAM!$C:$C,MATCH($E179,TEAM!$A:$A,0)),0))</f>
        <v/>
      </c>
      <c r="H179" s="34" t="str">
        <f t="shared" si="5"/>
        <v/>
      </c>
      <c r="I179" s="42"/>
    </row>
    <row r="180" spans="1:9" x14ac:dyDescent="0.3">
      <c r="A180" s="42"/>
      <c r="B180" s="42"/>
      <c r="C180" s="36" t="str">
        <f>IF($A180="","",IFERROR(INDEX(SERVIZI!$B:$B,MATCH($B180,SERVIZI!$A:$A,0)),""))</f>
        <v/>
      </c>
      <c r="D180" s="42"/>
      <c r="E180" s="42"/>
      <c r="F180" s="48"/>
      <c r="G180" s="47" t="str">
        <f>IF($A180="","",IFERROR(INDEX(TEAM!$C:$C,MATCH($E180,TEAM!$A:$A,0)),0))</f>
        <v/>
      </c>
      <c r="H180" s="34" t="str">
        <f t="shared" si="5"/>
        <v/>
      </c>
      <c r="I180" s="42"/>
    </row>
    <row r="181" spans="1:9" x14ac:dyDescent="0.3">
      <c r="A181" s="42"/>
      <c r="B181" s="42"/>
      <c r="C181" s="36" t="str">
        <f>IF($A181="","",IFERROR(INDEX(SERVIZI!$B:$B,MATCH($B181,SERVIZI!$A:$A,0)),""))</f>
        <v/>
      </c>
      <c r="D181" s="42"/>
      <c r="E181" s="42"/>
      <c r="F181" s="48"/>
      <c r="G181" s="47" t="str">
        <f>IF($A181="","",IFERROR(INDEX(TEAM!$C:$C,MATCH($E181,TEAM!$A:$A,0)),0))</f>
        <v/>
      </c>
      <c r="H181" s="34" t="str">
        <f t="shared" si="5"/>
        <v/>
      </c>
      <c r="I181" s="42"/>
    </row>
    <row r="182" spans="1:9" x14ac:dyDescent="0.3">
      <c r="A182" s="42"/>
      <c r="B182" s="42"/>
      <c r="C182" s="36" t="str">
        <f>IF($A182="","",IFERROR(INDEX(SERVIZI!$B:$B,MATCH($B182,SERVIZI!$A:$A,0)),""))</f>
        <v/>
      </c>
      <c r="D182" s="42"/>
      <c r="E182" s="42"/>
      <c r="F182" s="48"/>
      <c r="G182" s="47" t="str">
        <f>IF($A182="","",IFERROR(INDEX(TEAM!$C:$C,MATCH($E182,TEAM!$A:$A,0)),0))</f>
        <v/>
      </c>
      <c r="H182" s="34" t="str">
        <f t="shared" si="5"/>
        <v/>
      </c>
      <c r="I182" s="42"/>
    </row>
    <row r="183" spans="1:9" x14ac:dyDescent="0.3">
      <c r="A183" s="42"/>
      <c r="B183" s="42"/>
      <c r="C183" s="36" t="str">
        <f>IF($A183="","",IFERROR(INDEX(SERVIZI!$B:$B,MATCH($B183,SERVIZI!$A:$A,0)),""))</f>
        <v/>
      </c>
      <c r="D183" s="42"/>
      <c r="E183" s="42"/>
      <c r="F183" s="48"/>
      <c r="G183" s="47" t="str">
        <f>IF($A183="","",IFERROR(INDEX(TEAM!$C:$C,MATCH($E183,TEAM!$A:$A,0)),0))</f>
        <v/>
      </c>
      <c r="H183" s="34" t="str">
        <f t="shared" si="5"/>
        <v/>
      </c>
      <c r="I183" s="42"/>
    </row>
    <row r="184" spans="1:9" x14ac:dyDescent="0.3">
      <c r="A184" s="42"/>
      <c r="B184" s="42"/>
      <c r="C184" s="36" t="str">
        <f>IF($A184="","",IFERROR(INDEX(SERVIZI!$B:$B,MATCH($B184,SERVIZI!$A:$A,0)),""))</f>
        <v/>
      </c>
      <c r="D184" s="42"/>
      <c r="E184" s="42"/>
      <c r="F184" s="48"/>
      <c r="G184" s="47" t="str">
        <f>IF($A184="","",IFERROR(INDEX(TEAM!$C:$C,MATCH($E184,TEAM!$A:$A,0)),0))</f>
        <v/>
      </c>
      <c r="H184" s="34" t="str">
        <f t="shared" si="5"/>
        <v/>
      </c>
      <c r="I184" s="42"/>
    </row>
    <row r="185" spans="1:9" x14ac:dyDescent="0.3">
      <c r="A185" s="42"/>
      <c r="B185" s="42"/>
      <c r="C185" s="36" t="str">
        <f>IF($A185="","",IFERROR(INDEX(SERVIZI!$B:$B,MATCH($B185,SERVIZI!$A:$A,0)),""))</f>
        <v/>
      </c>
      <c r="D185" s="42"/>
      <c r="E185" s="42"/>
      <c r="F185" s="48"/>
      <c r="G185" s="47" t="str">
        <f>IF($A185="","",IFERROR(INDEX(TEAM!$C:$C,MATCH($E185,TEAM!$A:$A,0)),0))</f>
        <v/>
      </c>
      <c r="H185" s="34" t="str">
        <f t="shared" si="5"/>
        <v/>
      </c>
      <c r="I185" s="42"/>
    </row>
    <row r="186" spans="1:9" x14ac:dyDescent="0.3">
      <c r="A186" s="42"/>
      <c r="B186" s="42"/>
      <c r="C186" s="36" t="str">
        <f>IF($A186="","",IFERROR(INDEX(SERVIZI!$B:$B,MATCH($B186,SERVIZI!$A:$A,0)),""))</f>
        <v/>
      </c>
      <c r="D186" s="42"/>
      <c r="E186" s="42"/>
      <c r="F186" s="48"/>
      <c r="G186" s="47" t="str">
        <f>IF($A186="","",IFERROR(INDEX(TEAM!$C:$C,MATCH($E186,TEAM!$A:$A,0)),0))</f>
        <v/>
      </c>
      <c r="H186" s="34" t="str">
        <f t="shared" si="5"/>
        <v/>
      </c>
      <c r="I186" s="42"/>
    </row>
    <row r="187" spans="1:9" x14ac:dyDescent="0.3">
      <c r="A187" s="42"/>
      <c r="B187" s="42"/>
      <c r="C187" s="36" t="str">
        <f>IF($A187="","",IFERROR(INDEX(SERVIZI!$B:$B,MATCH($B187,SERVIZI!$A:$A,0)),""))</f>
        <v/>
      </c>
      <c r="D187" s="42"/>
      <c r="E187" s="42"/>
      <c r="F187" s="48"/>
      <c r="G187" s="47" t="str">
        <f>IF($A187="","",IFERROR(INDEX(TEAM!$C:$C,MATCH($E187,TEAM!$A:$A,0)),0))</f>
        <v/>
      </c>
      <c r="H187" s="34" t="str">
        <f t="shared" si="5"/>
        <v/>
      </c>
      <c r="I187" s="42"/>
    </row>
    <row r="188" spans="1:9" x14ac:dyDescent="0.3">
      <c r="A188" s="42"/>
      <c r="B188" s="42"/>
      <c r="C188" s="36" t="str">
        <f>IF($A188="","",IFERROR(INDEX(SERVIZI!$B:$B,MATCH($B188,SERVIZI!$A:$A,0)),""))</f>
        <v/>
      </c>
      <c r="D188" s="42"/>
      <c r="E188" s="42"/>
      <c r="F188" s="48"/>
      <c r="G188" s="47" t="str">
        <f>IF($A188="","",IFERROR(INDEX(TEAM!$C:$C,MATCH($E188,TEAM!$A:$A,0)),0))</f>
        <v/>
      </c>
      <c r="H188" s="34" t="str">
        <f t="shared" si="5"/>
        <v/>
      </c>
      <c r="I188" s="42"/>
    </row>
    <row r="189" spans="1:9" x14ac:dyDescent="0.3">
      <c r="A189" s="42"/>
      <c r="B189" s="42"/>
      <c r="C189" s="36" t="str">
        <f>IF($A189="","",IFERROR(INDEX(SERVIZI!$B:$B,MATCH($B189,SERVIZI!$A:$A,0)),""))</f>
        <v/>
      </c>
      <c r="D189" s="42"/>
      <c r="E189" s="42"/>
      <c r="F189" s="48"/>
      <c r="G189" s="47" t="str">
        <f>IF($A189="","",IFERROR(INDEX(TEAM!$C:$C,MATCH($E189,TEAM!$A:$A,0)),0))</f>
        <v/>
      </c>
      <c r="H189" s="34" t="str">
        <f t="shared" si="5"/>
        <v/>
      </c>
      <c r="I189" s="42"/>
    </row>
    <row r="190" spans="1:9" x14ac:dyDescent="0.3">
      <c r="A190" s="42"/>
      <c r="B190" s="42"/>
      <c r="C190" s="36" t="str">
        <f>IF($A190="","",IFERROR(INDEX(SERVIZI!$B:$B,MATCH($B190,SERVIZI!$A:$A,0)),""))</f>
        <v/>
      </c>
      <c r="D190" s="42"/>
      <c r="E190" s="42"/>
      <c r="F190" s="48"/>
      <c r="G190" s="47" t="str">
        <f>IF($A190="","",IFERROR(INDEX(TEAM!$C:$C,MATCH($E190,TEAM!$A:$A,0)),0))</f>
        <v/>
      </c>
      <c r="H190" s="34" t="str">
        <f t="shared" si="5"/>
        <v/>
      </c>
      <c r="I190" s="42"/>
    </row>
    <row r="191" spans="1:9" x14ac:dyDescent="0.3">
      <c r="A191" s="42"/>
      <c r="B191" s="42"/>
      <c r="C191" s="36" t="str">
        <f>IF($A191="","",IFERROR(INDEX(SERVIZI!$B:$B,MATCH($B191,SERVIZI!$A:$A,0)),""))</f>
        <v/>
      </c>
      <c r="D191" s="42"/>
      <c r="E191" s="42"/>
      <c r="F191" s="48"/>
      <c r="G191" s="47" t="str">
        <f>IF($A191="","",IFERROR(INDEX(TEAM!$C:$C,MATCH($E191,TEAM!$A:$A,0)),0))</f>
        <v/>
      </c>
      <c r="H191" s="34" t="str">
        <f t="shared" si="5"/>
        <v/>
      </c>
      <c r="I191" s="42"/>
    </row>
    <row r="192" spans="1:9" x14ac:dyDescent="0.3">
      <c r="A192" s="42"/>
      <c r="B192" s="42"/>
      <c r="C192" s="36" t="str">
        <f>IF($A192="","",IFERROR(INDEX(SERVIZI!$B:$B,MATCH($B192,SERVIZI!$A:$A,0)),""))</f>
        <v/>
      </c>
      <c r="D192" s="42"/>
      <c r="E192" s="42"/>
      <c r="F192" s="48"/>
      <c r="G192" s="47" t="str">
        <f>IF($A192="","",IFERROR(INDEX(TEAM!$C:$C,MATCH($E192,TEAM!$A:$A,0)),0))</f>
        <v/>
      </c>
      <c r="H192" s="34" t="str">
        <f t="shared" si="5"/>
        <v/>
      </c>
      <c r="I192" s="42"/>
    </row>
    <row r="193" spans="1:9" x14ac:dyDescent="0.3">
      <c r="A193" s="42"/>
      <c r="B193" s="42"/>
      <c r="C193" s="36" t="str">
        <f>IF($A193="","",IFERROR(INDEX(SERVIZI!$B:$B,MATCH($B193,SERVIZI!$A:$A,0)),""))</f>
        <v/>
      </c>
      <c r="D193" s="42"/>
      <c r="E193" s="42"/>
      <c r="F193" s="48"/>
      <c r="G193" s="47" t="str">
        <f>IF($A193="","",IFERROR(INDEX(TEAM!$C:$C,MATCH($E193,TEAM!$A:$A,0)),0))</f>
        <v/>
      </c>
      <c r="H193" s="34" t="str">
        <f t="shared" si="5"/>
        <v/>
      </c>
      <c r="I193" s="42"/>
    </row>
    <row r="194" spans="1:9" x14ac:dyDescent="0.3">
      <c r="A194" s="42"/>
      <c r="B194" s="42"/>
      <c r="C194" s="36" t="str">
        <f>IF($A194="","",IFERROR(INDEX(SERVIZI!$B:$B,MATCH($B194,SERVIZI!$A:$A,0)),""))</f>
        <v/>
      </c>
      <c r="D194" s="42"/>
      <c r="E194" s="42"/>
      <c r="F194" s="48"/>
      <c r="G194" s="47" t="str">
        <f>IF($A194="","",IFERROR(INDEX(TEAM!$C:$C,MATCH($E194,TEAM!$A:$A,0)),0))</f>
        <v/>
      </c>
      <c r="H194" s="34" t="str">
        <f t="shared" ref="H194:H201" si="6">IF($A194="","",$F194*$G194)</f>
        <v/>
      </c>
      <c r="I194" s="42"/>
    </row>
    <row r="195" spans="1:9" x14ac:dyDescent="0.3">
      <c r="A195" s="42"/>
      <c r="B195" s="42"/>
      <c r="C195" s="36" t="str">
        <f>IF($A195="","",IFERROR(INDEX(SERVIZI!$B:$B,MATCH($B195,SERVIZI!$A:$A,0)),""))</f>
        <v/>
      </c>
      <c r="D195" s="42"/>
      <c r="E195" s="42"/>
      <c r="F195" s="48"/>
      <c r="G195" s="47" t="str">
        <f>IF($A195="","",IFERROR(INDEX(TEAM!$C:$C,MATCH($E195,TEAM!$A:$A,0)),0))</f>
        <v/>
      </c>
      <c r="H195" s="34" t="str">
        <f t="shared" si="6"/>
        <v/>
      </c>
      <c r="I195" s="42"/>
    </row>
    <row r="196" spans="1:9" x14ac:dyDescent="0.3">
      <c r="A196" s="42"/>
      <c r="B196" s="42"/>
      <c r="C196" s="36" t="str">
        <f>IF($A196="","",IFERROR(INDEX(SERVIZI!$B:$B,MATCH($B196,SERVIZI!$A:$A,0)),""))</f>
        <v/>
      </c>
      <c r="D196" s="42"/>
      <c r="E196" s="42"/>
      <c r="F196" s="48"/>
      <c r="G196" s="47" t="str">
        <f>IF($A196="","",IFERROR(INDEX(TEAM!$C:$C,MATCH($E196,TEAM!$A:$A,0)),0))</f>
        <v/>
      </c>
      <c r="H196" s="34" t="str">
        <f t="shared" si="6"/>
        <v/>
      </c>
      <c r="I196" s="42"/>
    </row>
    <row r="197" spans="1:9" x14ac:dyDescent="0.3">
      <c r="A197" s="42"/>
      <c r="B197" s="42"/>
      <c r="C197" s="36" t="str">
        <f>IF($A197="","",IFERROR(INDEX(SERVIZI!$B:$B,MATCH($B197,SERVIZI!$A:$A,0)),""))</f>
        <v/>
      </c>
      <c r="D197" s="42"/>
      <c r="E197" s="42"/>
      <c r="F197" s="48"/>
      <c r="G197" s="47" t="str">
        <f>IF($A197="","",IFERROR(INDEX(TEAM!$C:$C,MATCH($E197,TEAM!$A:$A,0)),0))</f>
        <v/>
      </c>
      <c r="H197" s="34" t="str">
        <f t="shared" si="6"/>
        <v/>
      </c>
      <c r="I197" s="42"/>
    </row>
    <row r="198" spans="1:9" x14ac:dyDescent="0.3">
      <c r="A198" s="42"/>
      <c r="B198" s="42"/>
      <c r="C198" s="36" t="str">
        <f>IF($A198="","",IFERROR(INDEX(SERVIZI!$B:$B,MATCH($B198,SERVIZI!$A:$A,0)),""))</f>
        <v/>
      </c>
      <c r="D198" s="42"/>
      <c r="E198" s="42"/>
      <c r="F198" s="48"/>
      <c r="G198" s="47" t="str">
        <f>IF($A198="","",IFERROR(INDEX(TEAM!$C:$C,MATCH($E198,TEAM!$A:$A,0)),0))</f>
        <v/>
      </c>
      <c r="H198" s="34" t="str">
        <f t="shared" si="6"/>
        <v/>
      </c>
      <c r="I198" s="42"/>
    </row>
    <row r="199" spans="1:9" x14ac:dyDescent="0.3">
      <c r="A199" s="42"/>
      <c r="B199" s="42"/>
      <c r="C199" s="36" t="str">
        <f>IF($A199="","",IFERROR(INDEX(SERVIZI!$B:$B,MATCH($B199,SERVIZI!$A:$A,0)),""))</f>
        <v/>
      </c>
      <c r="D199" s="42"/>
      <c r="E199" s="42"/>
      <c r="F199" s="48"/>
      <c r="G199" s="47" t="str">
        <f>IF($A199="","",IFERROR(INDEX(TEAM!$C:$C,MATCH($E199,TEAM!$A:$A,0)),0))</f>
        <v/>
      </c>
      <c r="H199" s="34" t="str">
        <f t="shared" si="6"/>
        <v/>
      </c>
      <c r="I199" s="42"/>
    </row>
    <row r="200" spans="1:9" x14ac:dyDescent="0.3">
      <c r="A200" s="42"/>
      <c r="B200" s="42"/>
      <c r="C200" s="36" t="str">
        <f>IF($A200="","",IFERROR(INDEX(SERVIZI!$B:$B,MATCH($B200,SERVIZI!$A:$A,0)),""))</f>
        <v/>
      </c>
      <c r="D200" s="42"/>
      <c r="E200" s="42"/>
      <c r="F200" s="48"/>
      <c r="G200" s="47" t="str">
        <f>IF($A200="","",IFERROR(INDEX(TEAM!$C:$C,MATCH($E200,TEAM!$A:$A,0)),0))</f>
        <v/>
      </c>
      <c r="H200" s="34" t="str">
        <f t="shared" si="6"/>
        <v/>
      </c>
      <c r="I200" s="42"/>
    </row>
    <row r="201" spans="1:9" x14ac:dyDescent="0.3">
      <c r="A201" s="42"/>
      <c r="B201" s="42"/>
      <c r="C201" s="36" t="str">
        <f>IF($A201="","",IFERROR(INDEX(SERVIZI!$B:$B,MATCH($B201,SERVIZI!$A:$A,0)),""))</f>
        <v/>
      </c>
      <c r="D201" s="42"/>
      <c r="E201" s="42"/>
      <c r="F201" s="48"/>
      <c r="G201" s="47" t="str">
        <f>IF($A201="","",IFERROR(INDEX(TEAM!$C:$C,MATCH($E201,TEAM!$A:$A,0)),0))</f>
        <v/>
      </c>
      <c r="H201" s="34" t="str">
        <f t="shared" si="6"/>
        <v/>
      </c>
      <c r="I201" s="42"/>
    </row>
  </sheetData>
  <dataValidations count="1">
    <dataValidation type="list" allowBlank="1" sqref="E2:E201" xr:uid="{00000000-0002-0000-0A00-000001000000}">
      <formula1>L_PERSONA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A00-000000000000}">
          <x14:formula1>
            <xm:f>SERVIZI!$A$2:$A$201</xm:f>
          </x14:formula1>
          <x14:formula2>
            <xm:f>0</xm:f>
          </x14:formula2>
          <xm:sqref>B2:B201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>
    <tabColor rgb="FF7030A0"/>
  </sheetPr>
  <dimension ref="A1:O201"/>
  <sheetViews>
    <sheetView showGridLines="0" zoomScaleNormal="100" workbookViewId="0">
      <pane ySplit="1" topLeftCell="A2" activePane="bottomLeft" state="frozen"/>
      <selection pane="bottomLeft" activeCell="E18" sqref="E18"/>
    </sheetView>
  </sheetViews>
  <sheetFormatPr defaultColWidth="8.6640625" defaultRowHeight="14.4" x14ac:dyDescent="0.3"/>
  <cols>
    <col min="1" max="1" width="15" customWidth="1"/>
    <col min="2" max="2" width="17" customWidth="1"/>
    <col min="3" max="3" width="13" customWidth="1"/>
    <col min="4" max="4" width="17" customWidth="1"/>
    <col min="5" max="5" width="22" customWidth="1"/>
    <col min="6" max="6" width="21" customWidth="1"/>
    <col min="7" max="7" width="17" customWidth="1"/>
    <col min="8" max="8" width="15" customWidth="1"/>
    <col min="9" max="9" width="13" customWidth="1"/>
    <col min="10" max="10" width="14" customWidth="1"/>
    <col min="11" max="11" width="11" customWidth="1"/>
    <col min="12" max="12" width="20" customWidth="1"/>
    <col min="13" max="13" width="30" customWidth="1"/>
  </cols>
  <sheetData>
    <row r="1" spans="1:15" ht="36" customHeight="1" x14ac:dyDescent="0.3">
      <c r="A1" s="41" t="s">
        <v>434</v>
      </c>
      <c r="B1" s="41" t="s">
        <v>435</v>
      </c>
      <c r="C1" s="41" t="s">
        <v>436</v>
      </c>
      <c r="D1" s="41" t="s">
        <v>278</v>
      </c>
      <c r="E1" s="41" t="s">
        <v>185</v>
      </c>
      <c r="F1" s="41" t="s">
        <v>437</v>
      </c>
      <c r="G1" s="41" t="s">
        <v>438</v>
      </c>
      <c r="H1" s="41" t="s">
        <v>354</v>
      </c>
      <c r="I1" s="41" t="s">
        <v>439</v>
      </c>
      <c r="J1" s="41" t="s">
        <v>294</v>
      </c>
      <c r="K1" s="41" t="s">
        <v>440</v>
      </c>
      <c r="L1" s="41" t="s">
        <v>441</v>
      </c>
      <c r="M1" s="41" t="s">
        <v>157</v>
      </c>
      <c r="O1" s="2" t="s">
        <v>442</v>
      </c>
    </row>
    <row r="2" spans="1:15" x14ac:dyDescent="0.3">
      <c r="A2" s="42" t="s">
        <v>977</v>
      </c>
      <c r="B2" s="43">
        <v>46203</v>
      </c>
      <c r="C2" s="42" t="s">
        <v>975</v>
      </c>
      <c r="D2" s="42" t="s">
        <v>937</v>
      </c>
      <c r="E2" s="42" t="s">
        <v>916</v>
      </c>
      <c r="F2" s="33">
        <f>IF($A2="","",SUMIFS(ORE!$F:$F,ORE!$B:$B,$D2,ORE!$E:$E,$E2))</f>
        <v>72</v>
      </c>
      <c r="G2" s="48">
        <v>40</v>
      </c>
      <c r="H2" s="33">
        <f>IF($A2="","",$F2+$G2)</f>
        <v>112</v>
      </c>
      <c r="I2" s="33">
        <f>IF($A2="","",IFERROR(SUMIFS(ASSEGNAZIONI!$F:$F,ASSEGNAZIONI!$B:$B,$D2,ASSEGNAZIONI!$C:$C,$E2),0))</f>
        <v>112</v>
      </c>
      <c r="J2" s="33">
        <f t="shared" ref="J2:J33" si="0">IF($A2="","",$H2-$I2)</f>
        <v>0</v>
      </c>
      <c r="K2" s="42" t="s">
        <v>388</v>
      </c>
      <c r="L2" s="42" t="s">
        <v>914</v>
      </c>
      <c r="M2" s="42"/>
      <c r="O2" s="2" t="s">
        <v>443</v>
      </c>
    </row>
    <row r="3" spans="1:15" x14ac:dyDescent="0.3">
      <c r="A3" s="42" t="s">
        <v>978</v>
      </c>
      <c r="B3" s="43">
        <v>46203</v>
      </c>
      <c r="C3" s="42" t="s">
        <v>975</v>
      </c>
      <c r="D3" s="42" t="s">
        <v>951</v>
      </c>
      <c r="E3" s="42" t="s">
        <v>915</v>
      </c>
      <c r="F3" s="33">
        <f>IF($A3="","",SUMIFS(ORE!$F:$F,ORE!$B:$B,$D3,ORE!$E:$E,$E3))</f>
        <v>54</v>
      </c>
      <c r="G3" s="48">
        <v>30</v>
      </c>
      <c r="H3" s="33">
        <f>IF($A3="","",$F3+$G3)</f>
        <v>84</v>
      </c>
      <c r="I3" s="33">
        <f>IF($A3="","",IFERROR(SUMIFS(ASSEGNAZIONI!$F:$F,ASSEGNAZIONI!$B:$B,$D3,ASSEGNAZIONI!$C:$C,$E3),0))</f>
        <v>112</v>
      </c>
      <c r="J3" s="33">
        <f t="shared" si="0"/>
        <v>-28</v>
      </c>
      <c r="K3" s="42" t="s">
        <v>388</v>
      </c>
      <c r="L3" s="42" t="s">
        <v>914</v>
      </c>
      <c r="M3" s="42"/>
    </row>
    <row r="4" spans="1:15" x14ac:dyDescent="0.3">
      <c r="A4" s="42"/>
      <c r="B4" s="43"/>
      <c r="C4" s="42"/>
      <c r="D4" s="42"/>
      <c r="E4" s="42"/>
      <c r="F4" s="33" t="str">
        <f>IF($A4="","",SUMIFS(ORE!$F:$F,ORE!$B:$B,$D4,ORE!$E:$E,$E4))</f>
        <v/>
      </c>
      <c r="G4" s="48"/>
      <c r="H4" s="33" t="str">
        <f t="shared" ref="H4:H33" si="1">IF($A4="","",$F4+$G4)</f>
        <v/>
      </c>
      <c r="I4" s="33" t="str">
        <f>IF($A4="","",IFERROR(SUMIFS(ASSEGNAZIONI!$F:$F,ASSEGNAZIONI!$B:$B,$D4,ASSEGNAZIONI!$C:$C,$E4),0))</f>
        <v/>
      </c>
      <c r="J4" s="33" t="str">
        <f t="shared" si="0"/>
        <v/>
      </c>
      <c r="K4" s="42"/>
      <c r="L4" s="42"/>
      <c r="M4" s="42"/>
    </row>
    <row r="5" spans="1:15" x14ac:dyDescent="0.3">
      <c r="A5" s="42"/>
      <c r="B5" s="43"/>
      <c r="C5" s="42"/>
      <c r="D5" s="42"/>
      <c r="E5" s="42"/>
      <c r="F5" s="33" t="str">
        <f>IF($A5="","",SUMIFS(ORE!$F:$F,ORE!$B:$B,$D5,ORE!$E:$E,$E5))</f>
        <v/>
      </c>
      <c r="G5" s="48"/>
      <c r="H5" s="33" t="str">
        <f t="shared" si="1"/>
        <v/>
      </c>
      <c r="I5" s="33" t="str">
        <f>IF($A5="","",IFERROR(SUMIFS(ASSEGNAZIONI!$F:$F,ASSEGNAZIONI!$B:$B,$D5,ASSEGNAZIONI!$C:$C,$E5),0))</f>
        <v/>
      </c>
      <c r="J5" s="33" t="str">
        <f t="shared" si="0"/>
        <v/>
      </c>
      <c r="K5" s="42"/>
      <c r="L5" s="42"/>
      <c r="M5" s="42"/>
    </row>
    <row r="6" spans="1:15" x14ac:dyDescent="0.3">
      <c r="A6" s="42"/>
      <c r="B6" s="43"/>
      <c r="C6" s="42"/>
      <c r="D6" s="42"/>
      <c r="E6" s="42"/>
      <c r="F6" s="33" t="str">
        <f>IF($A6="","",SUMIFS(ORE!$F:$F,ORE!$B:$B,$D6,ORE!$E:$E,$E6))</f>
        <v/>
      </c>
      <c r="G6" s="48"/>
      <c r="H6" s="33" t="str">
        <f t="shared" si="1"/>
        <v/>
      </c>
      <c r="I6" s="33" t="str">
        <f>IF($A6="","",IFERROR(SUMIFS(ASSEGNAZIONI!$F:$F,ASSEGNAZIONI!$B:$B,$D6,ASSEGNAZIONI!$C:$C,$E6),0))</f>
        <v/>
      </c>
      <c r="J6" s="33" t="str">
        <f t="shared" si="0"/>
        <v/>
      </c>
      <c r="K6" s="42"/>
      <c r="L6" s="42"/>
      <c r="M6" s="42"/>
    </row>
    <row r="7" spans="1:15" x14ac:dyDescent="0.3">
      <c r="A7" s="42"/>
      <c r="B7" s="43"/>
      <c r="C7" s="42"/>
      <c r="D7" s="42"/>
      <c r="E7" s="42"/>
      <c r="F7" s="33" t="str">
        <f>IF($A7="","",SUMIFS(ORE!$F:$F,ORE!$B:$B,$D7,ORE!$E:$E,$E7))</f>
        <v/>
      </c>
      <c r="G7" s="48"/>
      <c r="H7" s="33" t="str">
        <f t="shared" si="1"/>
        <v/>
      </c>
      <c r="I7" s="33" t="str">
        <f>IF($A7="","",IFERROR(SUMIFS(ASSEGNAZIONI!$F:$F,ASSEGNAZIONI!$B:$B,$D7,ASSEGNAZIONI!$C:$C,$E7),0))</f>
        <v/>
      </c>
      <c r="J7" s="33" t="str">
        <f t="shared" si="0"/>
        <v/>
      </c>
      <c r="K7" s="42"/>
      <c r="L7" s="42"/>
      <c r="M7" s="42"/>
    </row>
    <row r="8" spans="1:15" x14ac:dyDescent="0.3">
      <c r="A8" s="42"/>
      <c r="B8" s="43"/>
      <c r="C8" s="42"/>
      <c r="D8" s="42"/>
      <c r="E8" s="42"/>
      <c r="F8" s="33" t="str">
        <f>IF($A8="","",SUMIFS(ORE!$F:$F,ORE!$B:$B,$D8,ORE!$E:$E,$E8))</f>
        <v/>
      </c>
      <c r="G8" s="48"/>
      <c r="H8" s="33" t="str">
        <f t="shared" si="1"/>
        <v/>
      </c>
      <c r="I8" s="33" t="str">
        <f>IF($A8="","",IFERROR(SUMIFS(ASSEGNAZIONI!$F:$F,ASSEGNAZIONI!$B:$B,$D8,ASSEGNAZIONI!$C:$C,$E8),0))</f>
        <v/>
      </c>
      <c r="J8" s="33" t="str">
        <f t="shared" si="0"/>
        <v/>
      </c>
      <c r="K8" s="42"/>
      <c r="L8" s="42"/>
      <c r="M8" s="42"/>
    </row>
    <row r="9" spans="1:15" x14ac:dyDescent="0.3">
      <c r="A9" s="42"/>
      <c r="B9" s="43"/>
      <c r="C9" s="42"/>
      <c r="D9" s="42"/>
      <c r="E9" s="42"/>
      <c r="F9" s="33" t="str">
        <f>IF($A9="","",SUMIFS(ORE!$F:$F,ORE!$B:$B,$D9,ORE!$E:$E,$E9))</f>
        <v/>
      </c>
      <c r="G9" s="48"/>
      <c r="H9" s="33" t="str">
        <f t="shared" si="1"/>
        <v/>
      </c>
      <c r="I9" s="33" t="str">
        <f>IF($A9="","",IFERROR(SUMIFS(ASSEGNAZIONI!$F:$F,ASSEGNAZIONI!$B:$B,$D9,ASSEGNAZIONI!$C:$C,$E9),0))</f>
        <v/>
      </c>
      <c r="J9" s="33" t="str">
        <f t="shared" si="0"/>
        <v/>
      </c>
      <c r="K9" s="42"/>
      <c r="L9" s="42"/>
      <c r="M9" s="42"/>
    </row>
    <row r="10" spans="1:15" x14ac:dyDescent="0.3">
      <c r="A10" s="42"/>
      <c r="B10" s="43"/>
      <c r="C10" s="42"/>
      <c r="D10" s="42"/>
      <c r="E10" s="42"/>
      <c r="F10" s="33" t="str">
        <f>IF($A10="","",SUMIFS(ORE!$F:$F,ORE!$B:$B,$D10,ORE!$E:$E,$E10))</f>
        <v/>
      </c>
      <c r="G10" s="48"/>
      <c r="H10" s="33" t="str">
        <f t="shared" si="1"/>
        <v/>
      </c>
      <c r="I10" s="33" t="str">
        <f>IF($A10="","",IFERROR(SUMIFS(ASSEGNAZIONI!$F:$F,ASSEGNAZIONI!$B:$B,$D10,ASSEGNAZIONI!$C:$C,$E10),0))</f>
        <v/>
      </c>
      <c r="J10" s="33" t="str">
        <f t="shared" si="0"/>
        <v/>
      </c>
      <c r="K10" s="42"/>
      <c r="L10" s="42"/>
      <c r="M10" s="42"/>
    </row>
    <row r="11" spans="1:15" x14ac:dyDescent="0.3">
      <c r="A11" s="42"/>
      <c r="B11" s="43"/>
      <c r="C11" s="42"/>
      <c r="D11" s="42"/>
      <c r="E11" s="42"/>
      <c r="F11" s="33" t="str">
        <f>IF($A11="","",SUMIFS(ORE!$F:$F,ORE!$B:$B,$D11,ORE!$E:$E,$E11))</f>
        <v/>
      </c>
      <c r="G11" s="48"/>
      <c r="H11" s="33" t="str">
        <f t="shared" si="1"/>
        <v/>
      </c>
      <c r="I11" s="33" t="str">
        <f>IF($A11="","",IFERROR(SUMIFS(ASSEGNAZIONI!$F:$F,ASSEGNAZIONI!$B:$B,$D11,ASSEGNAZIONI!$C:$C,$E11),0))</f>
        <v/>
      </c>
      <c r="J11" s="33" t="str">
        <f t="shared" si="0"/>
        <v/>
      </c>
      <c r="K11" s="42"/>
      <c r="L11" s="42"/>
      <c r="M11" s="42"/>
    </row>
    <row r="12" spans="1:15" x14ac:dyDescent="0.3">
      <c r="A12" s="42"/>
      <c r="B12" s="43"/>
      <c r="C12" s="42"/>
      <c r="D12" s="42"/>
      <c r="E12" s="42"/>
      <c r="F12" s="33" t="str">
        <f>IF($A12="","",SUMIFS(ORE!$F:$F,ORE!$B:$B,$D12,ORE!$E:$E,$E12))</f>
        <v/>
      </c>
      <c r="G12" s="48"/>
      <c r="H12" s="33" t="str">
        <f t="shared" si="1"/>
        <v/>
      </c>
      <c r="I12" s="33" t="str">
        <f>IF($A12="","",IFERROR(SUMIFS(ASSEGNAZIONI!$F:$F,ASSEGNAZIONI!$B:$B,$D12,ASSEGNAZIONI!$C:$C,$E12),0))</f>
        <v/>
      </c>
      <c r="J12" s="33" t="str">
        <f t="shared" si="0"/>
        <v/>
      </c>
      <c r="K12" s="42"/>
      <c r="L12" s="42"/>
      <c r="M12" s="42"/>
    </row>
    <row r="13" spans="1:15" x14ac:dyDescent="0.3">
      <c r="A13" s="42"/>
      <c r="B13" s="43"/>
      <c r="C13" s="42"/>
      <c r="D13" s="42"/>
      <c r="E13" s="42"/>
      <c r="F13" s="33" t="str">
        <f>IF($A13="","",SUMIFS(ORE!$F:$F,ORE!$B:$B,$D13,ORE!$E:$E,$E13))</f>
        <v/>
      </c>
      <c r="G13" s="48"/>
      <c r="H13" s="33" t="str">
        <f t="shared" si="1"/>
        <v/>
      </c>
      <c r="I13" s="33" t="str">
        <f>IF($A13="","",IFERROR(SUMIFS(ASSEGNAZIONI!$F:$F,ASSEGNAZIONI!$B:$B,$D13,ASSEGNAZIONI!$C:$C,$E13),0))</f>
        <v/>
      </c>
      <c r="J13" s="33" t="str">
        <f t="shared" si="0"/>
        <v/>
      </c>
      <c r="K13" s="42"/>
      <c r="L13" s="42"/>
      <c r="M13" s="42"/>
    </row>
    <row r="14" spans="1:15" x14ac:dyDescent="0.3">
      <c r="A14" s="42"/>
      <c r="B14" s="43"/>
      <c r="C14" s="42"/>
      <c r="D14" s="42"/>
      <c r="E14" s="42"/>
      <c r="F14" s="33" t="str">
        <f>IF($A14="","",SUMIFS(ORE!$F:$F,ORE!$B:$B,$D14,ORE!$E:$E,$E14))</f>
        <v/>
      </c>
      <c r="G14" s="48"/>
      <c r="H14" s="33" t="str">
        <f t="shared" si="1"/>
        <v/>
      </c>
      <c r="I14" s="33" t="str">
        <f>IF($A14="","",IFERROR(SUMIFS(ASSEGNAZIONI!$F:$F,ASSEGNAZIONI!$B:$B,$D14,ASSEGNAZIONI!$C:$C,$E14),0))</f>
        <v/>
      </c>
      <c r="J14" s="33" t="str">
        <f t="shared" si="0"/>
        <v/>
      </c>
      <c r="K14" s="42"/>
      <c r="L14" s="42"/>
      <c r="M14" s="42"/>
    </row>
    <row r="15" spans="1:15" x14ac:dyDescent="0.3">
      <c r="A15" s="42"/>
      <c r="B15" s="43"/>
      <c r="C15" s="42"/>
      <c r="D15" s="42"/>
      <c r="E15" s="42"/>
      <c r="F15" s="33" t="str">
        <f>IF($A15="","",SUMIFS(ORE!$F:$F,ORE!$B:$B,$D15,ORE!$E:$E,$E15))</f>
        <v/>
      </c>
      <c r="G15" s="48"/>
      <c r="H15" s="33" t="str">
        <f t="shared" si="1"/>
        <v/>
      </c>
      <c r="I15" s="33" t="str">
        <f>IF($A15="","",IFERROR(SUMIFS(ASSEGNAZIONI!$F:$F,ASSEGNAZIONI!$B:$B,$D15,ASSEGNAZIONI!$C:$C,$E15),0))</f>
        <v/>
      </c>
      <c r="J15" s="33" t="str">
        <f t="shared" si="0"/>
        <v/>
      </c>
      <c r="K15" s="42"/>
      <c r="L15" s="42"/>
      <c r="M15" s="42"/>
    </row>
    <row r="16" spans="1:15" x14ac:dyDescent="0.3">
      <c r="A16" s="42"/>
      <c r="B16" s="43"/>
      <c r="C16" s="42"/>
      <c r="D16" s="42"/>
      <c r="E16" s="42"/>
      <c r="F16" s="33" t="str">
        <f>IF($A16="","",SUMIFS(ORE!$F:$F,ORE!$B:$B,$D16,ORE!$E:$E,$E16))</f>
        <v/>
      </c>
      <c r="G16" s="48"/>
      <c r="H16" s="33" t="str">
        <f t="shared" si="1"/>
        <v/>
      </c>
      <c r="I16" s="33" t="str">
        <f>IF($A16="","",IFERROR(SUMIFS(ASSEGNAZIONI!$F:$F,ASSEGNAZIONI!$B:$B,$D16,ASSEGNAZIONI!$C:$C,$E16),0))</f>
        <v/>
      </c>
      <c r="J16" s="33" t="str">
        <f t="shared" si="0"/>
        <v/>
      </c>
      <c r="K16" s="42"/>
      <c r="L16" s="42"/>
      <c r="M16" s="42"/>
    </row>
    <row r="17" spans="1:13" x14ac:dyDescent="0.3">
      <c r="A17" s="42"/>
      <c r="B17" s="43"/>
      <c r="C17" s="42"/>
      <c r="D17" s="42"/>
      <c r="E17" s="42"/>
      <c r="F17" s="33" t="str">
        <f>IF($A17="","",SUMIFS(ORE!$F:$F,ORE!$B:$B,$D17,ORE!$E:$E,$E17))</f>
        <v/>
      </c>
      <c r="G17" s="48"/>
      <c r="H17" s="33" t="str">
        <f t="shared" si="1"/>
        <v/>
      </c>
      <c r="I17" s="33" t="str">
        <f>IF($A17="","",IFERROR(SUMIFS(ASSEGNAZIONI!$F:$F,ASSEGNAZIONI!$B:$B,$D17,ASSEGNAZIONI!$C:$C,$E17),0))</f>
        <v/>
      </c>
      <c r="J17" s="33" t="str">
        <f t="shared" si="0"/>
        <v/>
      </c>
      <c r="K17" s="42"/>
      <c r="L17" s="42"/>
      <c r="M17" s="42"/>
    </row>
    <row r="18" spans="1:13" x14ac:dyDescent="0.3">
      <c r="A18" s="42"/>
      <c r="B18" s="43"/>
      <c r="C18" s="42"/>
      <c r="D18" s="42"/>
      <c r="E18" s="42"/>
      <c r="F18" s="33" t="str">
        <f>IF($A18="","",SUMIFS(ORE!$F:$F,ORE!$B:$B,$D18,ORE!$E:$E,$E18))</f>
        <v/>
      </c>
      <c r="G18" s="48"/>
      <c r="H18" s="33" t="str">
        <f t="shared" si="1"/>
        <v/>
      </c>
      <c r="I18" s="33" t="str">
        <f>IF($A18="","",IFERROR(SUMIFS(ASSEGNAZIONI!$F:$F,ASSEGNAZIONI!$B:$B,$D18,ASSEGNAZIONI!$C:$C,$E18),0))</f>
        <v/>
      </c>
      <c r="J18" s="33" t="str">
        <f t="shared" si="0"/>
        <v/>
      </c>
      <c r="K18" s="42"/>
      <c r="L18" s="42"/>
      <c r="M18" s="42"/>
    </row>
    <row r="19" spans="1:13" x14ac:dyDescent="0.3">
      <c r="A19" s="42"/>
      <c r="B19" s="43"/>
      <c r="C19" s="42"/>
      <c r="D19" s="42"/>
      <c r="E19" s="42"/>
      <c r="F19" s="33" t="str">
        <f>IF($A19="","",SUMIFS(ORE!$F:$F,ORE!$B:$B,$D19,ORE!$E:$E,$E19))</f>
        <v/>
      </c>
      <c r="G19" s="48"/>
      <c r="H19" s="33" t="str">
        <f t="shared" si="1"/>
        <v/>
      </c>
      <c r="I19" s="33" t="str">
        <f>IF($A19="","",IFERROR(SUMIFS(ASSEGNAZIONI!$F:$F,ASSEGNAZIONI!$B:$B,$D19,ASSEGNAZIONI!$C:$C,$E19),0))</f>
        <v/>
      </c>
      <c r="J19" s="33" t="str">
        <f t="shared" si="0"/>
        <v/>
      </c>
      <c r="K19" s="42"/>
      <c r="L19" s="42"/>
      <c r="M19" s="42"/>
    </row>
    <row r="20" spans="1:13" x14ac:dyDescent="0.3">
      <c r="A20" s="42"/>
      <c r="B20" s="43"/>
      <c r="C20" s="42"/>
      <c r="D20" s="42"/>
      <c r="E20" s="42"/>
      <c r="F20" s="33" t="str">
        <f>IF($A20="","",SUMIFS(ORE!$F:$F,ORE!$B:$B,$D20,ORE!$E:$E,$E20))</f>
        <v/>
      </c>
      <c r="G20" s="48"/>
      <c r="H20" s="33" t="str">
        <f t="shared" si="1"/>
        <v/>
      </c>
      <c r="I20" s="33" t="str">
        <f>IF($A20="","",IFERROR(SUMIFS(ASSEGNAZIONI!$F:$F,ASSEGNAZIONI!$B:$B,$D20,ASSEGNAZIONI!$C:$C,$E20),0))</f>
        <v/>
      </c>
      <c r="J20" s="33" t="str">
        <f t="shared" si="0"/>
        <v/>
      </c>
      <c r="K20" s="42"/>
      <c r="L20" s="42"/>
      <c r="M20" s="42"/>
    </row>
    <row r="21" spans="1:13" x14ac:dyDescent="0.3">
      <c r="A21" s="42"/>
      <c r="B21" s="43"/>
      <c r="C21" s="42"/>
      <c r="D21" s="42"/>
      <c r="E21" s="42"/>
      <c r="F21" s="33" t="str">
        <f>IF($A21="","",SUMIFS(ORE!$F:$F,ORE!$B:$B,$D21,ORE!$E:$E,$E21))</f>
        <v/>
      </c>
      <c r="G21" s="48"/>
      <c r="H21" s="33" t="str">
        <f t="shared" si="1"/>
        <v/>
      </c>
      <c r="I21" s="33" t="str">
        <f>IF($A21="","",IFERROR(SUMIFS(ASSEGNAZIONI!$F:$F,ASSEGNAZIONI!$B:$B,$D21,ASSEGNAZIONI!$C:$C,$E21),0))</f>
        <v/>
      </c>
      <c r="J21" s="33" t="str">
        <f t="shared" si="0"/>
        <v/>
      </c>
      <c r="K21" s="42"/>
      <c r="L21" s="42"/>
      <c r="M21" s="42"/>
    </row>
    <row r="22" spans="1:13" x14ac:dyDescent="0.3">
      <c r="A22" s="42"/>
      <c r="B22" s="43"/>
      <c r="C22" s="42"/>
      <c r="D22" s="42"/>
      <c r="E22" s="42"/>
      <c r="F22" s="33" t="str">
        <f>IF($A22="","",SUMIFS(ORE!$F:$F,ORE!$B:$B,$D22,ORE!$E:$E,$E22))</f>
        <v/>
      </c>
      <c r="G22" s="48"/>
      <c r="H22" s="33" t="str">
        <f t="shared" si="1"/>
        <v/>
      </c>
      <c r="I22" s="33" t="str">
        <f>IF($A22="","",IFERROR(SUMIFS(ASSEGNAZIONI!$F:$F,ASSEGNAZIONI!$B:$B,$D22,ASSEGNAZIONI!$C:$C,$E22),0))</f>
        <v/>
      </c>
      <c r="J22" s="33" t="str">
        <f t="shared" si="0"/>
        <v/>
      </c>
      <c r="K22" s="42"/>
      <c r="L22" s="42"/>
      <c r="M22" s="42"/>
    </row>
    <row r="23" spans="1:13" x14ac:dyDescent="0.3">
      <c r="A23" s="42"/>
      <c r="B23" s="43"/>
      <c r="C23" s="42"/>
      <c r="D23" s="42"/>
      <c r="E23" s="42"/>
      <c r="F23" s="33" t="str">
        <f>IF($A23="","",SUMIFS(ORE!$F:$F,ORE!$B:$B,$D23,ORE!$E:$E,$E23))</f>
        <v/>
      </c>
      <c r="G23" s="48"/>
      <c r="H23" s="33" t="str">
        <f t="shared" si="1"/>
        <v/>
      </c>
      <c r="I23" s="33" t="str">
        <f>IF($A23="","",IFERROR(SUMIFS(ASSEGNAZIONI!$F:$F,ASSEGNAZIONI!$B:$B,$D23,ASSEGNAZIONI!$C:$C,$E23),0))</f>
        <v/>
      </c>
      <c r="J23" s="33" t="str">
        <f t="shared" si="0"/>
        <v/>
      </c>
      <c r="K23" s="42"/>
      <c r="L23" s="42"/>
      <c r="M23" s="42"/>
    </row>
    <row r="24" spans="1:13" x14ac:dyDescent="0.3">
      <c r="A24" s="42"/>
      <c r="B24" s="43"/>
      <c r="C24" s="42"/>
      <c r="D24" s="42"/>
      <c r="E24" s="42"/>
      <c r="F24" s="33" t="str">
        <f>IF($A24="","",SUMIFS(ORE!$F:$F,ORE!$B:$B,$D24,ORE!$E:$E,$E24))</f>
        <v/>
      </c>
      <c r="G24" s="48"/>
      <c r="H24" s="33" t="str">
        <f t="shared" si="1"/>
        <v/>
      </c>
      <c r="I24" s="33" t="str">
        <f>IF($A24="","",IFERROR(SUMIFS(ASSEGNAZIONI!$F:$F,ASSEGNAZIONI!$B:$B,$D24,ASSEGNAZIONI!$C:$C,$E24),0))</f>
        <v/>
      </c>
      <c r="J24" s="33" t="str">
        <f t="shared" si="0"/>
        <v/>
      </c>
      <c r="K24" s="42"/>
      <c r="L24" s="42"/>
      <c r="M24" s="42"/>
    </row>
    <row r="25" spans="1:13" x14ac:dyDescent="0.3">
      <c r="A25" s="42"/>
      <c r="B25" s="43"/>
      <c r="C25" s="42"/>
      <c r="D25" s="42"/>
      <c r="E25" s="42"/>
      <c r="F25" s="33" t="str">
        <f>IF($A25="","",SUMIFS(ORE!$F:$F,ORE!$B:$B,$D25,ORE!$E:$E,$E25))</f>
        <v/>
      </c>
      <c r="G25" s="48"/>
      <c r="H25" s="33" t="str">
        <f t="shared" si="1"/>
        <v/>
      </c>
      <c r="I25" s="33" t="str">
        <f>IF($A25="","",IFERROR(SUMIFS(ASSEGNAZIONI!$F:$F,ASSEGNAZIONI!$B:$B,$D25,ASSEGNAZIONI!$C:$C,$E25),0))</f>
        <v/>
      </c>
      <c r="J25" s="33" t="str">
        <f t="shared" si="0"/>
        <v/>
      </c>
      <c r="K25" s="42"/>
      <c r="L25" s="42"/>
      <c r="M25" s="42"/>
    </row>
    <row r="26" spans="1:13" x14ac:dyDescent="0.3">
      <c r="A26" s="42"/>
      <c r="B26" s="43"/>
      <c r="C26" s="42"/>
      <c r="D26" s="42"/>
      <c r="E26" s="42"/>
      <c r="F26" s="33" t="str">
        <f>IF($A26="","",SUMIFS(ORE!$F:$F,ORE!$B:$B,$D26,ORE!$E:$E,$E26))</f>
        <v/>
      </c>
      <c r="G26" s="48"/>
      <c r="H26" s="33" t="str">
        <f t="shared" si="1"/>
        <v/>
      </c>
      <c r="I26" s="33" t="str">
        <f>IF($A26="","",IFERROR(SUMIFS(ASSEGNAZIONI!$F:$F,ASSEGNAZIONI!$B:$B,$D26,ASSEGNAZIONI!$C:$C,$E26),0))</f>
        <v/>
      </c>
      <c r="J26" s="33" t="str">
        <f t="shared" si="0"/>
        <v/>
      </c>
      <c r="K26" s="42"/>
      <c r="L26" s="42"/>
      <c r="M26" s="42"/>
    </row>
    <row r="27" spans="1:13" x14ac:dyDescent="0.3">
      <c r="A27" s="42"/>
      <c r="B27" s="43"/>
      <c r="C27" s="42"/>
      <c r="D27" s="42"/>
      <c r="E27" s="42"/>
      <c r="F27" s="33" t="str">
        <f>IF($A27="","",SUMIFS(ORE!$F:$F,ORE!$B:$B,$D27,ORE!$E:$E,$E27))</f>
        <v/>
      </c>
      <c r="G27" s="48"/>
      <c r="H27" s="33" t="str">
        <f t="shared" si="1"/>
        <v/>
      </c>
      <c r="I27" s="33" t="str">
        <f>IF($A27="","",IFERROR(SUMIFS(ASSEGNAZIONI!$F:$F,ASSEGNAZIONI!$B:$B,$D27,ASSEGNAZIONI!$C:$C,$E27),0))</f>
        <v/>
      </c>
      <c r="J27" s="33" t="str">
        <f t="shared" si="0"/>
        <v/>
      </c>
      <c r="K27" s="42"/>
      <c r="L27" s="42"/>
      <c r="M27" s="42"/>
    </row>
    <row r="28" spans="1:13" x14ac:dyDescent="0.3">
      <c r="A28" s="42"/>
      <c r="B28" s="43"/>
      <c r="C28" s="42"/>
      <c r="D28" s="42"/>
      <c r="E28" s="42"/>
      <c r="F28" s="33" t="str">
        <f>IF($A28="","",SUMIFS(ORE!$F:$F,ORE!$B:$B,$D28,ORE!$E:$E,$E28))</f>
        <v/>
      </c>
      <c r="G28" s="48"/>
      <c r="H28" s="33" t="str">
        <f t="shared" si="1"/>
        <v/>
      </c>
      <c r="I28" s="33" t="str">
        <f>IF($A28="","",IFERROR(SUMIFS(ASSEGNAZIONI!$F:$F,ASSEGNAZIONI!$B:$B,$D28,ASSEGNAZIONI!$C:$C,$E28),0))</f>
        <v/>
      </c>
      <c r="J28" s="33" t="str">
        <f t="shared" si="0"/>
        <v/>
      </c>
      <c r="K28" s="42"/>
      <c r="L28" s="42"/>
      <c r="M28" s="42"/>
    </row>
    <row r="29" spans="1:13" x14ac:dyDescent="0.3">
      <c r="A29" s="42"/>
      <c r="B29" s="43"/>
      <c r="C29" s="42"/>
      <c r="D29" s="42"/>
      <c r="E29" s="42"/>
      <c r="F29" s="33" t="str">
        <f>IF($A29="","",SUMIFS(ORE!$F:$F,ORE!$B:$B,$D29,ORE!$E:$E,$E29))</f>
        <v/>
      </c>
      <c r="G29" s="48"/>
      <c r="H29" s="33" t="str">
        <f t="shared" si="1"/>
        <v/>
      </c>
      <c r="I29" s="33" t="str">
        <f>IF($A29="","",IFERROR(SUMIFS(ASSEGNAZIONI!$F:$F,ASSEGNAZIONI!$B:$B,$D29,ASSEGNAZIONI!$C:$C,$E29),0))</f>
        <v/>
      </c>
      <c r="J29" s="33" t="str">
        <f t="shared" si="0"/>
        <v/>
      </c>
      <c r="K29" s="42"/>
      <c r="L29" s="42"/>
      <c r="M29" s="42"/>
    </row>
    <row r="30" spans="1:13" x14ac:dyDescent="0.3">
      <c r="A30" s="42"/>
      <c r="B30" s="43"/>
      <c r="C30" s="42"/>
      <c r="D30" s="42"/>
      <c r="E30" s="42"/>
      <c r="F30" s="33" t="str">
        <f>IF($A30="","",SUMIFS(ORE!$F:$F,ORE!$B:$B,$D30,ORE!$E:$E,$E30))</f>
        <v/>
      </c>
      <c r="G30" s="48"/>
      <c r="H30" s="33" t="str">
        <f t="shared" si="1"/>
        <v/>
      </c>
      <c r="I30" s="33" t="str">
        <f>IF($A30="","",IFERROR(SUMIFS(ASSEGNAZIONI!$F:$F,ASSEGNAZIONI!$B:$B,$D30,ASSEGNAZIONI!$C:$C,$E30),0))</f>
        <v/>
      </c>
      <c r="J30" s="33" t="str">
        <f t="shared" si="0"/>
        <v/>
      </c>
      <c r="K30" s="42"/>
      <c r="L30" s="42"/>
      <c r="M30" s="42"/>
    </row>
    <row r="31" spans="1:13" x14ac:dyDescent="0.3">
      <c r="A31" s="42"/>
      <c r="B31" s="43"/>
      <c r="C31" s="42"/>
      <c r="D31" s="42"/>
      <c r="E31" s="42"/>
      <c r="F31" s="33" t="str">
        <f>IF($A31="","",SUMIFS(ORE!$F:$F,ORE!$B:$B,$D31,ORE!$E:$E,$E31))</f>
        <v/>
      </c>
      <c r="G31" s="48"/>
      <c r="H31" s="33" t="str">
        <f t="shared" si="1"/>
        <v/>
      </c>
      <c r="I31" s="33" t="str">
        <f>IF($A31="","",IFERROR(SUMIFS(ASSEGNAZIONI!$F:$F,ASSEGNAZIONI!$B:$B,$D31,ASSEGNAZIONI!$C:$C,$E31),0))</f>
        <v/>
      </c>
      <c r="J31" s="33" t="str">
        <f t="shared" si="0"/>
        <v/>
      </c>
      <c r="K31" s="42"/>
      <c r="L31" s="42"/>
      <c r="M31" s="42"/>
    </row>
    <row r="32" spans="1:13" x14ac:dyDescent="0.3">
      <c r="A32" s="42"/>
      <c r="B32" s="43"/>
      <c r="C32" s="42"/>
      <c r="D32" s="42"/>
      <c r="E32" s="42"/>
      <c r="F32" s="33" t="str">
        <f>IF($A32="","",SUMIFS(ORE!$F:$F,ORE!$B:$B,$D32,ORE!$E:$E,$E32))</f>
        <v/>
      </c>
      <c r="G32" s="48"/>
      <c r="H32" s="33" t="str">
        <f t="shared" si="1"/>
        <v/>
      </c>
      <c r="I32" s="33" t="str">
        <f>IF($A32="","",IFERROR(SUMIFS(ASSEGNAZIONI!$F:$F,ASSEGNAZIONI!$B:$B,$D32,ASSEGNAZIONI!$C:$C,$E32),0))</f>
        <v/>
      </c>
      <c r="J32" s="33" t="str">
        <f t="shared" si="0"/>
        <v/>
      </c>
      <c r="K32" s="42"/>
      <c r="L32" s="42"/>
      <c r="M32" s="42"/>
    </row>
    <row r="33" spans="1:13" x14ac:dyDescent="0.3">
      <c r="A33" s="42"/>
      <c r="B33" s="43"/>
      <c r="C33" s="42"/>
      <c r="D33" s="42"/>
      <c r="E33" s="42"/>
      <c r="F33" s="33" t="str">
        <f>IF($A33="","",SUMIFS(ORE!$F:$F,ORE!$B:$B,$D33,ORE!$E:$E,$E33))</f>
        <v/>
      </c>
      <c r="G33" s="48"/>
      <c r="H33" s="33" t="str">
        <f t="shared" si="1"/>
        <v/>
      </c>
      <c r="I33" s="33" t="str">
        <f>IF($A33="","",IFERROR(SUMIFS(ASSEGNAZIONI!$F:$F,ASSEGNAZIONI!$B:$B,$D33,ASSEGNAZIONI!$C:$C,$E33),0))</f>
        <v/>
      </c>
      <c r="J33" s="33" t="str">
        <f t="shared" si="0"/>
        <v/>
      </c>
      <c r="K33" s="42"/>
      <c r="L33" s="42"/>
      <c r="M33" s="42"/>
    </row>
    <row r="34" spans="1:13" x14ac:dyDescent="0.3">
      <c r="A34" s="42"/>
      <c r="B34" s="43"/>
      <c r="C34" s="42"/>
      <c r="D34" s="42"/>
      <c r="E34" s="42"/>
      <c r="F34" s="33" t="str">
        <f>IF($A34="","",SUMIFS(ORE!$F:$F,ORE!$B:$B,$D34,ORE!$E:$E,$E34))</f>
        <v/>
      </c>
      <c r="G34" s="48"/>
      <c r="H34" s="33" t="str">
        <f t="shared" ref="H34:H65" si="2">IF($A34="","",$F34+$G34)</f>
        <v/>
      </c>
      <c r="I34" s="33" t="str">
        <f>IF($A34="","",IFERROR(SUMIFS(ASSEGNAZIONI!$F:$F,ASSEGNAZIONI!$B:$B,$D34,ASSEGNAZIONI!$C:$C,$E34),0))</f>
        <v/>
      </c>
      <c r="J34" s="33" t="str">
        <f t="shared" ref="J34:J65" si="3">IF($A34="","",$H34-$I34)</f>
        <v/>
      </c>
      <c r="K34" s="42"/>
      <c r="L34" s="42"/>
      <c r="M34" s="42"/>
    </row>
    <row r="35" spans="1:13" x14ac:dyDescent="0.3">
      <c r="A35" s="42"/>
      <c r="B35" s="43"/>
      <c r="C35" s="42"/>
      <c r="D35" s="42"/>
      <c r="E35" s="42"/>
      <c r="F35" s="33" t="str">
        <f>IF($A35="","",SUMIFS(ORE!$F:$F,ORE!$B:$B,$D35,ORE!$E:$E,$E35))</f>
        <v/>
      </c>
      <c r="G35" s="48"/>
      <c r="H35" s="33" t="str">
        <f t="shared" si="2"/>
        <v/>
      </c>
      <c r="I35" s="33" t="str">
        <f>IF($A35="","",IFERROR(SUMIFS(ASSEGNAZIONI!$F:$F,ASSEGNAZIONI!$B:$B,$D35,ASSEGNAZIONI!$C:$C,$E35),0))</f>
        <v/>
      </c>
      <c r="J35" s="33" t="str">
        <f t="shared" si="3"/>
        <v/>
      </c>
      <c r="K35" s="42"/>
      <c r="L35" s="42"/>
      <c r="M35" s="42"/>
    </row>
    <row r="36" spans="1:13" x14ac:dyDescent="0.3">
      <c r="A36" s="42"/>
      <c r="B36" s="43"/>
      <c r="C36" s="42"/>
      <c r="D36" s="42"/>
      <c r="E36" s="42"/>
      <c r="F36" s="33" t="str">
        <f>IF($A36="","",SUMIFS(ORE!$F:$F,ORE!$B:$B,$D36,ORE!$E:$E,$E36))</f>
        <v/>
      </c>
      <c r="G36" s="48"/>
      <c r="H36" s="33" t="str">
        <f t="shared" si="2"/>
        <v/>
      </c>
      <c r="I36" s="33" t="str">
        <f>IF($A36="","",IFERROR(SUMIFS(ASSEGNAZIONI!$F:$F,ASSEGNAZIONI!$B:$B,$D36,ASSEGNAZIONI!$C:$C,$E36),0))</f>
        <v/>
      </c>
      <c r="J36" s="33" t="str">
        <f t="shared" si="3"/>
        <v/>
      </c>
      <c r="K36" s="42"/>
      <c r="L36" s="42"/>
      <c r="M36" s="42"/>
    </row>
    <row r="37" spans="1:13" x14ac:dyDescent="0.3">
      <c r="A37" s="42"/>
      <c r="B37" s="43"/>
      <c r="C37" s="42"/>
      <c r="D37" s="42"/>
      <c r="E37" s="42"/>
      <c r="F37" s="33" t="str">
        <f>IF($A37="","",SUMIFS(ORE!$F:$F,ORE!$B:$B,$D37,ORE!$E:$E,$E37))</f>
        <v/>
      </c>
      <c r="G37" s="48"/>
      <c r="H37" s="33" t="str">
        <f t="shared" si="2"/>
        <v/>
      </c>
      <c r="I37" s="33" t="str">
        <f>IF($A37="","",IFERROR(SUMIFS(ASSEGNAZIONI!$F:$F,ASSEGNAZIONI!$B:$B,$D37,ASSEGNAZIONI!$C:$C,$E37),0))</f>
        <v/>
      </c>
      <c r="J37" s="33" t="str">
        <f t="shared" si="3"/>
        <v/>
      </c>
      <c r="K37" s="42"/>
      <c r="L37" s="42"/>
      <c r="M37" s="42"/>
    </row>
    <row r="38" spans="1:13" x14ac:dyDescent="0.3">
      <c r="A38" s="42"/>
      <c r="B38" s="43"/>
      <c r="C38" s="42"/>
      <c r="D38" s="42"/>
      <c r="E38" s="42"/>
      <c r="F38" s="33" t="str">
        <f>IF($A38="","",SUMIFS(ORE!$F:$F,ORE!$B:$B,$D38,ORE!$E:$E,$E38))</f>
        <v/>
      </c>
      <c r="G38" s="48"/>
      <c r="H38" s="33" t="str">
        <f t="shared" si="2"/>
        <v/>
      </c>
      <c r="I38" s="33" t="str">
        <f>IF($A38="","",IFERROR(SUMIFS(ASSEGNAZIONI!$F:$F,ASSEGNAZIONI!$B:$B,$D38,ASSEGNAZIONI!$C:$C,$E38),0))</f>
        <v/>
      </c>
      <c r="J38" s="33" t="str">
        <f t="shared" si="3"/>
        <v/>
      </c>
      <c r="K38" s="42"/>
      <c r="L38" s="42"/>
      <c r="M38" s="42"/>
    </row>
    <row r="39" spans="1:13" x14ac:dyDescent="0.3">
      <c r="A39" s="42"/>
      <c r="B39" s="43"/>
      <c r="C39" s="42"/>
      <c r="D39" s="42"/>
      <c r="E39" s="42"/>
      <c r="F39" s="33" t="str">
        <f>IF($A39="","",SUMIFS(ORE!$F:$F,ORE!$B:$B,$D39,ORE!$E:$E,$E39))</f>
        <v/>
      </c>
      <c r="G39" s="48"/>
      <c r="H39" s="33" t="str">
        <f t="shared" si="2"/>
        <v/>
      </c>
      <c r="I39" s="33" t="str">
        <f>IF($A39="","",IFERROR(SUMIFS(ASSEGNAZIONI!$F:$F,ASSEGNAZIONI!$B:$B,$D39,ASSEGNAZIONI!$C:$C,$E39),0))</f>
        <v/>
      </c>
      <c r="J39" s="33" t="str">
        <f t="shared" si="3"/>
        <v/>
      </c>
      <c r="K39" s="42"/>
      <c r="L39" s="42"/>
      <c r="M39" s="42"/>
    </row>
    <row r="40" spans="1:13" x14ac:dyDescent="0.3">
      <c r="A40" s="42"/>
      <c r="B40" s="43"/>
      <c r="C40" s="42"/>
      <c r="D40" s="42"/>
      <c r="E40" s="42"/>
      <c r="F40" s="33" t="str">
        <f>IF($A40="","",SUMIFS(ORE!$F:$F,ORE!$B:$B,$D40,ORE!$E:$E,$E40))</f>
        <v/>
      </c>
      <c r="G40" s="48"/>
      <c r="H40" s="33" t="str">
        <f t="shared" si="2"/>
        <v/>
      </c>
      <c r="I40" s="33" t="str">
        <f>IF($A40="","",IFERROR(SUMIFS(ASSEGNAZIONI!$F:$F,ASSEGNAZIONI!$B:$B,$D40,ASSEGNAZIONI!$C:$C,$E40),0))</f>
        <v/>
      </c>
      <c r="J40" s="33" t="str">
        <f t="shared" si="3"/>
        <v/>
      </c>
      <c r="K40" s="42"/>
      <c r="L40" s="42"/>
      <c r="M40" s="42"/>
    </row>
    <row r="41" spans="1:13" x14ac:dyDescent="0.3">
      <c r="A41" s="42"/>
      <c r="B41" s="43"/>
      <c r="C41" s="42"/>
      <c r="D41" s="42"/>
      <c r="E41" s="42"/>
      <c r="F41" s="33" t="str">
        <f>IF($A41="","",SUMIFS(ORE!$F:$F,ORE!$B:$B,$D41,ORE!$E:$E,$E41))</f>
        <v/>
      </c>
      <c r="G41" s="48"/>
      <c r="H41" s="33" t="str">
        <f t="shared" si="2"/>
        <v/>
      </c>
      <c r="I41" s="33" t="str">
        <f>IF($A41="","",IFERROR(SUMIFS(ASSEGNAZIONI!$F:$F,ASSEGNAZIONI!$B:$B,$D41,ASSEGNAZIONI!$C:$C,$E41),0))</f>
        <v/>
      </c>
      <c r="J41" s="33" t="str">
        <f t="shared" si="3"/>
        <v/>
      </c>
      <c r="K41" s="42"/>
      <c r="L41" s="42"/>
      <c r="M41" s="42"/>
    </row>
    <row r="42" spans="1:13" x14ac:dyDescent="0.3">
      <c r="A42" s="42"/>
      <c r="B42" s="43"/>
      <c r="C42" s="42"/>
      <c r="D42" s="42"/>
      <c r="E42" s="42"/>
      <c r="F42" s="33" t="str">
        <f>IF($A42="","",SUMIFS(ORE!$F:$F,ORE!$B:$B,$D42,ORE!$E:$E,$E42))</f>
        <v/>
      </c>
      <c r="G42" s="48"/>
      <c r="H42" s="33" t="str">
        <f t="shared" si="2"/>
        <v/>
      </c>
      <c r="I42" s="33" t="str">
        <f>IF($A42="","",IFERROR(SUMIFS(ASSEGNAZIONI!$F:$F,ASSEGNAZIONI!$B:$B,$D42,ASSEGNAZIONI!$C:$C,$E42),0))</f>
        <v/>
      </c>
      <c r="J42" s="33" t="str">
        <f t="shared" si="3"/>
        <v/>
      </c>
      <c r="K42" s="42"/>
      <c r="L42" s="42"/>
      <c r="M42" s="42"/>
    </row>
    <row r="43" spans="1:13" x14ac:dyDescent="0.3">
      <c r="A43" s="42"/>
      <c r="B43" s="43"/>
      <c r="C43" s="42"/>
      <c r="D43" s="42"/>
      <c r="E43" s="42"/>
      <c r="F43" s="33" t="str">
        <f>IF($A43="","",SUMIFS(ORE!$F:$F,ORE!$B:$B,$D43,ORE!$E:$E,$E43))</f>
        <v/>
      </c>
      <c r="G43" s="48"/>
      <c r="H43" s="33" t="str">
        <f t="shared" si="2"/>
        <v/>
      </c>
      <c r="I43" s="33" t="str">
        <f>IF($A43="","",IFERROR(SUMIFS(ASSEGNAZIONI!$F:$F,ASSEGNAZIONI!$B:$B,$D43,ASSEGNAZIONI!$C:$C,$E43),0))</f>
        <v/>
      </c>
      <c r="J43" s="33" t="str">
        <f t="shared" si="3"/>
        <v/>
      </c>
      <c r="K43" s="42"/>
      <c r="L43" s="42"/>
      <c r="M43" s="42"/>
    </row>
    <row r="44" spans="1:13" x14ac:dyDescent="0.3">
      <c r="A44" s="42"/>
      <c r="B44" s="43"/>
      <c r="C44" s="42"/>
      <c r="D44" s="42"/>
      <c r="E44" s="42"/>
      <c r="F44" s="33" t="str">
        <f>IF($A44="","",SUMIFS(ORE!$F:$F,ORE!$B:$B,$D44,ORE!$E:$E,$E44))</f>
        <v/>
      </c>
      <c r="G44" s="48"/>
      <c r="H44" s="33" t="str">
        <f t="shared" si="2"/>
        <v/>
      </c>
      <c r="I44" s="33" t="str">
        <f>IF($A44="","",IFERROR(SUMIFS(ASSEGNAZIONI!$F:$F,ASSEGNAZIONI!$B:$B,$D44,ASSEGNAZIONI!$C:$C,$E44),0))</f>
        <v/>
      </c>
      <c r="J44" s="33" t="str">
        <f t="shared" si="3"/>
        <v/>
      </c>
      <c r="K44" s="42"/>
      <c r="L44" s="42"/>
      <c r="M44" s="42"/>
    </row>
    <row r="45" spans="1:13" x14ac:dyDescent="0.3">
      <c r="A45" s="42"/>
      <c r="B45" s="43"/>
      <c r="C45" s="42"/>
      <c r="D45" s="42"/>
      <c r="E45" s="42"/>
      <c r="F45" s="33" t="str">
        <f>IF($A45="","",SUMIFS(ORE!$F:$F,ORE!$B:$B,$D45,ORE!$E:$E,$E45))</f>
        <v/>
      </c>
      <c r="G45" s="48"/>
      <c r="H45" s="33" t="str">
        <f t="shared" si="2"/>
        <v/>
      </c>
      <c r="I45" s="33" t="str">
        <f>IF($A45="","",IFERROR(SUMIFS(ASSEGNAZIONI!$F:$F,ASSEGNAZIONI!$B:$B,$D45,ASSEGNAZIONI!$C:$C,$E45),0))</f>
        <v/>
      </c>
      <c r="J45" s="33" t="str">
        <f t="shared" si="3"/>
        <v/>
      </c>
      <c r="K45" s="42"/>
      <c r="L45" s="42"/>
      <c r="M45" s="42"/>
    </row>
    <row r="46" spans="1:13" x14ac:dyDescent="0.3">
      <c r="A46" s="42"/>
      <c r="B46" s="43"/>
      <c r="C46" s="42"/>
      <c r="D46" s="42"/>
      <c r="E46" s="42"/>
      <c r="F46" s="33" t="str">
        <f>IF($A46="","",SUMIFS(ORE!$F:$F,ORE!$B:$B,$D46,ORE!$E:$E,$E46))</f>
        <v/>
      </c>
      <c r="G46" s="48"/>
      <c r="H46" s="33" t="str">
        <f t="shared" si="2"/>
        <v/>
      </c>
      <c r="I46" s="33" t="str">
        <f>IF($A46="","",IFERROR(SUMIFS(ASSEGNAZIONI!$F:$F,ASSEGNAZIONI!$B:$B,$D46,ASSEGNAZIONI!$C:$C,$E46),0))</f>
        <v/>
      </c>
      <c r="J46" s="33" t="str">
        <f t="shared" si="3"/>
        <v/>
      </c>
      <c r="K46" s="42"/>
      <c r="L46" s="42"/>
      <c r="M46" s="42"/>
    </row>
    <row r="47" spans="1:13" x14ac:dyDescent="0.3">
      <c r="A47" s="42"/>
      <c r="B47" s="43"/>
      <c r="C47" s="42"/>
      <c r="D47" s="42"/>
      <c r="E47" s="42"/>
      <c r="F47" s="33" t="str">
        <f>IF($A47="","",SUMIFS(ORE!$F:$F,ORE!$B:$B,$D47,ORE!$E:$E,$E47))</f>
        <v/>
      </c>
      <c r="G47" s="48"/>
      <c r="H47" s="33" t="str">
        <f t="shared" si="2"/>
        <v/>
      </c>
      <c r="I47" s="33" t="str">
        <f>IF($A47="","",IFERROR(SUMIFS(ASSEGNAZIONI!$F:$F,ASSEGNAZIONI!$B:$B,$D47,ASSEGNAZIONI!$C:$C,$E47),0))</f>
        <v/>
      </c>
      <c r="J47" s="33" t="str">
        <f t="shared" si="3"/>
        <v/>
      </c>
      <c r="K47" s="42"/>
      <c r="L47" s="42"/>
      <c r="M47" s="42"/>
    </row>
    <row r="48" spans="1:13" x14ac:dyDescent="0.3">
      <c r="A48" s="42"/>
      <c r="B48" s="43"/>
      <c r="C48" s="42"/>
      <c r="D48" s="42"/>
      <c r="E48" s="42"/>
      <c r="F48" s="33" t="str">
        <f>IF($A48="","",SUMIFS(ORE!$F:$F,ORE!$B:$B,$D48,ORE!$E:$E,$E48))</f>
        <v/>
      </c>
      <c r="G48" s="48"/>
      <c r="H48" s="33" t="str">
        <f t="shared" si="2"/>
        <v/>
      </c>
      <c r="I48" s="33" t="str">
        <f>IF($A48="","",IFERROR(SUMIFS(ASSEGNAZIONI!$F:$F,ASSEGNAZIONI!$B:$B,$D48,ASSEGNAZIONI!$C:$C,$E48),0))</f>
        <v/>
      </c>
      <c r="J48" s="33" t="str">
        <f t="shared" si="3"/>
        <v/>
      </c>
      <c r="K48" s="42"/>
      <c r="L48" s="42"/>
      <c r="M48" s="42"/>
    </row>
    <row r="49" spans="1:13" x14ac:dyDescent="0.3">
      <c r="A49" s="42"/>
      <c r="B49" s="43"/>
      <c r="C49" s="42"/>
      <c r="D49" s="42"/>
      <c r="E49" s="42"/>
      <c r="F49" s="33" t="str">
        <f>IF($A49="","",SUMIFS(ORE!$F:$F,ORE!$B:$B,$D49,ORE!$E:$E,$E49))</f>
        <v/>
      </c>
      <c r="G49" s="48"/>
      <c r="H49" s="33" t="str">
        <f t="shared" si="2"/>
        <v/>
      </c>
      <c r="I49" s="33" t="str">
        <f>IF($A49="","",IFERROR(SUMIFS(ASSEGNAZIONI!$F:$F,ASSEGNAZIONI!$B:$B,$D49,ASSEGNAZIONI!$C:$C,$E49),0))</f>
        <v/>
      </c>
      <c r="J49" s="33" t="str">
        <f t="shared" si="3"/>
        <v/>
      </c>
      <c r="K49" s="42"/>
      <c r="L49" s="42"/>
      <c r="M49" s="42"/>
    </row>
    <row r="50" spans="1:13" x14ac:dyDescent="0.3">
      <c r="A50" s="42"/>
      <c r="B50" s="43"/>
      <c r="C50" s="42"/>
      <c r="D50" s="42"/>
      <c r="E50" s="42"/>
      <c r="F50" s="33" t="str">
        <f>IF($A50="","",SUMIFS(ORE!$F:$F,ORE!$B:$B,$D50,ORE!$E:$E,$E50))</f>
        <v/>
      </c>
      <c r="G50" s="48"/>
      <c r="H50" s="33" t="str">
        <f t="shared" si="2"/>
        <v/>
      </c>
      <c r="I50" s="33" t="str">
        <f>IF($A50="","",IFERROR(SUMIFS(ASSEGNAZIONI!$F:$F,ASSEGNAZIONI!$B:$B,$D50,ASSEGNAZIONI!$C:$C,$E50),0))</f>
        <v/>
      </c>
      <c r="J50" s="33" t="str">
        <f t="shared" si="3"/>
        <v/>
      </c>
      <c r="K50" s="42"/>
      <c r="L50" s="42"/>
      <c r="M50" s="42"/>
    </row>
    <row r="51" spans="1:13" x14ac:dyDescent="0.3">
      <c r="A51" s="42"/>
      <c r="B51" s="43"/>
      <c r="C51" s="42"/>
      <c r="D51" s="42"/>
      <c r="E51" s="42"/>
      <c r="F51" s="33" t="str">
        <f>IF($A51="","",SUMIFS(ORE!$F:$F,ORE!$B:$B,$D51,ORE!$E:$E,$E51))</f>
        <v/>
      </c>
      <c r="G51" s="48"/>
      <c r="H51" s="33" t="str">
        <f t="shared" si="2"/>
        <v/>
      </c>
      <c r="I51" s="33" t="str">
        <f>IF($A51="","",IFERROR(SUMIFS(ASSEGNAZIONI!$F:$F,ASSEGNAZIONI!$B:$B,$D51,ASSEGNAZIONI!$C:$C,$E51),0))</f>
        <v/>
      </c>
      <c r="J51" s="33" t="str">
        <f t="shared" si="3"/>
        <v/>
      </c>
      <c r="K51" s="42"/>
      <c r="L51" s="42"/>
      <c r="M51" s="42"/>
    </row>
    <row r="52" spans="1:13" x14ac:dyDescent="0.3">
      <c r="A52" s="42"/>
      <c r="B52" s="43"/>
      <c r="C52" s="42"/>
      <c r="D52" s="42"/>
      <c r="E52" s="42"/>
      <c r="F52" s="33" t="str">
        <f>IF($A52="","",SUMIFS(ORE!$F:$F,ORE!$B:$B,$D52,ORE!$E:$E,$E52))</f>
        <v/>
      </c>
      <c r="G52" s="48"/>
      <c r="H52" s="33" t="str">
        <f t="shared" si="2"/>
        <v/>
      </c>
      <c r="I52" s="33" t="str">
        <f>IF($A52="","",IFERROR(SUMIFS(ASSEGNAZIONI!$F:$F,ASSEGNAZIONI!$B:$B,$D52,ASSEGNAZIONI!$C:$C,$E52),0))</f>
        <v/>
      </c>
      <c r="J52" s="33" t="str">
        <f t="shared" si="3"/>
        <v/>
      </c>
      <c r="K52" s="42"/>
      <c r="L52" s="42"/>
      <c r="M52" s="42"/>
    </row>
    <row r="53" spans="1:13" x14ac:dyDescent="0.3">
      <c r="A53" s="42"/>
      <c r="B53" s="43"/>
      <c r="C53" s="42"/>
      <c r="D53" s="42"/>
      <c r="E53" s="42"/>
      <c r="F53" s="33" t="str">
        <f>IF($A53="","",SUMIFS(ORE!$F:$F,ORE!$B:$B,$D53,ORE!$E:$E,$E53))</f>
        <v/>
      </c>
      <c r="G53" s="48"/>
      <c r="H53" s="33" t="str">
        <f t="shared" si="2"/>
        <v/>
      </c>
      <c r="I53" s="33" t="str">
        <f>IF($A53="","",IFERROR(SUMIFS(ASSEGNAZIONI!$F:$F,ASSEGNAZIONI!$B:$B,$D53,ASSEGNAZIONI!$C:$C,$E53),0))</f>
        <v/>
      </c>
      <c r="J53" s="33" t="str">
        <f t="shared" si="3"/>
        <v/>
      </c>
      <c r="K53" s="42"/>
      <c r="L53" s="42"/>
      <c r="M53" s="42"/>
    </row>
    <row r="54" spans="1:13" x14ac:dyDescent="0.3">
      <c r="A54" s="42"/>
      <c r="B54" s="43"/>
      <c r="C54" s="42"/>
      <c r="D54" s="42"/>
      <c r="E54" s="42"/>
      <c r="F54" s="33" t="str">
        <f>IF($A54="","",SUMIFS(ORE!$F:$F,ORE!$B:$B,$D54,ORE!$E:$E,$E54))</f>
        <v/>
      </c>
      <c r="G54" s="48"/>
      <c r="H54" s="33" t="str">
        <f t="shared" si="2"/>
        <v/>
      </c>
      <c r="I54" s="33" t="str">
        <f>IF($A54="","",IFERROR(SUMIFS(ASSEGNAZIONI!$F:$F,ASSEGNAZIONI!$B:$B,$D54,ASSEGNAZIONI!$C:$C,$E54),0))</f>
        <v/>
      </c>
      <c r="J54" s="33" t="str">
        <f t="shared" si="3"/>
        <v/>
      </c>
      <c r="K54" s="42"/>
      <c r="L54" s="42"/>
      <c r="M54" s="42"/>
    </row>
    <row r="55" spans="1:13" x14ac:dyDescent="0.3">
      <c r="A55" s="42"/>
      <c r="B55" s="43"/>
      <c r="C55" s="42"/>
      <c r="D55" s="42"/>
      <c r="E55" s="42"/>
      <c r="F55" s="33" t="str">
        <f>IF($A55="","",SUMIFS(ORE!$F:$F,ORE!$B:$B,$D55,ORE!$E:$E,$E55))</f>
        <v/>
      </c>
      <c r="G55" s="48"/>
      <c r="H55" s="33" t="str">
        <f t="shared" si="2"/>
        <v/>
      </c>
      <c r="I55" s="33" t="str">
        <f>IF($A55="","",IFERROR(SUMIFS(ASSEGNAZIONI!$F:$F,ASSEGNAZIONI!$B:$B,$D55,ASSEGNAZIONI!$C:$C,$E55),0))</f>
        <v/>
      </c>
      <c r="J55" s="33" t="str">
        <f t="shared" si="3"/>
        <v/>
      </c>
      <c r="K55" s="42"/>
      <c r="L55" s="42"/>
      <c r="M55" s="42"/>
    </row>
    <row r="56" spans="1:13" x14ac:dyDescent="0.3">
      <c r="A56" s="42"/>
      <c r="B56" s="43"/>
      <c r="C56" s="42"/>
      <c r="D56" s="42"/>
      <c r="E56" s="42"/>
      <c r="F56" s="33" t="str">
        <f>IF($A56="","",SUMIFS(ORE!$F:$F,ORE!$B:$B,$D56,ORE!$E:$E,$E56))</f>
        <v/>
      </c>
      <c r="G56" s="48"/>
      <c r="H56" s="33" t="str">
        <f t="shared" si="2"/>
        <v/>
      </c>
      <c r="I56" s="33" t="str">
        <f>IF($A56="","",IFERROR(SUMIFS(ASSEGNAZIONI!$F:$F,ASSEGNAZIONI!$B:$B,$D56,ASSEGNAZIONI!$C:$C,$E56),0))</f>
        <v/>
      </c>
      <c r="J56" s="33" t="str">
        <f t="shared" si="3"/>
        <v/>
      </c>
      <c r="K56" s="42"/>
      <c r="L56" s="42"/>
      <c r="M56" s="42"/>
    </row>
    <row r="57" spans="1:13" x14ac:dyDescent="0.3">
      <c r="A57" s="42"/>
      <c r="B57" s="43"/>
      <c r="C57" s="42"/>
      <c r="D57" s="42"/>
      <c r="E57" s="42"/>
      <c r="F57" s="33" t="str">
        <f>IF($A57="","",SUMIFS(ORE!$F:$F,ORE!$B:$B,$D57,ORE!$E:$E,$E57))</f>
        <v/>
      </c>
      <c r="G57" s="48"/>
      <c r="H57" s="33" t="str">
        <f t="shared" si="2"/>
        <v/>
      </c>
      <c r="I57" s="33" t="str">
        <f>IF($A57="","",IFERROR(SUMIFS(ASSEGNAZIONI!$F:$F,ASSEGNAZIONI!$B:$B,$D57,ASSEGNAZIONI!$C:$C,$E57),0))</f>
        <v/>
      </c>
      <c r="J57" s="33" t="str">
        <f t="shared" si="3"/>
        <v/>
      </c>
      <c r="K57" s="42"/>
      <c r="L57" s="42"/>
      <c r="M57" s="42"/>
    </row>
    <row r="58" spans="1:13" x14ac:dyDescent="0.3">
      <c r="A58" s="42"/>
      <c r="B58" s="43"/>
      <c r="C58" s="42"/>
      <c r="D58" s="42"/>
      <c r="E58" s="42"/>
      <c r="F58" s="33" t="str">
        <f>IF($A58="","",SUMIFS(ORE!$F:$F,ORE!$B:$B,$D58,ORE!$E:$E,$E58))</f>
        <v/>
      </c>
      <c r="G58" s="48"/>
      <c r="H58" s="33" t="str">
        <f t="shared" si="2"/>
        <v/>
      </c>
      <c r="I58" s="33" t="str">
        <f>IF($A58="","",IFERROR(SUMIFS(ASSEGNAZIONI!$F:$F,ASSEGNAZIONI!$B:$B,$D58,ASSEGNAZIONI!$C:$C,$E58),0))</f>
        <v/>
      </c>
      <c r="J58" s="33" t="str">
        <f t="shared" si="3"/>
        <v/>
      </c>
      <c r="K58" s="42"/>
      <c r="L58" s="42"/>
      <c r="M58" s="42"/>
    </row>
    <row r="59" spans="1:13" x14ac:dyDescent="0.3">
      <c r="A59" s="42"/>
      <c r="B59" s="43"/>
      <c r="C59" s="42"/>
      <c r="D59" s="42"/>
      <c r="E59" s="42"/>
      <c r="F59" s="33" t="str">
        <f>IF($A59="","",SUMIFS(ORE!$F:$F,ORE!$B:$B,$D59,ORE!$E:$E,$E59))</f>
        <v/>
      </c>
      <c r="G59" s="48"/>
      <c r="H59" s="33" t="str">
        <f t="shared" si="2"/>
        <v/>
      </c>
      <c r="I59" s="33" t="str">
        <f>IF($A59="","",IFERROR(SUMIFS(ASSEGNAZIONI!$F:$F,ASSEGNAZIONI!$B:$B,$D59,ASSEGNAZIONI!$C:$C,$E59),0))</f>
        <v/>
      </c>
      <c r="J59" s="33" t="str">
        <f t="shared" si="3"/>
        <v/>
      </c>
      <c r="K59" s="42"/>
      <c r="L59" s="42"/>
      <c r="M59" s="42"/>
    </row>
    <row r="60" spans="1:13" x14ac:dyDescent="0.3">
      <c r="A60" s="42"/>
      <c r="B60" s="43"/>
      <c r="C60" s="42"/>
      <c r="D60" s="42"/>
      <c r="E60" s="42"/>
      <c r="F60" s="33" t="str">
        <f>IF($A60="","",SUMIFS(ORE!$F:$F,ORE!$B:$B,$D60,ORE!$E:$E,$E60))</f>
        <v/>
      </c>
      <c r="G60" s="48"/>
      <c r="H60" s="33" t="str">
        <f t="shared" si="2"/>
        <v/>
      </c>
      <c r="I60" s="33" t="str">
        <f>IF($A60="","",IFERROR(SUMIFS(ASSEGNAZIONI!$F:$F,ASSEGNAZIONI!$B:$B,$D60,ASSEGNAZIONI!$C:$C,$E60),0))</f>
        <v/>
      </c>
      <c r="J60" s="33" t="str">
        <f t="shared" si="3"/>
        <v/>
      </c>
      <c r="K60" s="42"/>
      <c r="L60" s="42"/>
      <c r="M60" s="42"/>
    </row>
    <row r="61" spans="1:13" x14ac:dyDescent="0.3">
      <c r="A61" s="42"/>
      <c r="B61" s="43"/>
      <c r="C61" s="42"/>
      <c r="D61" s="42"/>
      <c r="E61" s="42"/>
      <c r="F61" s="33" t="str">
        <f>IF($A61="","",SUMIFS(ORE!$F:$F,ORE!$B:$B,$D61,ORE!$E:$E,$E61))</f>
        <v/>
      </c>
      <c r="G61" s="48"/>
      <c r="H61" s="33" t="str">
        <f t="shared" si="2"/>
        <v/>
      </c>
      <c r="I61" s="33" t="str">
        <f>IF($A61="","",IFERROR(SUMIFS(ASSEGNAZIONI!$F:$F,ASSEGNAZIONI!$B:$B,$D61,ASSEGNAZIONI!$C:$C,$E61),0))</f>
        <v/>
      </c>
      <c r="J61" s="33" t="str">
        <f t="shared" si="3"/>
        <v/>
      </c>
      <c r="K61" s="42"/>
      <c r="L61" s="42"/>
      <c r="M61" s="42"/>
    </row>
    <row r="62" spans="1:13" x14ac:dyDescent="0.3">
      <c r="A62" s="42"/>
      <c r="B62" s="43"/>
      <c r="C62" s="42"/>
      <c r="D62" s="42"/>
      <c r="E62" s="42"/>
      <c r="F62" s="33" t="str">
        <f>IF($A62="","",SUMIFS(ORE!$F:$F,ORE!$B:$B,$D62,ORE!$E:$E,$E62))</f>
        <v/>
      </c>
      <c r="G62" s="48"/>
      <c r="H62" s="33" t="str">
        <f t="shared" si="2"/>
        <v/>
      </c>
      <c r="I62" s="33" t="str">
        <f>IF($A62="","",IFERROR(SUMIFS(ASSEGNAZIONI!$F:$F,ASSEGNAZIONI!$B:$B,$D62,ASSEGNAZIONI!$C:$C,$E62),0))</f>
        <v/>
      </c>
      <c r="J62" s="33" t="str">
        <f t="shared" si="3"/>
        <v/>
      </c>
      <c r="K62" s="42"/>
      <c r="L62" s="42"/>
      <c r="M62" s="42"/>
    </row>
    <row r="63" spans="1:13" x14ac:dyDescent="0.3">
      <c r="A63" s="42"/>
      <c r="B63" s="43"/>
      <c r="C63" s="42"/>
      <c r="D63" s="42"/>
      <c r="E63" s="42"/>
      <c r="F63" s="33" t="str">
        <f>IF($A63="","",SUMIFS(ORE!$F:$F,ORE!$B:$B,$D63,ORE!$E:$E,$E63))</f>
        <v/>
      </c>
      <c r="G63" s="48"/>
      <c r="H63" s="33" t="str">
        <f t="shared" si="2"/>
        <v/>
      </c>
      <c r="I63" s="33" t="str">
        <f>IF($A63="","",IFERROR(SUMIFS(ASSEGNAZIONI!$F:$F,ASSEGNAZIONI!$B:$B,$D63,ASSEGNAZIONI!$C:$C,$E63),0))</f>
        <v/>
      </c>
      <c r="J63" s="33" t="str">
        <f t="shared" si="3"/>
        <v/>
      </c>
      <c r="K63" s="42"/>
      <c r="L63" s="42"/>
      <c r="M63" s="42"/>
    </row>
    <row r="64" spans="1:13" x14ac:dyDescent="0.3">
      <c r="A64" s="42"/>
      <c r="B64" s="43"/>
      <c r="C64" s="42"/>
      <c r="D64" s="42"/>
      <c r="E64" s="42"/>
      <c r="F64" s="33" t="str">
        <f>IF($A64="","",SUMIFS(ORE!$F:$F,ORE!$B:$B,$D64,ORE!$E:$E,$E64))</f>
        <v/>
      </c>
      <c r="G64" s="48"/>
      <c r="H64" s="33" t="str">
        <f t="shared" si="2"/>
        <v/>
      </c>
      <c r="I64" s="33" t="str">
        <f>IF($A64="","",IFERROR(SUMIFS(ASSEGNAZIONI!$F:$F,ASSEGNAZIONI!$B:$B,$D64,ASSEGNAZIONI!$C:$C,$E64),0))</f>
        <v/>
      </c>
      <c r="J64" s="33" t="str">
        <f t="shared" si="3"/>
        <v/>
      </c>
      <c r="K64" s="42"/>
      <c r="L64" s="42"/>
      <c r="M64" s="42"/>
    </row>
    <row r="65" spans="1:13" x14ac:dyDescent="0.3">
      <c r="A65" s="42"/>
      <c r="B65" s="43"/>
      <c r="C65" s="42"/>
      <c r="D65" s="42"/>
      <c r="E65" s="42"/>
      <c r="F65" s="33" t="str">
        <f>IF($A65="","",SUMIFS(ORE!$F:$F,ORE!$B:$B,$D65,ORE!$E:$E,$E65))</f>
        <v/>
      </c>
      <c r="G65" s="48"/>
      <c r="H65" s="33" t="str">
        <f t="shared" si="2"/>
        <v/>
      </c>
      <c r="I65" s="33" t="str">
        <f>IF($A65="","",IFERROR(SUMIFS(ASSEGNAZIONI!$F:$F,ASSEGNAZIONI!$B:$B,$D65,ASSEGNAZIONI!$C:$C,$E65),0))</f>
        <v/>
      </c>
      <c r="J65" s="33" t="str">
        <f t="shared" si="3"/>
        <v/>
      </c>
      <c r="K65" s="42"/>
      <c r="L65" s="42"/>
      <c r="M65" s="42"/>
    </row>
    <row r="66" spans="1:13" x14ac:dyDescent="0.3">
      <c r="A66" s="42"/>
      <c r="B66" s="43"/>
      <c r="C66" s="42"/>
      <c r="D66" s="42"/>
      <c r="E66" s="42"/>
      <c r="F66" s="33" t="str">
        <f>IF($A66="","",SUMIFS(ORE!$F:$F,ORE!$B:$B,$D66,ORE!$E:$E,$E66))</f>
        <v/>
      </c>
      <c r="G66" s="48"/>
      <c r="H66" s="33" t="str">
        <f t="shared" ref="H66:H97" si="4">IF($A66="","",$F66+$G66)</f>
        <v/>
      </c>
      <c r="I66" s="33" t="str">
        <f>IF($A66="","",IFERROR(SUMIFS(ASSEGNAZIONI!$F:$F,ASSEGNAZIONI!$B:$B,$D66,ASSEGNAZIONI!$C:$C,$E66),0))</f>
        <v/>
      </c>
      <c r="J66" s="33" t="str">
        <f t="shared" ref="J66:J97" si="5">IF($A66="","",$H66-$I66)</f>
        <v/>
      </c>
      <c r="K66" s="42"/>
      <c r="L66" s="42"/>
      <c r="M66" s="42"/>
    </row>
    <row r="67" spans="1:13" x14ac:dyDescent="0.3">
      <c r="A67" s="42"/>
      <c r="B67" s="43"/>
      <c r="C67" s="42"/>
      <c r="D67" s="42"/>
      <c r="E67" s="42"/>
      <c r="F67" s="33" t="str">
        <f>IF($A67="","",SUMIFS(ORE!$F:$F,ORE!$B:$B,$D67,ORE!$E:$E,$E67))</f>
        <v/>
      </c>
      <c r="G67" s="48"/>
      <c r="H67" s="33" t="str">
        <f t="shared" si="4"/>
        <v/>
      </c>
      <c r="I67" s="33" t="str">
        <f>IF($A67="","",IFERROR(SUMIFS(ASSEGNAZIONI!$F:$F,ASSEGNAZIONI!$B:$B,$D67,ASSEGNAZIONI!$C:$C,$E67),0))</f>
        <v/>
      </c>
      <c r="J67" s="33" t="str">
        <f t="shared" si="5"/>
        <v/>
      </c>
      <c r="K67" s="42"/>
      <c r="L67" s="42"/>
      <c r="M67" s="42"/>
    </row>
    <row r="68" spans="1:13" x14ac:dyDescent="0.3">
      <c r="A68" s="42"/>
      <c r="B68" s="43"/>
      <c r="C68" s="42"/>
      <c r="D68" s="42"/>
      <c r="E68" s="42"/>
      <c r="F68" s="33" t="str">
        <f>IF($A68="","",SUMIFS(ORE!$F:$F,ORE!$B:$B,$D68,ORE!$E:$E,$E68))</f>
        <v/>
      </c>
      <c r="G68" s="48"/>
      <c r="H68" s="33" t="str">
        <f t="shared" si="4"/>
        <v/>
      </c>
      <c r="I68" s="33" t="str">
        <f>IF($A68="","",IFERROR(SUMIFS(ASSEGNAZIONI!$F:$F,ASSEGNAZIONI!$B:$B,$D68,ASSEGNAZIONI!$C:$C,$E68),0))</f>
        <v/>
      </c>
      <c r="J68" s="33" t="str">
        <f t="shared" si="5"/>
        <v/>
      </c>
      <c r="K68" s="42"/>
      <c r="L68" s="42"/>
      <c r="M68" s="42"/>
    </row>
    <row r="69" spans="1:13" x14ac:dyDescent="0.3">
      <c r="A69" s="42"/>
      <c r="B69" s="43"/>
      <c r="C69" s="42"/>
      <c r="D69" s="42"/>
      <c r="E69" s="42"/>
      <c r="F69" s="33" t="str">
        <f>IF($A69="","",SUMIFS(ORE!$F:$F,ORE!$B:$B,$D69,ORE!$E:$E,$E69))</f>
        <v/>
      </c>
      <c r="G69" s="48"/>
      <c r="H69" s="33" t="str">
        <f t="shared" si="4"/>
        <v/>
      </c>
      <c r="I69" s="33" t="str">
        <f>IF($A69="","",IFERROR(SUMIFS(ASSEGNAZIONI!$F:$F,ASSEGNAZIONI!$B:$B,$D69,ASSEGNAZIONI!$C:$C,$E69),0))</f>
        <v/>
      </c>
      <c r="J69" s="33" t="str">
        <f t="shared" si="5"/>
        <v/>
      </c>
      <c r="K69" s="42"/>
      <c r="L69" s="42"/>
      <c r="M69" s="42"/>
    </row>
    <row r="70" spans="1:13" x14ac:dyDescent="0.3">
      <c r="A70" s="42"/>
      <c r="B70" s="43"/>
      <c r="C70" s="42"/>
      <c r="D70" s="42"/>
      <c r="E70" s="42"/>
      <c r="F70" s="33" t="str">
        <f>IF($A70="","",SUMIFS(ORE!$F:$F,ORE!$B:$B,$D70,ORE!$E:$E,$E70))</f>
        <v/>
      </c>
      <c r="G70" s="48"/>
      <c r="H70" s="33" t="str">
        <f t="shared" si="4"/>
        <v/>
      </c>
      <c r="I70" s="33" t="str">
        <f>IF($A70="","",IFERROR(SUMIFS(ASSEGNAZIONI!$F:$F,ASSEGNAZIONI!$B:$B,$D70,ASSEGNAZIONI!$C:$C,$E70),0))</f>
        <v/>
      </c>
      <c r="J70" s="33" t="str">
        <f t="shared" si="5"/>
        <v/>
      </c>
      <c r="K70" s="42"/>
      <c r="L70" s="42"/>
      <c r="M70" s="42"/>
    </row>
    <row r="71" spans="1:13" x14ac:dyDescent="0.3">
      <c r="A71" s="42"/>
      <c r="B71" s="43"/>
      <c r="C71" s="42"/>
      <c r="D71" s="42"/>
      <c r="E71" s="42"/>
      <c r="F71" s="33" t="str">
        <f>IF($A71="","",SUMIFS(ORE!$F:$F,ORE!$B:$B,$D71,ORE!$E:$E,$E71))</f>
        <v/>
      </c>
      <c r="G71" s="48"/>
      <c r="H71" s="33" t="str">
        <f t="shared" si="4"/>
        <v/>
      </c>
      <c r="I71" s="33" t="str">
        <f>IF($A71="","",IFERROR(SUMIFS(ASSEGNAZIONI!$F:$F,ASSEGNAZIONI!$B:$B,$D71,ASSEGNAZIONI!$C:$C,$E71),0))</f>
        <v/>
      </c>
      <c r="J71" s="33" t="str">
        <f t="shared" si="5"/>
        <v/>
      </c>
      <c r="K71" s="42"/>
      <c r="L71" s="42"/>
      <c r="M71" s="42"/>
    </row>
    <row r="72" spans="1:13" x14ac:dyDescent="0.3">
      <c r="A72" s="42"/>
      <c r="B72" s="43"/>
      <c r="C72" s="42"/>
      <c r="D72" s="42"/>
      <c r="E72" s="42"/>
      <c r="F72" s="33" t="str">
        <f>IF($A72="","",SUMIFS(ORE!$F:$F,ORE!$B:$B,$D72,ORE!$E:$E,$E72))</f>
        <v/>
      </c>
      <c r="G72" s="48"/>
      <c r="H72" s="33" t="str">
        <f t="shared" si="4"/>
        <v/>
      </c>
      <c r="I72" s="33" t="str">
        <f>IF($A72="","",IFERROR(SUMIFS(ASSEGNAZIONI!$F:$F,ASSEGNAZIONI!$B:$B,$D72,ASSEGNAZIONI!$C:$C,$E72),0))</f>
        <v/>
      </c>
      <c r="J72" s="33" t="str">
        <f t="shared" si="5"/>
        <v/>
      </c>
      <c r="K72" s="42"/>
      <c r="L72" s="42"/>
      <c r="M72" s="42"/>
    </row>
    <row r="73" spans="1:13" x14ac:dyDescent="0.3">
      <c r="A73" s="42"/>
      <c r="B73" s="43"/>
      <c r="C73" s="42"/>
      <c r="D73" s="42"/>
      <c r="E73" s="42"/>
      <c r="F73" s="33" t="str">
        <f>IF($A73="","",SUMIFS(ORE!$F:$F,ORE!$B:$B,$D73,ORE!$E:$E,$E73))</f>
        <v/>
      </c>
      <c r="G73" s="48"/>
      <c r="H73" s="33" t="str">
        <f t="shared" si="4"/>
        <v/>
      </c>
      <c r="I73" s="33" t="str">
        <f>IF($A73="","",IFERROR(SUMIFS(ASSEGNAZIONI!$F:$F,ASSEGNAZIONI!$B:$B,$D73,ASSEGNAZIONI!$C:$C,$E73),0))</f>
        <v/>
      </c>
      <c r="J73" s="33" t="str">
        <f t="shared" si="5"/>
        <v/>
      </c>
      <c r="K73" s="42"/>
      <c r="L73" s="42"/>
      <c r="M73" s="42"/>
    </row>
    <row r="74" spans="1:13" x14ac:dyDescent="0.3">
      <c r="A74" s="42"/>
      <c r="B74" s="43"/>
      <c r="C74" s="42"/>
      <c r="D74" s="42"/>
      <c r="E74" s="42"/>
      <c r="F74" s="33" t="str">
        <f>IF($A74="","",SUMIFS(ORE!$F:$F,ORE!$B:$B,$D74,ORE!$E:$E,$E74))</f>
        <v/>
      </c>
      <c r="G74" s="48"/>
      <c r="H74" s="33" t="str">
        <f t="shared" si="4"/>
        <v/>
      </c>
      <c r="I74" s="33" t="str">
        <f>IF($A74="","",IFERROR(SUMIFS(ASSEGNAZIONI!$F:$F,ASSEGNAZIONI!$B:$B,$D74,ASSEGNAZIONI!$C:$C,$E74),0))</f>
        <v/>
      </c>
      <c r="J74" s="33" t="str">
        <f t="shared" si="5"/>
        <v/>
      </c>
      <c r="K74" s="42"/>
      <c r="L74" s="42"/>
      <c r="M74" s="42"/>
    </row>
    <row r="75" spans="1:13" x14ac:dyDescent="0.3">
      <c r="A75" s="42"/>
      <c r="B75" s="43"/>
      <c r="C75" s="42"/>
      <c r="D75" s="42"/>
      <c r="E75" s="42"/>
      <c r="F75" s="33" t="str">
        <f>IF($A75="","",SUMIFS(ORE!$F:$F,ORE!$B:$B,$D75,ORE!$E:$E,$E75))</f>
        <v/>
      </c>
      <c r="G75" s="48"/>
      <c r="H75" s="33" t="str">
        <f t="shared" si="4"/>
        <v/>
      </c>
      <c r="I75" s="33" t="str">
        <f>IF($A75="","",IFERROR(SUMIFS(ASSEGNAZIONI!$F:$F,ASSEGNAZIONI!$B:$B,$D75,ASSEGNAZIONI!$C:$C,$E75),0))</f>
        <v/>
      </c>
      <c r="J75" s="33" t="str">
        <f t="shared" si="5"/>
        <v/>
      </c>
      <c r="K75" s="42"/>
      <c r="L75" s="42"/>
      <c r="M75" s="42"/>
    </row>
    <row r="76" spans="1:13" x14ac:dyDescent="0.3">
      <c r="A76" s="42"/>
      <c r="B76" s="43"/>
      <c r="C76" s="42"/>
      <c r="D76" s="42"/>
      <c r="E76" s="42"/>
      <c r="F76" s="33" t="str">
        <f>IF($A76="","",SUMIFS(ORE!$F:$F,ORE!$B:$B,$D76,ORE!$E:$E,$E76))</f>
        <v/>
      </c>
      <c r="G76" s="48"/>
      <c r="H76" s="33" t="str">
        <f t="shared" si="4"/>
        <v/>
      </c>
      <c r="I76" s="33" t="str">
        <f>IF($A76="","",IFERROR(SUMIFS(ASSEGNAZIONI!$F:$F,ASSEGNAZIONI!$B:$B,$D76,ASSEGNAZIONI!$C:$C,$E76),0))</f>
        <v/>
      </c>
      <c r="J76" s="33" t="str">
        <f t="shared" si="5"/>
        <v/>
      </c>
      <c r="K76" s="42"/>
      <c r="L76" s="42"/>
      <c r="M76" s="42"/>
    </row>
    <row r="77" spans="1:13" x14ac:dyDescent="0.3">
      <c r="A77" s="42"/>
      <c r="B77" s="43"/>
      <c r="C77" s="42"/>
      <c r="D77" s="42"/>
      <c r="E77" s="42"/>
      <c r="F77" s="33" t="str">
        <f>IF($A77="","",SUMIFS(ORE!$F:$F,ORE!$B:$B,$D77,ORE!$E:$E,$E77))</f>
        <v/>
      </c>
      <c r="G77" s="48"/>
      <c r="H77" s="33" t="str">
        <f t="shared" si="4"/>
        <v/>
      </c>
      <c r="I77" s="33" t="str">
        <f>IF($A77="","",IFERROR(SUMIFS(ASSEGNAZIONI!$F:$F,ASSEGNAZIONI!$B:$B,$D77,ASSEGNAZIONI!$C:$C,$E77),0))</f>
        <v/>
      </c>
      <c r="J77" s="33" t="str">
        <f t="shared" si="5"/>
        <v/>
      </c>
      <c r="K77" s="42"/>
      <c r="L77" s="42"/>
      <c r="M77" s="42"/>
    </row>
    <row r="78" spans="1:13" x14ac:dyDescent="0.3">
      <c r="A78" s="42"/>
      <c r="B78" s="43"/>
      <c r="C78" s="42"/>
      <c r="D78" s="42"/>
      <c r="E78" s="42"/>
      <c r="F78" s="33" t="str">
        <f>IF($A78="","",SUMIFS(ORE!$F:$F,ORE!$B:$B,$D78,ORE!$E:$E,$E78))</f>
        <v/>
      </c>
      <c r="G78" s="48"/>
      <c r="H78" s="33" t="str">
        <f t="shared" si="4"/>
        <v/>
      </c>
      <c r="I78" s="33" t="str">
        <f>IF($A78="","",IFERROR(SUMIFS(ASSEGNAZIONI!$F:$F,ASSEGNAZIONI!$B:$B,$D78,ASSEGNAZIONI!$C:$C,$E78),0))</f>
        <v/>
      </c>
      <c r="J78" s="33" t="str">
        <f t="shared" si="5"/>
        <v/>
      </c>
      <c r="K78" s="42"/>
      <c r="L78" s="42"/>
      <c r="M78" s="42"/>
    </row>
    <row r="79" spans="1:13" x14ac:dyDescent="0.3">
      <c r="A79" s="42"/>
      <c r="B79" s="43"/>
      <c r="C79" s="42"/>
      <c r="D79" s="42"/>
      <c r="E79" s="42"/>
      <c r="F79" s="33" t="str">
        <f>IF($A79="","",SUMIFS(ORE!$F:$F,ORE!$B:$B,$D79,ORE!$E:$E,$E79))</f>
        <v/>
      </c>
      <c r="G79" s="48"/>
      <c r="H79" s="33" t="str">
        <f t="shared" si="4"/>
        <v/>
      </c>
      <c r="I79" s="33" t="str">
        <f>IF($A79="","",IFERROR(SUMIFS(ASSEGNAZIONI!$F:$F,ASSEGNAZIONI!$B:$B,$D79,ASSEGNAZIONI!$C:$C,$E79),0))</f>
        <v/>
      </c>
      <c r="J79" s="33" t="str">
        <f t="shared" si="5"/>
        <v/>
      </c>
      <c r="K79" s="42"/>
      <c r="L79" s="42"/>
      <c r="M79" s="42"/>
    </row>
    <row r="80" spans="1:13" x14ac:dyDescent="0.3">
      <c r="A80" s="42"/>
      <c r="B80" s="43"/>
      <c r="C80" s="42"/>
      <c r="D80" s="42"/>
      <c r="E80" s="42"/>
      <c r="F80" s="33" t="str">
        <f>IF($A80="","",SUMIFS(ORE!$F:$F,ORE!$B:$B,$D80,ORE!$E:$E,$E80))</f>
        <v/>
      </c>
      <c r="G80" s="48"/>
      <c r="H80" s="33" t="str">
        <f t="shared" si="4"/>
        <v/>
      </c>
      <c r="I80" s="33" t="str">
        <f>IF($A80="","",IFERROR(SUMIFS(ASSEGNAZIONI!$F:$F,ASSEGNAZIONI!$B:$B,$D80,ASSEGNAZIONI!$C:$C,$E80),0))</f>
        <v/>
      </c>
      <c r="J80" s="33" t="str">
        <f t="shared" si="5"/>
        <v/>
      </c>
      <c r="K80" s="42"/>
      <c r="L80" s="42"/>
      <c r="M80" s="42"/>
    </row>
    <row r="81" spans="1:13" x14ac:dyDescent="0.3">
      <c r="A81" s="42"/>
      <c r="B81" s="43"/>
      <c r="C81" s="42"/>
      <c r="D81" s="42"/>
      <c r="E81" s="42"/>
      <c r="F81" s="33" t="str">
        <f>IF($A81="","",SUMIFS(ORE!$F:$F,ORE!$B:$B,$D81,ORE!$E:$E,$E81))</f>
        <v/>
      </c>
      <c r="G81" s="48"/>
      <c r="H81" s="33" t="str">
        <f t="shared" si="4"/>
        <v/>
      </c>
      <c r="I81" s="33" t="str">
        <f>IF($A81="","",IFERROR(SUMIFS(ASSEGNAZIONI!$F:$F,ASSEGNAZIONI!$B:$B,$D81,ASSEGNAZIONI!$C:$C,$E81),0))</f>
        <v/>
      </c>
      <c r="J81" s="33" t="str">
        <f t="shared" si="5"/>
        <v/>
      </c>
      <c r="K81" s="42"/>
      <c r="L81" s="42"/>
      <c r="M81" s="42"/>
    </row>
    <row r="82" spans="1:13" x14ac:dyDescent="0.3">
      <c r="A82" s="42"/>
      <c r="B82" s="43"/>
      <c r="C82" s="42"/>
      <c r="D82" s="42"/>
      <c r="E82" s="42"/>
      <c r="F82" s="33" t="str">
        <f>IF($A82="","",SUMIFS(ORE!$F:$F,ORE!$B:$B,$D82,ORE!$E:$E,$E82))</f>
        <v/>
      </c>
      <c r="G82" s="48"/>
      <c r="H82" s="33" t="str">
        <f t="shared" si="4"/>
        <v/>
      </c>
      <c r="I82" s="33" t="str">
        <f>IF($A82="","",IFERROR(SUMIFS(ASSEGNAZIONI!$F:$F,ASSEGNAZIONI!$B:$B,$D82,ASSEGNAZIONI!$C:$C,$E82),0))</f>
        <v/>
      </c>
      <c r="J82" s="33" t="str">
        <f t="shared" si="5"/>
        <v/>
      </c>
      <c r="K82" s="42"/>
      <c r="L82" s="42"/>
      <c r="M82" s="42"/>
    </row>
    <row r="83" spans="1:13" x14ac:dyDescent="0.3">
      <c r="A83" s="42"/>
      <c r="B83" s="43"/>
      <c r="C83" s="42"/>
      <c r="D83" s="42"/>
      <c r="E83" s="42"/>
      <c r="F83" s="33" t="str">
        <f>IF($A83="","",SUMIFS(ORE!$F:$F,ORE!$B:$B,$D83,ORE!$E:$E,$E83))</f>
        <v/>
      </c>
      <c r="G83" s="48"/>
      <c r="H83" s="33" t="str">
        <f t="shared" si="4"/>
        <v/>
      </c>
      <c r="I83" s="33" t="str">
        <f>IF($A83="","",IFERROR(SUMIFS(ASSEGNAZIONI!$F:$F,ASSEGNAZIONI!$B:$B,$D83,ASSEGNAZIONI!$C:$C,$E83),0))</f>
        <v/>
      </c>
      <c r="J83" s="33" t="str">
        <f t="shared" si="5"/>
        <v/>
      </c>
      <c r="K83" s="42"/>
      <c r="L83" s="42"/>
      <c r="M83" s="42"/>
    </row>
    <row r="84" spans="1:13" x14ac:dyDescent="0.3">
      <c r="A84" s="42"/>
      <c r="B84" s="43"/>
      <c r="C84" s="42"/>
      <c r="D84" s="42"/>
      <c r="E84" s="42"/>
      <c r="F84" s="33" t="str">
        <f>IF($A84="","",SUMIFS(ORE!$F:$F,ORE!$B:$B,$D84,ORE!$E:$E,$E84))</f>
        <v/>
      </c>
      <c r="G84" s="48"/>
      <c r="H84" s="33" t="str">
        <f t="shared" si="4"/>
        <v/>
      </c>
      <c r="I84" s="33" t="str">
        <f>IF($A84="","",IFERROR(SUMIFS(ASSEGNAZIONI!$F:$F,ASSEGNAZIONI!$B:$B,$D84,ASSEGNAZIONI!$C:$C,$E84),0))</f>
        <v/>
      </c>
      <c r="J84" s="33" t="str">
        <f t="shared" si="5"/>
        <v/>
      </c>
      <c r="K84" s="42"/>
      <c r="L84" s="42"/>
      <c r="M84" s="42"/>
    </row>
    <row r="85" spans="1:13" x14ac:dyDescent="0.3">
      <c r="A85" s="42"/>
      <c r="B85" s="43"/>
      <c r="C85" s="42"/>
      <c r="D85" s="42"/>
      <c r="E85" s="42"/>
      <c r="F85" s="33" t="str">
        <f>IF($A85="","",SUMIFS(ORE!$F:$F,ORE!$B:$B,$D85,ORE!$E:$E,$E85))</f>
        <v/>
      </c>
      <c r="G85" s="48"/>
      <c r="H85" s="33" t="str">
        <f t="shared" si="4"/>
        <v/>
      </c>
      <c r="I85" s="33" t="str">
        <f>IF($A85="","",IFERROR(SUMIFS(ASSEGNAZIONI!$F:$F,ASSEGNAZIONI!$B:$B,$D85,ASSEGNAZIONI!$C:$C,$E85),0))</f>
        <v/>
      </c>
      <c r="J85" s="33" t="str">
        <f t="shared" si="5"/>
        <v/>
      </c>
      <c r="K85" s="42"/>
      <c r="L85" s="42"/>
      <c r="M85" s="42"/>
    </row>
    <row r="86" spans="1:13" x14ac:dyDescent="0.3">
      <c r="A86" s="42"/>
      <c r="B86" s="43"/>
      <c r="C86" s="42"/>
      <c r="D86" s="42"/>
      <c r="E86" s="42"/>
      <c r="F86" s="33" t="str">
        <f>IF($A86="","",SUMIFS(ORE!$F:$F,ORE!$B:$B,$D86,ORE!$E:$E,$E86))</f>
        <v/>
      </c>
      <c r="G86" s="48"/>
      <c r="H86" s="33" t="str">
        <f t="shared" si="4"/>
        <v/>
      </c>
      <c r="I86" s="33" t="str">
        <f>IF($A86="","",IFERROR(SUMIFS(ASSEGNAZIONI!$F:$F,ASSEGNAZIONI!$B:$B,$D86,ASSEGNAZIONI!$C:$C,$E86),0))</f>
        <v/>
      </c>
      <c r="J86" s="33" t="str">
        <f t="shared" si="5"/>
        <v/>
      </c>
      <c r="K86" s="42"/>
      <c r="L86" s="42"/>
      <c r="M86" s="42"/>
    </row>
    <row r="87" spans="1:13" x14ac:dyDescent="0.3">
      <c r="A87" s="42"/>
      <c r="B87" s="43"/>
      <c r="C87" s="42"/>
      <c r="D87" s="42"/>
      <c r="E87" s="42"/>
      <c r="F87" s="33" t="str">
        <f>IF($A87="","",SUMIFS(ORE!$F:$F,ORE!$B:$B,$D87,ORE!$E:$E,$E87))</f>
        <v/>
      </c>
      <c r="G87" s="48"/>
      <c r="H87" s="33" t="str">
        <f t="shared" si="4"/>
        <v/>
      </c>
      <c r="I87" s="33" t="str">
        <f>IF($A87="","",IFERROR(SUMIFS(ASSEGNAZIONI!$F:$F,ASSEGNAZIONI!$B:$B,$D87,ASSEGNAZIONI!$C:$C,$E87),0))</f>
        <v/>
      </c>
      <c r="J87" s="33" t="str">
        <f t="shared" si="5"/>
        <v/>
      </c>
      <c r="K87" s="42"/>
      <c r="L87" s="42"/>
      <c r="M87" s="42"/>
    </row>
    <row r="88" spans="1:13" x14ac:dyDescent="0.3">
      <c r="A88" s="42"/>
      <c r="B88" s="43"/>
      <c r="C88" s="42"/>
      <c r="D88" s="42"/>
      <c r="E88" s="42"/>
      <c r="F88" s="33" t="str">
        <f>IF($A88="","",SUMIFS(ORE!$F:$F,ORE!$B:$B,$D88,ORE!$E:$E,$E88))</f>
        <v/>
      </c>
      <c r="G88" s="48"/>
      <c r="H88" s="33" t="str">
        <f t="shared" si="4"/>
        <v/>
      </c>
      <c r="I88" s="33" t="str">
        <f>IF($A88="","",IFERROR(SUMIFS(ASSEGNAZIONI!$F:$F,ASSEGNAZIONI!$B:$B,$D88,ASSEGNAZIONI!$C:$C,$E88),0))</f>
        <v/>
      </c>
      <c r="J88" s="33" t="str">
        <f t="shared" si="5"/>
        <v/>
      </c>
      <c r="K88" s="42"/>
      <c r="L88" s="42"/>
      <c r="M88" s="42"/>
    </row>
    <row r="89" spans="1:13" x14ac:dyDescent="0.3">
      <c r="A89" s="42"/>
      <c r="B89" s="43"/>
      <c r="C89" s="42"/>
      <c r="D89" s="42"/>
      <c r="E89" s="42"/>
      <c r="F89" s="33" t="str">
        <f>IF($A89="","",SUMIFS(ORE!$F:$F,ORE!$B:$B,$D89,ORE!$E:$E,$E89))</f>
        <v/>
      </c>
      <c r="G89" s="48"/>
      <c r="H89" s="33" t="str">
        <f t="shared" si="4"/>
        <v/>
      </c>
      <c r="I89" s="33" t="str">
        <f>IF($A89="","",IFERROR(SUMIFS(ASSEGNAZIONI!$F:$F,ASSEGNAZIONI!$B:$B,$D89,ASSEGNAZIONI!$C:$C,$E89),0))</f>
        <v/>
      </c>
      <c r="J89" s="33" t="str">
        <f t="shared" si="5"/>
        <v/>
      </c>
      <c r="K89" s="42"/>
      <c r="L89" s="42"/>
      <c r="M89" s="42"/>
    </row>
    <row r="90" spans="1:13" x14ac:dyDescent="0.3">
      <c r="A90" s="42"/>
      <c r="B90" s="43"/>
      <c r="C90" s="42"/>
      <c r="D90" s="42"/>
      <c r="E90" s="42"/>
      <c r="F90" s="33" t="str">
        <f>IF($A90="","",SUMIFS(ORE!$F:$F,ORE!$B:$B,$D90,ORE!$E:$E,$E90))</f>
        <v/>
      </c>
      <c r="G90" s="48"/>
      <c r="H90" s="33" t="str">
        <f t="shared" si="4"/>
        <v/>
      </c>
      <c r="I90" s="33" t="str">
        <f>IF($A90="","",IFERROR(SUMIFS(ASSEGNAZIONI!$F:$F,ASSEGNAZIONI!$B:$B,$D90,ASSEGNAZIONI!$C:$C,$E90),0))</f>
        <v/>
      </c>
      <c r="J90" s="33" t="str">
        <f t="shared" si="5"/>
        <v/>
      </c>
      <c r="K90" s="42"/>
      <c r="L90" s="42"/>
      <c r="M90" s="42"/>
    </row>
    <row r="91" spans="1:13" x14ac:dyDescent="0.3">
      <c r="A91" s="42"/>
      <c r="B91" s="43"/>
      <c r="C91" s="42"/>
      <c r="D91" s="42"/>
      <c r="E91" s="42"/>
      <c r="F91" s="33" t="str">
        <f>IF($A91="","",SUMIFS(ORE!$F:$F,ORE!$B:$B,$D91,ORE!$E:$E,$E91))</f>
        <v/>
      </c>
      <c r="G91" s="48"/>
      <c r="H91" s="33" t="str">
        <f t="shared" si="4"/>
        <v/>
      </c>
      <c r="I91" s="33" t="str">
        <f>IF($A91="","",IFERROR(SUMIFS(ASSEGNAZIONI!$F:$F,ASSEGNAZIONI!$B:$B,$D91,ASSEGNAZIONI!$C:$C,$E91),0))</f>
        <v/>
      </c>
      <c r="J91" s="33" t="str">
        <f t="shared" si="5"/>
        <v/>
      </c>
      <c r="K91" s="42"/>
      <c r="L91" s="42"/>
      <c r="M91" s="42"/>
    </row>
    <row r="92" spans="1:13" x14ac:dyDescent="0.3">
      <c r="A92" s="42"/>
      <c r="B92" s="43"/>
      <c r="C92" s="42"/>
      <c r="D92" s="42"/>
      <c r="E92" s="42"/>
      <c r="F92" s="33" t="str">
        <f>IF($A92="","",SUMIFS(ORE!$F:$F,ORE!$B:$B,$D92,ORE!$E:$E,$E92))</f>
        <v/>
      </c>
      <c r="G92" s="48"/>
      <c r="H92" s="33" t="str">
        <f t="shared" si="4"/>
        <v/>
      </c>
      <c r="I92" s="33" t="str">
        <f>IF($A92="","",IFERROR(SUMIFS(ASSEGNAZIONI!$F:$F,ASSEGNAZIONI!$B:$B,$D92,ASSEGNAZIONI!$C:$C,$E92),0))</f>
        <v/>
      </c>
      <c r="J92" s="33" t="str">
        <f t="shared" si="5"/>
        <v/>
      </c>
      <c r="K92" s="42"/>
      <c r="L92" s="42"/>
      <c r="M92" s="42"/>
    </row>
    <row r="93" spans="1:13" x14ac:dyDescent="0.3">
      <c r="A93" s="42"/>
      <c r="B93" s="43"/>
      <c r="C93" s="42"/>
      <c r="D93" s="42"/>
      <c r="E93" s="42"/>
      <c r="F93" s="33" t="str">
        <f>IF($A93="","",SUMIFS(ORE!$F:$F,ORE!$B:$B,$D93,ORE!$E:$E,$E93))</f>
        <v/>
      </c>
      <c r="G93" s="48"/>
      <c r="H93" s="33" t="str">
        <f t="shared" si="4"/>
        <v/>
      </c>
      <c r="I93" s="33" t="str">
        <f>IF($A93="","",IFERROR(SUMIFS(ASSEGNAZIONI!$F:$F,ASSEGNAZIONI!$B:$B,$D93,ASSEGNAZIONI!$C:$C,$E93),0))</f>
        <v/>
      </c>
      <c r="J93" s="33" t="str">
        <f t="shared" si="5"/>
        <v/>
      </c>
      <c r="K93" s="42"/>
      <c r="L93" s="42"/>
      <c r="M93" s="42"/>
    </row>
    <row r="94" spans="1:13" x14ac:dyDescent="0.3">
      <c r="A94" s="42"/>
      <c r="B94" s="43"/>
      <c r="C94" s="42"/>
      <c r="D94" s="42"/>
      <c r="E94" s="42"/>
      <c r="F94" s="33" t="str">
        <f>IF($A94="","",SUMIFS(ORE!$F:$F,ORE!$B:$B,$D94,ORE!$E:$E,$E94))</f>
        <v/>
      </c>
      <c r="G94" s="48"/>
      <c r="H94" s="33" t="str">
        <f t="shared" si="4"/>
        <v/>
      </c>
      <c r="I94" s="33" t="str">
        <f>IF($A94="","",IFERROR(SUMIFS(ASSEGNAZIONI!$F:$F,ASSEGNAZIONI!$B:$B,$D94,ASSEGNAZIONI!$C:$C,$E94),0))</f>
        <v/>
      </c>
      <c r="J94" s="33" t="str">
        <f t="shared" si="5"/>
        <v/>
      </c>
      <c r="K94" s="42"/>
      <c r="L94" s="42"/>
      <c r="M94" s="42"/>
    </row>
    <row r="95" spans="1:13" x14ac:dyDescent="0.3">
      <c r="A95" s="42"/>
      <c r="B95" s="43"/>
      <c r="C95" s="42"/>
      <c r="D95" s="42"/>
      <c r="E95" s="42"/>
      <c r="F95" s="33" t="str">
        <f>IF($A95="","",SUMIFS(ORE!$F:$F,ORE!$B:$B,$D95,ORE!$E:$E,$E95))</f>
        <v/>
      </c>
      <c r="G95" s="48"/>
      <c r="H95" s="33" t="str">
        <f t="shared" si="4"/>
        <v/>
      </c>
      <c r="I95" s="33" t="str">
        <f>IF($A95="","",IFERROR(SUMIFS(ASSEGNAZIONI!$F:$F,ASSEGNAZIONI!$B:$B,$D95,ASSEGNAZIONI!$C:$C,$E95),0))</f>
        <v/>
      </c>
      <c r="J95" s="33" t="str">
        <f t="shared" si="5"/>
        <v/>
      </c>
      <c r="K95" s="42"/>
      <c r="L95" s="42"/>
      <c r="M95" s="42"/>
    </row>
    <row r="96" spans="1:13" x14ac:dyDescent="0.3">
      <c r="A96" s="42"/>
      <c r="B96" s="43"/>
      <c r="C96" s="42"/>
      <c r="D96" s="42"/>
      <c r="E96" s="42"/>
      <c r="F96" s="33" t="str">
        <f>IF($A96="","",SUMIFS(ORE!$F:$F,ORE!$B:$B,$D96,ORE!$E:$E,$E96))</f>
        <v/>
      </c>
      <c r="G96" s="48"/>
      <c r="H96" s="33" t="str">
        <f t="shared" si="4"/>
        <v/>
      </c>
      <c r="I96" s="33" t="str">
        <f>IF($A96="","",IFERROR(SUMIFS(ASSEGNAZIONI!$F:$F,ASSEGNAZIONI!$B:$B,$D96,ASSEGNAZIONI!$C:$C,$E96),0))</f>
        <v/>
      </c>
      <c r="J96" s="33" t="str">
        <f t="shared" si="5"/>
        <v/>
      </c>
      <c r="K96" s="42"/>
      <c r="L96" s="42"/>
      <c r="M96" s="42"/>
    </row>
    <row r="97" spans="1:13" x14ac:dyDescent="0.3">
      <c r="A97" s="42"/>
      <c r="B97" s="43"/>
      <c r="C97" s="42"/>
      <c r="D97" s="42"/>
      <c r="E97" s="42"/>
      <c r="F97" s="33" t="str">
        <f>IF($A97="","",SUMIFS(ORE!$F:$F,ORE!$B:$B,$D97,ORE!$E:$E,$E97))</f>
        <v/>
      </c>
      <c r="G97" s="48"/>
      <c r="H97" s="33" t="str">
        <f t="shared" si="4"/>
        <v/>
      </c>
      <c r="I97" s="33" t="str">
        <f>IF($A97="","",IFERROR(SUMIFS(ASSEGNAZIONI!$F:$F,ASSEGNAZIONI!$B:$B,$D97,ASSEGNAZIONI!$C:$C,$E97),0))</f>
        <v/>
      </c>
      <c r="J97" s="33" t="str">
        <f t="shared" si="5"/>
        <v/>
      </c>
      <c r="K97" s="42"/>
      <c r="L97" s="42"/>
      <c r="M97" s="42"/>
    </row>
    <row r="98" spans="1:13" x14ac:dyDescent="0.3">
      <c r="A98" s="42"/>
      <c r="B98" s="43"/>
      <c r="C98" s="42"/>
      <c r="D98" s="42"/>
      <c r="E98" s="42"/>
      <c r="F98" s="33" t="str">
        <f>IF($A98="","",SUMIFS(ORE!$F:$F,ORE!$B:$B,$D98,ORE!$E:$E,$E98))</f>
        <v/>
      </c>
      <c r="G98" s="48"/>
      <c r="H98" s="33" t="str">
        <f t="shared" ref="H98:H129" si="6">IF($A98="","",$F98+$G98)</f>
        <v/>
      </c>
      <c r="I98" s="33" t="str">
        <f>IF($A98="","",IFERROR(SUMIFS(ASSEGNAZIONI!$F:$F,ASSEGNAZIONI!$B:$B,$D98,ASSEGNAZIONI!$C:$C,$E98),0))</f>
        <v/>
      </c>
      <c r="J98" s="33" t="str">
        <f t="shared" ref="J98:J129" si="7">IF($A98="","",$H98-$I98)</f>
        <v/>
      </c>
      <c r="K98" s="42"/>
      <c r="L98" s="42"/>
      <c r="M98" s="42"/>
    </row>
    <row r="99" spans="1:13" x14ac:dyDescent="0.3">
      <c r="A99" s="42"/>
      <c r="B99" s="43"/>
      <c r="C99" s="42"/>
      <c r="D99" s="42"/>
      <c r="E99" s="42"/>
      <c r="F99" s="33" t="str">
        <f>IF($A99="","",SUMIFS(ORE!$F:$F,ORE!$B:$B,$D99,ORE!$E:$E,$E99))</f>
        <v/>
      </c>
      <c r="G99" s="48"/>
      <c r="H99" s="33" t="str">
        <f t="shared" si="6"/>
        <v/>
      </c>
      <c r="I99" s="33" t="str">
        <f>IF($A99="","",IFERROR(SUMIFS(ASSEGNAZIONI!$F:$F,ASSEGNAZIONI!$B:$B,$D99,ASSEGNAZIONI!$C:$C,$E99),0))</f>
        <v/>
      </c>
      <c r="J99" s="33" t="str">
        <f t="shared" si="7"/>
        <v/>
      </c>
      <c r="K99" s="42"/>
      <c r="L99" s="42"/>
      <c r="M99" s="42"/>
    </row>
    <row r="100" spans="1:13" x14ac:dyDescent="0.3">
      <c r="A100" s="42"/>
      <c r="B100" s="43"/>
      <c r="C100" s="42"/>
      <c r="D100" s="42"/>
      <c r="E100" s="42"/>
      <c r="F100" s="33" t="str">
        <f>IF($A100="","",SUMIFS(ORE!$F:$F,ORE!$B:$B,$D100,ORE!$E:$E,$E100))</f>
        <v/>
      </c>
      <c r="G100" s="48"/>
      <c r="H100" s="33" t="str">
        <f t="shared" si="6"/>
        <v/>
      </c>
      <c r="I100" s="33" t="str">
        <f>IF($A100="","",IFERROR(SUMIFS(ASSEGNAZIONI!$F:$F,ASSEGNAZIONI!$B:$B,$D100,ASSEGNAZIONI!$C:$C,$E100),0))</f>
        <v/>
      </c>
      <c r="J100" s="33" t="str">
        <f t="shared" si="7"/>
        <v/>
      </c>
      <c r="K100" s="42"/>
      <c r="L100" s="42"/>
      <c r="M100" s="42"/>
    </row>
    <row r="101" spans="1:13" x14ac:dyDescent="0.3">
      <c r="A101" s="42"/>
      <c r="B101" s="43"/>
      <c r="C101" s="42"/>
      <c r="D101" s="42"/>
      <c r="E101" s="42"/>
      <c r="F101" s="33" t="str">
        <f>IF($A101="","",SUMIFS(ORE!$F:$F,ORE!$B:$B,$D101,ORE!$E:$E,$E101))</f>
        <v/>
      </c>
      <c r="G101" s="48"/>
      <c r="H101" s="33" t="str">
        <f t="shared" si="6"/>
        <v/>
      </c>
      <c r="I101" s="33" t="str">
        <f>IF($A101="","",IFERROR(SUMIFS(ASSEGNAZIONI!$F:$F,ASSEGNAZIONI!$B:$B,$D101,ASSEGNAZIONI!$C:$C,$E101),0))</f>
        <v/>
      </c>
      <c r="J101" s="33" t="str">
        <f t="shared" si="7"/>
        <v/>
      </c>
      <c r="K101" s="42"/>
      <c r="L101" s="42"/>
      <c r="M101" s="42"/>
    </row>
    <row r="102" spans="1:13" x14ac:dyDescent="0.3">
      <c r="A102" s="42"/>
      <c r="B102" s="43"/>
      <c r="C102" s="42"/>
      <c r="D102" s="42"/>
      <c r="E102" s="42"/>
      <c r="F102" s="33" t="str">
        <f>IF($A102="","",SUMIFS(ORE!$F:$F,ORE!$B:$B,$D102,ORE!$E:$E,$E102))</f>
        <v/>
      </c>
      <c r="G102" s="48"/>
      <c r="H102" s="33" t="str">
        <f t="shared" si="6"/>
        <v/>
      </c>
      <c r="I102" s="33" t="str">
        <f>IF($A102="","",IFERROR(SUMIFS(ASSEGNAZIONI!$F:$F,ASSEGNAZIONI!$B:$B,$D102,ASSEGNAZIONI!$C:$C,$E102),0))</f>
        <v/>
      </c>
      <c r="J102" s="33" t="str">
        <f t="shared" si="7"/>
        <v/>
      </c>
      <c r="K102" s="42"/>
      <c r="L102" s="42"/>
      <c r="M102" s="42"/>
    </row>
    <row r="103" spans="1:13" x14ac:dyDescent="0.3">
      <c r="A103" s="42"/>
      <c r="B103" s="43"/>
      <c r="C103" s="42"/>
      <c r="D103" s="42"/>
      <c r="E103" s="42"/>
      <c r="F103" s="33" t="str">
        <f>IF($A103="","",SUMIFS(ORE!$F:$F,ORE!$B:$B,$D103,ORE!$E:$E,$E103))</f>
        <v/>
      </c>
      <c r="G103" s="48"/>
      <c r="H103" s="33" t="str">
        <f t="shared" si="6"/>
        <v/>
      </c>
      <c r="I103" s="33" t="str">
        <f>IF($A103="","",IFERROR(SUMIFS(ASSEGNAZIONI!$F:$F,ASSEGNAZIONI!$B:$B,$D103,ASSEGNAZIONI!$C:$C,$E103),0))</f>
        <v/>
      </c>
      <c r="J103" s="33" t="str">
        <f t="shared" si="7"/>
        <v/>
      </c>
      <c r="K103" s="42"/>
      <c r="L103" s="42"/>
      <c r="M103" s="42"/>
    </row>
    <row r="104" spans="1:13" x14ac:dyDescent="0.3">
      <c r="A104" s="42"/>
      <c r="B104" s="43"/>
      <c r="C104" s="42"/>
      <c r="D104" s="42"/>
      <c r="E104" s="42"/>
      <c r="F104" s="33" t="str">
        <f>IF($A104="","",SUMIFS(ORE!$F:$F,ORE!$B:$B,$D104,ORE!$E:$E,$E104))</f>
        <v/>
      </c>
      <c r="G104" s="48"/>
      <c r="H104" s="33" t="str">
        <f t="shared" si="6"/>
        <v/>
      </c>
      <c r="I104" s="33" t="str">
        <f>IF($A104="","",IFERROR(SUMIFS(ASSEGNAZIONI!$F:$F,ASSEGNAZIONI!$B:$B,$D104,ASSEGNAZIONI!$C:$C,$E104),0))</f>
        <v/>
      </c>
      <c r="J104" s="33" t="str">
        <f t="shared" si="7"/>
        <v/>
      </c>
      <c r="K104" s="42"/>
      <c r="L104" s="42"/>
      <c r="M104" s="42"/>
    </row>
    <row r="105" spans="1:13" x14ac:dyDescent="0.3">
      <c r="A105" s="42"/>
      <c r="B105" s="43"/>
      <c r="C105" s="42"/>
      <c r="D105" s="42"/>
      <c r="E105" s="42"/>
      <c r="F105" s="33" t="str">
        <f>IF($A105="","",SUMIFS(ORE!$F:$F,ORE!$B:$B,$D105,ORE!$E:$E,$E105))</f>
        <v/>
      </c>
      <c r="G105" s="48"/>
      <c r="H105" s="33" t="str">
        <f t="shared" si="6"/>
        <v/>
      </c>
      <c r="I105" s="33" t="str">
        <f>IF($A105="","",IFERROR(SUMIFS(ASSEGNAZIONI!$F:$F,ASSEGNAZIONI!$B:$B,$D105,ASSEGNAZIONI!$C:$C,$E105),0))</f>
        <v/>
      </c>
      <c r="J105" s="33" t="str">
        <f t="shared" si="7"/>
        <v/>
      </c>
      <c r="K105" s="42"/>
      <c r="L105" s="42"/>
      <c r="M105" s="42"/>
    </row>
    <row r="106" spans="1:13" x14ac:dyDescent="0.3">
      <c r="A106" s="42"/>
      <c r="B106" s="43"/>
      <c r="C106" s="42"/>
      <c r="D106" s="42"/>
      <c r="E106" s="42"/>
      <c r="F106" s="33" t="str">
        <f>IF($A106="","",SUMIFS(ORE!$F:$F,ORE!$B:$B,$D106,ORE!$E:$E,$E106))</f>
        <v/>
      </c>
      <c r="G106" s="48"/>
      <c r="H106" s="33" t="str">
        <f t="shared" si="6"/>
        <v/>
      </c>
      <c r="I106" s="33" t="str">
        <f>IF($A106="","",IFERROR(SUMIFS(ASSEGNAZIONI!$F:$F,ASSEGNAZIONI!$B:$B,$D106,ASSEGNAZIONI!$C:$C,$E106),0))</f>
        <v/>
      </c>
      <c r="J106" s="33" t="str">
        <f t="shared" si="7"/>
        <v/>
      </c>
      <c r="K106" s="42"/>
      <c r="L106" s="42"/>
      <c r="M106" s="42"/>
    </row>
    <row r="107" spans="1:13" x14ac:dyDescent="0.3">
      <c r="A107" s="42"/>
      <c r="B107" s="43"/>
      <c r="C107" s="42"/>
      <c r="D107" s="42"/>
      <c r="E107" s="42"/>
      <c r="F107" s="33" t="str">
        <f>IF($A107="","",SUMIFS(ORE!$F:$F,ORE!$B:$B,$D107,ORE!$E:$E,$E107))</f>
        <v/>
      </c>
      <c r="G107" s="48"/>
      <c r="H107" s="33" t="str">
        <f t="shared" si="6"/>
        <v/>
      </c>
      <c r="I107" s="33" t="str">
        <f>IF($A107="","",IFERROR(SUMIFS(ASSEGNAZIONI!$F:$F,ASSEGNAZIONI!$B:$B,$D107,ASSEGNAZIONI!$C:$C,$E107),0))</f>
        <v/>
      </c>
      <c r="J107" s="33" t="str">
        <f t="shared" si="7"/>
        <v/>
      </c>
      <c r="K107" s="42"/>
      <c r="L107" s="42"/>
      <c r="M107" s="42"/>
    </row>
    <row r="108" spans="1:13" x14ac:dyDescent="0.3">
      <c r="A108" s="42"/>
      <c r="B108" s="43"/>
      <c r="C108" s="42"/>
      <c r="D108" s="42"/>
      <c r="E108" s="42"/>
      <c r="F108" s="33" t="str">
        <f>IF($A108="","",SUMIFS(ORE!$F:$F,ORE!$B:$B,$D108,ORE!$E:$E,$E108))</f>
        <v/>
      </c>
      <c r="G108" s="48"/>
      <c r="H108" s="33" t="str">
        <f t="shared" si="6"/>
        <v/>
      </c>
      <c r="I108" s="33" t="str">
        <f>IF($A108="","",IFERROR(SUMIFS(ASSEGNAZIONI!$F:$F,ASSEGNAZIONI!$B:$B,$D108,ASSEGNAZIONI!$C:$C,$E108),0))</f>
        <v/>
      </c>
      <c r="J108" s="33" t="str">
        <f t="shared" si="7"/>
        <v/>
      </c>
      <c r="K108" s="42"/>
      <c r="L108" s="42"/>
      <c r="M108" s="42"/>
    </row>
    <row r="109" spans="1:13" x14ac:dyDescent="0.3">
      <c r="A109" s="42"/>
      <c r="B109" s="43"/>
      <c r="C109" s="42"/>
      <c r="D109" s="42"/>
      <c r="E109" s="42"/>
      <c r="F109" s="33" t="str">
        <f>IF($A109="","",SUMIFS(ORE!$F:$F,ORE!$B:$B,$D109,ORE!$E:$E,$E109))</f>
        <v/>
      </c>
      <c r="G109" s="48"/>
      <c r="H109" s="33" t="str">
        <f t="shared" si="6"/>
        <v/>
      </c>
      <c r="I109" s="33" t="str">
        <f>IF($A109="","",IFERROR(SUMIFS(ASSEGNAZIONI!$F:$F,ASSEGNAZIONI!$B:$B,$D109,ASSEGNAZIONI!$C:$C,$E109),0))</f>
        <v/>
      </c>
      <c r="J109" s="33" t="str">
        <f t="shared" si="7"/>
        <v/>
      </c>
      <c r="K109" s="42"/>
      <c r="L109" s="42"/>
      <c r="M109" s="42"/>
    </row>
    <row r="110" spans="1:13" x14ac:dyDescent="0.3">
      <c r="A110" s="42"/>
      <c r="B110" s="43"/>
      <c r="C110" s="42"/>
      <c r="D110" s="42"/>
      <c r="E110" s="42"/>
      <c r="F110" s="33" t="str">
        <f>IF($A110="","",SUMIFS(ORE!$F:$F,ORE!$B:$B,$D110,ORE!$E:$E,$E110))</f>
        <v/>
      </c>
      <c r="G110" s="48"/>
      <c r="H110" s="33" t="str">
        <f t="shared" si="6"/>
        <v/>
      </c>
      <c r="I110" s="33" t="str">
        <f>IF($A110="","",IFERROR(SUMIFS(ASSEGNAZIONI!$F:$F,ASSEGNAZIONI!$B:$B,$D110,ASSEGNAZIONI!$C:$C,$E110),0))</f>
        <v/>
      </c>
      <c r="J110" s="33" t="str">
        <f t="shared" si="7"/>
        <v/>
      </c>
      <c r="K110" s="42"/>
      <c r="L110" s="42"/>
      <c r="M110" s="42"/>
    </row>
    <row r="111" spans="1:13" x14ac:dyDescent="0.3">
      <c r="A111" s="42"/>
      <c r="B111" s="43"/>
      <c r="C111" s="42"/>
      <c r="D111" s="42"/>
      <c r="E111" s="42"/>
      <c r="F111" s="33" t="str">
        <f>IF($A111="","",SUMIFS(ORE!$F:$F,ORE!$B:$B,$D111,ORE!$E:$E,$E111))</f>
        <v/>
      </c>
      <c r="G111" s="48"/>
      <c r="H111" s="33" t="str">
        <f t="shared" si="6"/>
        <v/>
      </c>
      <c r="I111" s="33" t="str">
        <f>IF($A111="","",IFERROR(SUMIFS(ASSEGNAZIONI!$F:$F,ASSEGNAZIONI!$B:$B,$D111,ASSEGNAZIONI!$C:$C,$E111),0))</f>
        <v/>
      </c>
      <c r="J111" s="33" t="str">
        <f t="shared" si="7"/>
        <v/>
      </c>
      <c r="K111" s="42"/>
      <c r="L111" s="42"/>
      <c r="M111" s="42"/>
    </row>
    <row r="112" spans="1:13" x14ac:dyDescent="0.3">
      <c r="A112" s="42"/>
      <c r="B112" s="43"/>
      <c r="C112" s="42"/>
      <c r="D112" s="42"/>
      <c r="E112" s="42"/>
      <c r="F112" s="33" t="str">
        <f>IF($A112="","",SUMIFS(ORE!$F:$F,ORE!$B:$B,$D112,ORE!$E:$E,$E112))</f>
        <v/>
      </c>
      <c r="G112" s="48"/>
      <c r="H112" s="33" t="str">
        <f t="shared" si="6"/>
        <v/>
      </c>
      <c r="I112" s="33" t="str">
        <f>IF($A112="","",IFERROR(SUMIFS(ASSEGNAZIONI!$F:$F,ASSEGNAZIONI!$B:$B,$D112,ASSEGNAZIONI!$C:$C,$E112),0))</f>
        <v/>
      </c>
      <c r="J112" s="33" t="str">
        <f t="shared" si="7"/>
        <v/>
      </c>
      <c r="K112" s="42"/>
      <c r="L112" s="42"/>
      <c r="M112" s="42"/>
    </row>
    <row r="113" spans="1:13" x14ac:dyDescent="0.3">
      <c r="A113" s="42"/>
      <c r="B113" s="43"/>
      <c r="C113" s="42"/>
      <c r="D113" s="42"/>
      <c r="E113" s="42"/>
      <c r="F113" s="33" t="str">
        <f>IF($A113="","",SUMIFS(ORE!$F:$F,ORE!$B:$B,$D113,ORE!$E:$E,$E113))</f>
        <v/>
      </c>
      <c r="G113" s="48"/>
      <c r="H113" s="33" t="str">
        <f t="shared" si="6"/>
        <v/>
      </c>
      <c r="I113" s="33" t="str">
        <f>IF($A113="","",IFERROR(SUMIFS(ASSEGNAZIONI!$F:$F,ASSEGNAZIONI!$B:$B,$D113,ASSEGNAZIONI!$C:$C,$E113),0))</f>
        <v/>
      </c>
      <c r="J113" s="33" t="str">
        <f t="shared" si="7"/>
        <v/>
      </c>
      <c r="K113" s="42"/>
      <c r="L113" s="42"/>
      <c r="M113" s="42"/>
    </row>
    <row r="114" spans="1:13" x14ac:dyDescent="0.3">
      <c r="A114" s="42"/>
      <c r="B114" s="43"/>
      <c r="C114" s="42"/>
      <c r="D114" s="42"/>
      <c r="E114" s="42"/>
      <c r="F114" s="33" t="str">
        <f>IF($A114="","",SUMIFS(ORE!$F:$F,ORE!$B:$B,$D114,ORE!$E:$E,$E114))</f>
        <v/>
      </c>
      <c r="G114" s="48"/>
      <c r="H114" s="33" t="str">
        <f t="shared" si="6"/>
        <v/>
      </c>
      <c r="I114" s="33" t="str">
        <f>IF($A114="","",IFERROR(SUMIFS(ASSEGNAZIONI!$F:$F,ASSEGNAZIONI!$B:$B,$D114,ASSEGNAZIONI!$C:$C,$E114),0))</f>
        <v/>
      </c>
      <c r="J114" s="33" t="str">
        <f t="shared" si="7"/>
        <v/>
      </c>
      <c r="K114" s="42"/>
      <c r="L114" s="42"/>
      <c r="M114" s="42"/>
    </row>
    <row r="115" spans="1:13" x14ac:dyDescent="0.3">
      <c r="A115" s="42"/>
      <c r="B115" s="43"/>
      <c r="C115" s="42"/>
      <c r="D115" s="42"/>
      <c r="E115" s="42"/>
      <c r="F115" s="33" t="str">
        <f>IF($A115="","",SUMIFS(ORE!$F:$F,ORE!$B:$B,$D115,ORE!$E:$E,$E115))</f>
        <v/>
      </c>
      <c r="G115" s="48"/>
      <c r="H115" s="33" t="str">
        <f t="shared" si="6"/>
        <v/>
      </c>
      <c r="I115" s="33" t="str">
        <f>IF($A115="","",IFERROR(SUMIFS(ASSEGNAZIONI!$F:$F,ASSEGNAZIONI!$B:$B,$D115,ASSEGNAZIONI!$C:$C,$E115),0))</f>
        <v/>
      </c>
      <c r="J115" s="33" t="str">
        <f t="shared" si="7"/>
        <v/>
      </c>
      <c r="K115" s="42"/>
      <c r="L115" s="42"/>
      <c r="M115" s="42"/>
    </row>
    <row r="116" spans="1:13" x14ac:dyDescent="0.3">
      <c r="A116" s="42"/>
      <c r="B116" s="43"/>
      <c r="C116" s="42"/>
      <c r="D116" s="42"/>
      <c r="E116" s="42"/>
      <c r="F116" s="33" t="str">
        <f>IF($A116="","",SUMIFS(ORE!$F:$F,ORE!$B:$B,$D116,ORE!$E:$E,$E116))</f>
        <v/>
      </c>
      <c r="G116" s="48"/>
      <c r="H116" s="33" t="str">
        <f t="shared" si="6"/>
        <v/>
      </c>
      <c r="I116" s="33" t="str">
        <f>IF($A116="","",IFERROR(SUMIFS(ASSEGNAZIONI!$F:$F,ASSEGNAZIONI!$B:$B,$D116,ASSEGNAZIONI!$C:$C,$E116),0))</f>
        <v/>
      </c>
      <c r="J116" s="33" t="str">
        <f t="shared" si="7"/>
        <v/>
      </c>
      <c r="K116" s="42"/>
      <c r="L116" s="42"/>
      <c r="M116" s="42"/>
    </row>
    <row r="117" spans="1:13" x14ac:dyDescent="0.3">
      <c r="A117" s="42"/>
      <c r="B117" s="43"/>
      <c r="C117" s="42"/>
      <c r="D117" s="42"/>
      <c r="E117" s="42"/>
      <c r="F117" s="33" t="str">
        <f>IF($A117="","",SUMIFS(ORE!$F:$F,ORE!$B:$B,$D117,ORE!$E:$E,$E117))</f>
        <v/>
      </c>
      <c r="G117" s="48"/>
      <c r="H117" s="33" t="str">
        <f t="shared" si="6"/>
        <v/>
      </c>
      <c r="I117" s="33" t="str">
        <f>IF($A117="","",IFERROR(SUMIFS(ASSEGNAZIONI!$F:$F,ASSEGNAZIONI!$B:$B,$D117,ASSEGNAZIONI!$C:$C,$E117),0))</f>
        <v/>
      </c>
      <c r="J117" s="33" t="str">
        <f t="shared" si="7"/>
        <v/>
      </c>
      <c r="K117" s="42"/>
      <c r="L117" s="42"/>
      <c r="M117" s="42"/>
    </row>
    <row r="118" spans="1:13" x14ac:dyDescent="0.3">
      <c r="A118" s="42"/>
      <c r="B118" s="43"/>
      <c r="C118" s="42"/>
      <c r="D118" s="42"/>
      <c r="E118" s="42"/>
      <c r="F118" s="33" t="str">
        <f>IF($A118="","",SUMIFS(ORE!$F:$F,ORE!$B:$B,$D118,ORE!$E:$E,$E118))</f>
        <v/>
      </c>
      <c r="G118" s="48"/>
      <c r="H118" s="33" t="str">
        <f t="shared" si="6"/>
        <v/>
      </c>
      <c r="I118" s="33" t="str">
        <f>IF($A118="","",IFERROR(SUMIFS(ASSEGNAZIONI!$F:$F,ASSEGNAZIONI!$B:$B,$D118,ASSEGNAZIONI!$C:$C,$E118),0))</f>
        <v/>
      </c>
      <c r="J118" s="33" t="str">
        <f t="shared" si="7"/>
        <v/>
      </c>
      <c r="K118" s="42"/>
      <c r="L118" s="42"/>
      <c r="M118" s="42"/>
    </row>
    <row r="119" spans="1:13" x14ac:dyDescent="0.3">
      <c r="A119" s="42"/>
      <c r="B119" s="43"/>
      <c r="C119" s="42"/>
      <c r="D119" s="42"/>
      <c r="E119" s="42"/>
      <c r="F119" s="33" t="str">
        <f>IF($A119="","",SUMIFS(ORE!$F:$F,ORE!$B:$B,$D119,ORE!$E:$E,$E119))</f>
        <v/>
      </c>
      <c r="G119" s="48"/>
      <c r="H119" s="33" t="str">
        <f t="shared" si="6"/>
        <v/>
      </c>
      <c r="I119" s="33" t="str">
        <f>IF($A119="","",IFERROR(SUMIFS(ASSEGNAZIONI!$F:$F,ASSEGNAZIONI!$B:$B,$D119,ASSEGNAZIONI!$C:$C,$E119),0))</f>
        <v/>
      </c>
      <c r="J119" s="33" t="str">
        <f t="shared" si="7"/>
        <v/>
      </c>
      <c r="K119" s="42"/>
      <c r="L119" s="42"/>
      <c r="M119" s="42"/>
    </row>
    <row r="120" spans="1:13" x14ac:dyDescent="0.3">
      <c r="A120" s="42"/>
      <c r="B120" s="43"/>
      <c r="C120" s="42"/>
      <c r="D120" s="42"/>
      <c r="E120" s="42"/>
      <c r="F120" s="33" t="str">
        <f>IF($A120="","",SUMIFS(ORE!$F:$F,ORE!$B:$B,$D120,ORE!$E:$E,$E120))</f>
        <v/>
      </c>
      <c r="G120" s="48"/>
      <c r="H120" s="33" t="str">
        <f t="shared" si="6"/>
        <v/>
      </c>
      <c r="I120" s="33" t="str">
        <f>IF($A120="","",IFERROR(SUMIFS(ASSEGNAZIONI!$F:$F,ASSEGNAZIONI!$B:$B,$D120,ASSEGNAZIONI!$C:$C,$E120),0))</f>
        <v/>
      </c>
      <c r="J120" s="33" t="str">
        <f t="shared" si="7"/>
        <v/>
      </c>
      <c r="K120" s="42"/>
      <c r="L120" s="42"/>
      <c r="M120" s="42"/>
    </row>
    <row r="121" spans="1:13" x14ac:dyDescent="0.3">
      <c r="A121" s="42"/>
      <c r="B121" s="43"/>
      <c r="C121" s="42"/>
      <c r="D121" s="42"/>
      <c r="E121" s="42"/>
      <c r="F121" s="33" t="str">
        <f>IF($A121="","",SUMIFS(ORE!$F:$F,ORE!$B:$B,$D121,ORE!$E:$E,$E121))</f>
        <v/>
      </c>
      <c r="G121" s="48"/>
      <c r="H121" s="33" t="str">
        <f t="shared" si="6"/>
        <v/>
      </c>
      <c r="I121" s="33" t="str">
        <f>IF($A121="","",IFERROR(SUMIFS(ASSEGNAZIONI!$F:$F,ASSEGNAZIONI!$B:$B,$D121,ASSEGNAZIONI!$C:$C,$E121),0))</f>
        <v/>
      </c>
      <c r="J121" s="33" t="str">
        <f t="shared" si="7"/>
        <v/>
      </c>
      <c r="K121" s="42"/>
      <c r="L121" s="42"/>
      <c r="M121" s="42"/>
    </row>
    <row r="122" spans="1:13" x14ac:dyDescent="0.3">
      <c r="A122" s="42"/>
      <c r="B122" s="43"/>
      <c r="C122" s="42"/>
      <c r="D122" s="42"/>
      <c r="E122" s="42"/>
      <c r="F122" s="33" t="str">
        <f>IF($A122="","",SUMIFS(ORE!$F:$F,ORE!$B:$B,$D122,ORE!$E:$E,$E122))</f>
        <v/>
      </c>
      <c r="G122" s="48"/>
      <c r="H122" s="33" t="str">
        <f t="shared" si="6"/>
        <v/>
      </c>
      <c r="I122" s="33" t="str">
        <f>IF($A122="","",IFERROR(SUMIFS(ASSEGNAZIONI!$F:$F,ASSEGNAZIONI!$B:$B,$D122,ASSEGNAZIONI!$C:$C,$E122),0))</f>
        <v/>
      </c>
      <c r="J122" s="33" t="str">
        <f t="shared" si="7"/>
        <v/>
      </c>
      <c r="K122" s="42"/>
      <c r="L122" s="42"/>
      <c r="M122" s="42"/>
    </row>
    <row r="123" spans="1:13" x14ac:dyDescent="0.3">
      <c r="A123" s="42"/>
      <c r="B123" s="43"/>
      <c r="C123" s="42"/>
      <c r="D123" s="42"/>
      <c r="E123" s="42"/>
      <c r="F123" s="33" t="str">
        <f>IF($A123="","",SUMIFS(ORE!$F:$F,ORE!$B:$B,$D123,ORE!$E:$E,$E123))</f>
        <v/>
      </c>
      <c r="G123" s="48"/>
      <c r="H123" s="33" t="str">
        <f t="shared" si="6"/>
        <v/>
      </c>
      <c r="I123" s="33" t="str">
        <f>IF($A123="","",IFERROR(SUMIFS(ASSEGNAZIONI!$F:$F,ASSEGNAZIONI!$B:$B,$D123,ASSEGNAZIONI!$C:$C,$E123),0))</f>
        <v/>
      </c>
      <c r="J123" s="33" t="str">
        <f t="shared" si="7"/>
        <v/>
      </c>
      <c r="K123" s="42"/>
      <c r="L123" s="42"/>
      <c r="M123" s="42"/>
    </row>
    <row r="124" spans="1:13" x14ac:dyDescent="0.3">
      <c r="A124" s="42"/>
      <c r="B124" s="43"/>
      <c r="C124" s="42"/>
      <c r="D124" s="42"/>
      <c r="E124" s="42"/>
      <c r="F124" s="33" t="str">
        <f>IF($A124="","",SUMIFS(ORE!$F:$F,ORE!$B:$B,$D124,ORE!$E:$E,$E124))</f>
        <v/>
      </c>
      <c r="G124" s="48"/>
      <c r="H124" s="33" t="str">
        <f t="shared" si="6"/>
        <v/>
      </c>
      <c r="I124" s="33" t="str">
        <f>IF($A124="","",IFERROR(SUMIFS(ASSEGNAZIONI!$F:$F,ASSEGNAZIONI!$B:$B,$D124,ASSEGNAZIONI!$C:$C,$E124),0))</f>
        <v/>
      </c>
      <c r="J124" s="33" t="str">
        <f t="shared" si="7"/>
        <v/>
      </c>
      <c r="K124" s="42"/>
      <c r="L124" s="42"/>
      <c r="M124" s="42"/>
    </row>
    <row r="125" spans="1:13" x14ac:dyDescent="0.3">
      <c r="A125" s="42"/>
      <c r="B125" s="43"/>
      <c r="C125" s="42"/>
      <c r="D125" s="42"/>
      <c r="E125" s="42"/>
      <c r="F125" s="33" t="str">
        <f>IF($A125="","",SUMIFS(ORE!$F:$F,ORE!$B:$B,$D125,ORE!$E:$E,$E125))</f>
        <v/>
      </c>
      <c r="G125" s="48"/>
      <c r="H125" s="33" t="str">
        <f t="shared" si="6"/>
        <v/>
      </c>
      <c r="I125" s="33" t="str">
        <f>IF($A125="","",IFERROR(SUMIFS(ASSEGNAZIONI!$F:$F,ASSEGNAZIONI!$B:$B,$D125,ASSEGNAZIONI!$C:$C,$E125),0))</f>
        <v/>
      </c>
      <c r="J125" s="33" t="str">
        <f t="shared" si="7"/>
        <v/>
      </c>
      <c r="K125" s="42"/>
      <c r="L125" s="42"/>
      <c r="M125" s="42"/>
    </row>
    <row r="126" spans="1:13" x14ac:dyDescent="0.3">
      <c r="A126" s="42"/>
      <c r="B126" s="43"/>
      <c r="C126" s="42"/>
      <c r="D126" s="42"/>
      <c r="E126" s="42"/>
      <c r="F126" s="33" t="str">
        <f>IF($A126="","",SUMIFS(ORE!$F:$F,ORE!$B:$B,$D126,ORE!$E:$E,$E126))</f>
        <v/>
      </c>
      <c r="G126" s="48"/>
      <c r="H126" s="33" t="str">
        <f t="shared" si="6"/>
        <v/>
      </c>
      <c r="I126" s="33" t="str">
        <f>IF($A126="","",IFERROR(SUMIFS(ASSEGNAZIONI!$F:$F,ASSEGNAZIONI!$B:$B,$D126,ASSEGNAZIONI!$C:$C,$E126),0))</f>
        <v/>
      </c>
      <c r="J126" s="33" t="str">
        <f t="shared" si="7"/>
        <v/>
      </c>
      <c r="K126" s="42"/>
      <c r="L126" s="42"/>
      <c r="M126" s="42"/>
    </row>
    <row r="127" spans="1:13" x14ac:dyDescent="0.3">
      <c r="A127" s="42"/>
      <c r="B127" s="43"/>
      <c r="C127" s="42"/>
      <c r="D127" s="42"/>
      <c r="E127" s="42"/>
      <c r="F127" s="33" t="str">
        <f>IF($A127="","",SUMIFS(ORE!$F:$F,ORE!$B:$B,$D127,ORE!$E:$E,$E127))</f>
        <v/>
      </c>
      <c r="G127" s="48"/>
      <c r="H127" s="33" t="str">
        <f t="shared" si="6"/>
        <v/>
      </c>
      <c r="I127" s="33" t="str">
        <f>IF($A127="","",IFERROR(SUMIFS(ASSEGNAZIONI!$F:$F,ASSEGNAZIONI!$B:$B,$D127,ASSEGNAZIONI!$C:$C,$E127),0))</f>
        <v/>
      </c>
      <c r="J127" s="33" t="str">
        <f t="shared" si="7"/>
        <v/>
      </c>
      <c r="K127" s="42"/>
      <c r="L127" s="42"/>
      <c r="M127" s="42"/>
    </row>
    <row r="128" spans="1:13" x14ac:dyDescent="0.3">
      <c r="A128" s="42"/>
      <c r="B128" s="43"/>
      <c r="C128" s="42"/>
      <c r="D128" s="42"/>
      <c r="E128" s="42"/>
      <c r="F128" s="33" t="str">
        <f>IF($A128="","",SUMIFS(ORE!$F:$F,ORE!$B:$B,$D128,ORE!$E:$E,$E128))</f>
        <v/>
      </c>
      <c r="G128" s="48"/>
      <c r="H128" s="33" t="str">
        <f t="shared" si="6"/>
        <v/>
      </c>
      <c r="I128" s="33" t="str">
        <f>IF($A128="","",IFERROR(SUMIFS(ASSEGNAZIONI!$F:$F,ASSEGNAZIONI!$B:$B,$D128,ASSEGNAZIONI!$C:$C,$E128),0))</f>
        <v/>
      </c>
      <c r="J128" s="33" t="str">
        <f t="shared" si="7"/>
        <v/>
      </c>
      <c r="K128" s="42"/>
      <c r="L128" s="42"/>
      <c r="M128" s="42"/>
    </row>
    <row r="129" spans="1:13" x14ac:dyDescent="0.3">
      <c r="A129" s="42"/>
      <c r="B129" s="43"/>
      <c r="C129" s="42"/>
      <c r="D129" s="42"/>
      <c r="E129" s="42"/>
      <c r="F129" s="33" t="str">
        <f>IF($A129="","",SUMIFS(ORE!$F:$F,ORE!$B:$B,$D129,ORE!$E:$E,$E129))</f>
        <v/>
      </c>
      <c r="G129" s="48"/>
      <c r="H129" s="33" t="str">
        <f t="shared" si="6"/>
        <v/>
      </c>
      <c r="I129" s="33" t="str">
        <f>IF($A129="","",IFERROR(SUMIFS(ASSEGNAZIONI!$F:$F,ASSEGNAZIONI!$B:$B,$D129,ASSEGNAZIONI!$C:$C,$E129),0))</f>
        <v/>
      </c>
      <c r="J129" s="33" t="str">
        <f t="shared" si="7"/>
        <v/>
      </c>
      <c r="K129" s="42"/>
      <c r="L129" s="42"/>
      <c r="M129" s="42"/>
    </row>
    <row r="130" spans="1:13" x14ac:dyDescent="0.3">
      <c r="A130" s="42"/>
      <c r="B130" s="43"/>
      <c r="C130" s="42"/>
      <c r="D130" s="42"/>
      <c r="E130" s="42"/>
      <c r="F130" s="33" t="str">
        <f>IF($A130="","",SUMIFS(ORE!$F:$F,ORE!$B:$B,$D130,ORE!$E:$E,$E130))</f>
        <v/>
      </c>
      <c r="G130" s="48"/>
      <c r="H130" s="33" t="str">
        <f t="shared" ref="H130:H161" si="8">IF($A130="","",$F130+$G130)</f>
        <v/>
      </c>
      <c r="I130" s="33" t="str">
        <f>IF($A130="","",IFERROR(SUMIFS(ASSEGNAZIONI!$F:$F,ASSEGNAZIONI!$B:$B,$D130,ASSEGNAZIONI!$C:$C,$E130),0))</f>
        <v/>
      </c>
      <c r="J130" s="33" t="str">
        <f t="shared" ref="J130:J161" si="9">IF($A130="","",$H130-$I130)</f>
        <v/>
      </c>
      <c r="K130" s="42"/>
      <c r="L130" s="42"/>
      <c r="M130" s="42"/>
    </row>
    <row r="131" spans="1:13" x14ac:dyDescent="0.3">
      <c r="A131" s="42"/>
      <c r="B131" s="43"/>
      <c r="C131" s="42"/>
      <c r="D131" s="42"/>
      <c r="E131" s="42"/>
      <c r="F131" s="33" t="str">
        <f>IF($A131="","",SUMIFS(ORE!$F:$F,ORE!$B:$B,$D131,ORE!$E:$E,$E131))</f>
        <v/>
      </c>
      <c r="G131" s="48"/>
      <c r="H131" s="33" t="str">
        <f t="shared" si="8"/>
        <v/>
      </c>
      <c r="I131" s="33" t="str">
        <f>IF($A131="","",IFERROR(SUMIFS(ASSEGNAZIONI!$F:$F,ASSEGNAZIONI!$B:$B,$D131,ASSEGNAZIONI!$C:$C,$E131),0))</f>
        <v/>
      </c>
      <c r="J131" s="33" t="str">
        <f t="shared" si="9"/>
        <v/>
      </c>
      <c r="K131" s="42"/>
      <c r="L131" s="42"/>
      <c r="M131" s="42"/>
    </row>
    <row r="132" spans="1:13" x14ac:dyDescent="0.3">
      <c r="A132" s="42"/>
      <c r="B132" s="43"/>
      <c r="C132" s="42"/>
      <c r="D132" s="42"/>
      <c r="E132" s="42"/>
      <c r="F132" s="33" t="str">
        <f>IF($A132="","",SUMIFS(ORE!$F:$F,ORE!$B:$B,$D132,ORE!$E:$E,$E132))</f>
        <v/>
      </c>
      <c r="G132" s="48"/>
      <c r="H132" s="33" t="str">
        <f t="shared" si="8"/>
        <v/>
      </c>
      <c r="I132" s="33" t="str">
        <f>IF($A132="","",IFERROR(SUMIFS(ASSEGNAZIONI!$F:$F,ASSEGNAZIONI!$B:$B,$D132,ASSEGNAZIONI!$C:$C,$E132),0))</f>
        <v/>
      </c>
      <c r="J132" s="33" t="str">
        <f t="shared" si="9"/>
        <v/>
      </c>
      <c r="K132" s="42"/>
      <c r="L132" s="42"/>
      <c r="M132" s="42"/>
    </row>
    <row r="133" spans="1:13" x14ac:dyDescent="0.3">
      <c r="A133" s="42"/>
      <c r="B133" s="43"/>
      <c r="C133" s="42"/>
      <c r="D133" s="42"/>
      <c r="E133" s="42"/>
      <c r="F133" s="33" t="str">
        <f>IF($A133="","",SUMIFS(ORE!$F:$F,ORE!$B:$B,$D133,ORE!$E:$E,$E133))</f>
        <v/>
      </c>
      <c r="G133" s="48"/>
      <c r="H133" s="33" t="str">
        <f t="shared" si="8"/>
        <v/>
      </c>
      <c r="I133" s="33" t="str">
        <f>IF($A133="","",IFERROR(SUMIFS(ASSEGNAZIONI!$F:$F,ASSEGNAZIONI!$B:$B,$D133,ASSEGNAZIONI!$C:$C,$E133),0))</f>
        <v/>
      </c>
      <c r="J133" s="33" t="str">
        <f t="shared" si="9"/>
        <v/>
      </c>
      <c r="K133" s="42"/>
      <c r="L133" s="42"/>
      <c r="M133" s="42"/>
    </row>
    <row r="134" spans="1:13" x14ac:dyDescent="0.3">
      <c r="A134" s="42"/>
      <c r="B134" s="43"/>
      <c r="C134" s="42"/>
      <c r="D134" s="42"/>
      <c r="E134" s="42"/>
      <c r="F134" s="33" t="str">
        <f>IF($A134="","",SUMIFS(ORE!$F:$F,ORE!$B:$B,$D134,ORE!$E:$E,$E134))</f>
        <v/>
      </c>
      <c r="G134" s="48"/>
      <c r="H134" s="33" t="str">
        <f t="shared" si="8"/>
        <v/>
      </c>
      <c r="I134" s="33" t="str">
        <f>IF($A134="","",IFERROR(SUMIFS(ASSEGNAZIONI!$F:$F,ASSEGNAZIONI!$B:$B,$D134,ASSEGNAZIONI!$C:$C,$E134),0))</f>
        <v/>
      </c>
      <c r="J134" s="33" t="str">
        <f t="shared" si="9"/>
        <v/>
      </c>
      <c r="K134" s="42"/>
      <c r="L134" s="42"/>
      <c r="M134" s="42"/>
    </row>
    <row r="135" spans="1:13" x14ac:dyDescent="0.3">
      <c r="A135" s="42"/>
      <c r="B135" s="43"/>
      <c r="C135" s="42"/>
      <c r="D135" s="42"/>
      <c r="E135" s="42"/>
      <c r="F135" s="33" t="str">
        <f>IF($A135="","",SUMIFS(ORE!$F:$F,ORE!$B:$B,$D135,ORE!$E:$E,$E135))</f>
        <v/>
      </c>
      <c r="G135" s="48"/>
      <c r="H135" s="33" t="str">
        <f t="shared" si="8"/>
        <v/>
      </c>
      <c r="I135" s="33" t="str">
        <f>IF($A135="","",IFERROR(SUMIFS(ASSEGNAZIONI!$F:$F,ASSEGNAZIONI!$B:$B,$D135,ASSEGNAZIONI!$C:$C,$E135),0))</f>
        <v/>
      </c>
      <c r="J135" s="33" t="str">
        <f t="shared" si="9"/>
        <v/>
      </c>
      <c r="K135" s="42"/>
      <c r="L135" s="42"/>
      <c r="M135" s="42"/>
    </row>
    <row r="136" spans="1:13" x14ac:dyDescent="0.3">
      <c r="A136" s="42"/>
      <c r="B136" s="43"/>
      <c r="C136" s="42"/>
      <c r="D136" s="42"/>
      <c r="E136" s="42"/>
      <c r="F136" s="33" t="str">
        <f>IF($A136="","",SUMIFS(ORE!$F:$F,ORE!$B:$B,$D136,ORE!$E:$E,$E136))</f>
        <v/>
      </c>
      <c r="G136" s="48"/>
      <c r="H136" s="33" t="str">
        <f t="shared" si="8"/>
        <v/>
      </c>
      <c r="I136" s="33" t="str">
        <f>IF($A136="","",IFERROR(SUMIFS(ASSEGNAZIONI!$F:$F,ASSEGNAZIONI!$B:$B,$D136,ASSEGNAZIONI!$C:$C,$E136),0))</f>
        <v/>
      </c>
      <c r="J136" s="33" t="str">
        <f t="shared" si="9"/>
        <v/>
      </c>
      <c r="K136" s="42"/>
      <c r="L136" s="42"/>
      <c r="M136" s="42"/>
    </row>
    <row r="137" spans="1:13" x14ac:dyDescent="0.3">
      <c r="A137" s="42"/>
      <c r="B137" s="43"/>
      <c r="C137" s="42"/>
      <c r="D137" s="42"/>
      <c r="E137" s="42"/>
      <c r="F137" s="33" t="str">
        <f>IF($A137="","",SUMIFS(ORE!$F:$F,ORE!$B:$B,$D137,ORE!$E:$E,$E137))</f>
        <v/>
      </c>
      <c r="G137" s="48"/>
      <c r="H137" s="33" t="str">
        <f t="shared" si="8"/>
        <v/>
      </c>
      <c r="I137" s="33" t="str">
        <f>IF($A137="","",IFERROR(SUMIFS(ASSEGNAZIONI!$F:$F,ASSEGNAZIONI!$B:$B,$D137,ASSEGNAZIONI!$C:$C,$E137),0))</f>
        <v/>
      </c>
      <c r="J137" s="33" t="str">
        <f t="shared" si="9"/>
        <v/>
      </c>
      <c r="K137" s="42"/>
      <c r="L137" s="42"/>
      <c r="M137" s="42"/>
    </row>
    <row r="138" spans="1:13" x14ac:dyDescent="0.3">
      <c r="A138" s="42"/>
      <c r="B138" s="43"/>
      <c r="C138" s="42"/>
      <c r="D138" s="42"/>
      <c r="E138" s="42"/>
      <c r="F138" s="33" t="str">
        <f>IF($A138="","",SUMIFS(ORE!$F:$F,ORE!$B:$B,$D138,ORE!$E:$E,$E138))</f>
        <v/>
      </c>
      <c r="G138" s="48"/>
      <c r="H138" s="33" t="str">
        <f t="shared" si="8"/>
        <v/>
      </c>
      <c r="I138" s="33" t="str">
        <f>IF($A138="","",IFERROR(SUMIFS(ASSEGNAZIONI!$F:$F,ASSEGNAZIONI!$B:$B,$D138,ASSEGNAZIONI!$C:$C,$E138),0))</f>
        <v/>
      </c>
      <c r="J138" s="33" t="str">
        <f t="shared" si="9"/>
        <v/>
      </c>
      <c r="K138" s="42"/>
      <c r="L138" s="42"/>
      <c r="M138" s="42"/>
    </row>
    <row r="139" spans="1:13" x14ac:dyDescent="0.3">
      <c r="A139" s="42"/>
      <c r="B139" s="43"/>
      <c r="C139" s="42"/>
      <c r="D139" s="42"/>
      <c r="E139" s="42"/>
      <c r="F139" s="33" t="str">
        <f>IF($A139="","",SUMIFS(ORE!$F:$F,ORE!$B:$B,$D139,ORE!$E:$E,$E139))</f>
        <v/>
      </c>
      <c r="G139" s="48"/>
      <c r="H139" s="33" t="str">
        <f t="shared" si="8"/>
        <v/>
      </c>
      <c r="I139" s="33" t="str">
        <f>IF($A139="","",IFERROR(SUMIFS(ASSEGNAZIONI!$F:$F,ASSEGNAZIONI!$B:$B,$D139,ASSEGNAZIONI!$C:$C,$E139),0))</f>
        <v/>
      </c>
      <c r="J139" s="33" t="str">
        <f t="shared" si="9"/>
        <v/>
      </c>
      <c r="K139" s="42"/>
      <c r="L139" s="42"/>
      <c r="M139" s="42"/>
    </row>
    <row r="140" spans="1:13" x14ac:dyDescent="0.3">
      <c r="A140" s="42"/>
      <c r="B140" s="43"/>
      <c r="C140" s="42"/>
      <c r="D140" s="42"/>
      <c r="E140" s="42"/>
      <c r="F140" s="33" t="str">
        <f>IF($A140="","",SUMIFS(ORE!$F:$F,ORE!$B:$B,$D140,ORE!$E:$E,$E140))</f>
        <v/>
      </c>
      <c r="G140" s="48"/>
      <c r="H140" s="33" t="str">
        <f t="shared" si="8"/>
        <v/>
      </c>
      <c r="I140" s="33" t="str">
        <f>IF($A140="","",IFERROR(SUMIFS(ASSEGNAZIONI!$F:$F,ASSEGNAZIONI!$B:$B,$D140,ASSEGNAZIONI!$C:$C,$E140),0))</f>
        <v/>
      </c>
      <c r="J140" s="33" t="str">
        <f t="shared" si="9"/>
        <v/>
      </c>
      <c r="K140" s="42"/>
      <c r="L140" s="42"/>
      <c r="M140" s="42"/>
    </row>
    <row r="141" spans="1:13" x14ac:dyDescent="0.3">
      <c r="A141" s="42"/>
      <c r="B141" s="43"/>
      <c r="C141" s="42"/>
      <c r="D141" s="42"/>
      <c r="E141" s="42"/>
      <c r="F141" s="33" t="str">
        <f>IF($A141="","",SUMIFS(ORE!$F:$F,ORE!$B:$B,$D141,ORE!$E:$E,$E141))</f>
        <v/>
      </c>
      <c r="G141" s="48"/>
      <c r="H141" s="33" t="str">
        <f t="shared" si="8"/>
        <v/>
      </c>
      <c r="I141" s="33" t="str">
        <f>IF($A141="","",IFERROR(SUMIFS(ASSEGNAZIONI!$F:$F,ASSEGNAZIONI!$B:$B,$D141,ASSEGNAZIONI!$C:$C,$E141),0))</f>
        <v/>
      </c>
      <c r="J141" s="33" t="str">
        <f t="shared" si="9"/>
        <v/>
      </c>
      <c r="K141" s="42"/>
      <c r="L141" s="42"/>
      <c r="M141" s="42"/>
    </row>
    <row r="142" spans="1:13" x14ac:dyDescent="0.3">
      <c r="A142" s="42"/>
      <c r="B142" s="43"/>
      <c r="C142" s="42"/>
      <c r="D142" s="42"/>
      <c r="E142" s="42"/>
      <c r="F142" s="33" t="str">
        <f>IF($A142="","",SUMIFS(ORE!$F:$F,ORE!$B:$B,$D142,ORE!$E:$E,$E142))</f>
        <v/>
      </c>
      <c r="G142" s="48"/>
      <c r="H142" s="33" t="str">
        <f t="shared" si="8"/>
        <v/>
      </c>
      <c r="I142" s="33" t="str">
        <f>IF($A142="","",IFERROR(SUMIFS(ASSEGNAZIONI!$F:$F,ASSEGNAZIONI!$B:$B,$D142,ASSEGNAZIONI!$C:$C,$E142),0))</f>
        <v/>
      </c>
      <c r="J142" s="33" t="str">
        <f t="shared" si="9"/>
        <v/>
      </c>
      <c r="K142" s="42"/>
      <c r="L142" s="42"/>
      <c r="M142" s="42"/>
    </row>
    <row r="143" spans="1:13" x14ac:dyDescent="0.3">
      <c r="A143" s="42"/>
      <c r="B143" s="43"/>
      <c r="C143" s="42"/>
      <c r="D143" s="42"/>
      <c r="E143" s="42"/>
      <c r="F143" s="33" t="str">
        <f>IF($A143="","",SUMIFS(ORE!$F:$F,ORE!$B:$B,$D143,ORE!$E:$E,$E143))</f>
        <v/>
      </c>
      <c r="G143" s="48"/>
      <c r="H143" s="33" t="str">
        <f t="shared" si="8"/>
        <v/>
      </c>
      <c r="I143" s="33" t="str">
        <f>IF($A143="","",IFERROR(SUMIFS(ASSEGNAZIONI!$F:$F,ASSEGNAZIONI!$B:$B,$D143,ASSEGNAZIONI!$C:$C,$E143),0))</f>
        <v/>
      </c>
      <c r="J143" s="33" t="str">
        <f t="shared" si="9"/>
        <v/>
      </c>
      <c r="K143" s="42"/>
      <c r="L143" s="42"/>
      <c r="M143" s="42"/>
    </row>
    <row r="144" spans="1:13" x14ac:dyDescent="0.3">
      <c r="A144" s="42"/>
      <c r="B144" s="43"/>
      <c r="C144" s="42"/>
      <c r="D144" s="42"/>
      <c r="E144" s="42"/>
      <c r="F144" s="33" t="str">
        <f>IF($A144="","",SUMIFS(ORE!$F:$F,ORE!$B:$B,$D144,ORE!$E:$E,$E144))</f>
        <v/>
      </c>
      <c r="G144" s="48"/>
      <c r="H144" s="33" t="str">
        <f t="shared" si="8"/>
        <v/>
      </c>
      <c r="I144" s="33" t="str">
        <f>IF($A144="","",IFERROR(SUMIFS(ASSEGNAZIONI!$F:$F,ASSEGNAZIONI!$B:$B,$D144,ASSEGNAZIONI!$C:$C,$E144),0))</f>
        <v/>
      </c>
      <c r="J144" s="33" t="str">
        <f t="shared" si="9"/>
        <v/>
      </c>
      <c r="K144" s="42"/>
      <c r="L144" s="42"/>
      <c r="M144" s="42"/>
    </row>
    <row r="145" spans="1:13" x14ac:dyDescent="0.3">
      <c r="A145" s="42"/>
      <c r="B145" s="43"/>
      <c r="C145" s="42"/>
      <c r="D145" s="42"/>
      <c r="E145" s="42"/>
      <c r="F145" s="33" t="str">
        <f>IF($A145="","",SUMIFS(ORE!$F:$F,ORE!$B:$B,$D145,ORE!$E:$E,$E145))</f>
        <v/>
      </c>
      <c r="G145" s="48"/>
      <c r="H145" s="33" t="str">
        <f t="shared" si="8"/>
        <v/>
      </c>
      <c r="I145" s="33" t="str">
        <f>IF($A145="","",IFERROR(SUMIFS(ASSEGNAZIONI!$F:$F,ASSEGNAZIONI!$B:$B,$D145,ASSEGNAZIONI!$C:$C,$E145),0))</f>
        <v/>
      </c>
      <c r="J145" s="33" t="str">
        <f t="shared" si="9"/>
        <v/>
      </c>
      <c r="K145" s="42"/>
      <c r="L145" s="42"/>
      <c r="M145" s="42"/>
    </row>
    <row r="146" spans="1:13" x14ac:dyDescent="0.3">
      <c r="A146" s="42"/>
      <c r="B146" s="43"/>
      <c r="C146" s="42"/>
      <c r="D146" s="42"/>
      <c r="E146" s="42"/>
      <c r="F146" s="33" t="str">
        <f>IF($A146="","",SUMIFS(ORE!$F:$F,ORE!$B:$B,$D146,ORE!$E:$E,$E146))</f>
        <v/>
      </c>
      <c r="G146" s="48"/>
      <c r="H146" s="33" t="str">
        <f t="shared" si="8"/>
        <v/>
      </c>
      <c r="I146" s="33" t="str">
        <f>IF($A146="","",IFERROR(SUMIFS(ASSEGNAZIONI!$F:$F,ASSEGNAZIONI!$B:$B,$D146,ASSEGNAZIONI!$C:$C,$E146),0))</f>
        <v/>
      </c>
      <c r="J146" s="33" t="str">
        <f t="shared" si="9"/>
        <v/>
      </c>
      <c r="K146" s="42"/>
      <c r="L146" s="42"/>
      <c r="M146" s="42"/>
    </row>
    <row r="147" spans="1:13" x14ac:dyDescent="0.3">
      <c r="A147" s="42"/>
      <c r="B147" s="43"/>
      <c r="C147" s="42"/>
      <c r="D147" s="42"/>
      <c r="E147" s="42"/>
      <c r="F147" s="33" t="str">
        <f>IF($A147="","",SUMIFS(ORE!$F:$F,ORE!$B:$B,$D147,ORE!$E:$E,$E147))</f>
        <v/>
      </c>
      <c r="G147" s="48"/>
      <c r="H147" s="33" t="str">
        <f t="shared" si="8"/>
        <v/>
      </c>
      <c r="I147" s="33" t="str">
        <f>IF($A147="","",IFERROR(SUMIFS(ASSEGNAZIONI!$F:$F,ASSEGNAZIONI!$B:$B,$D147,ASSEGNAZIONI!$C:$C,$E147),0))</f>
        <v/>
      </c>
      <c r="J147" s="33" t="str">
        <f t="shared" si="9"/>
        <v/>
      </c>
      <c r="K147" s="42"/>
      <c r="L147" s="42"/>
      <c r="M147" s="42"/>
    </row>
    <row r="148" spans="1:13" x14ac:dyDescent="0.3">
      <c r="A148" s="42"/>
      <c r="B148" s="43"/>
      <c r="C148" s="42"/>
      <c r="D148" s="42"/>
      <c r="E148" s="42"/>
      <c r="F148" s="33" t="str">
        <f>IF($A148="","",SUMIFS(ORE!$F:$F,ORE!$B:$B,$D148,ORE!$E:$E,$E148))</f>
        <v/>
      </c>
      <c r="G148" s="48"/>
      <c r="H148" s="33" t="str">
        <f t="shared" si="8"/>
        <v/>
      </c>
      <c r="I148" s="33" t="str">
        <f>IF($A148="","",IFERROR(SUMIFS(ASSEGNAZIONI!$F:$F,ASSEGNAZIONI!$B:$B,$D148,ASSEGNAZIONI!$C:$C,$E148),0))</f>
        <v/>
      </c>
      <c r="J148" s="33" t="str">
        <f t="shared" si="9"/>
        <v/>
      </c>
      <c r="K148" s="42"/>
      <c r="L148" s="42"/>
      <c r="M148" s="42"/>
    </row>
    <row r="149" spans="1:13" x14ac:dyDescent="0.3">
      <c r="A149" s="42"/>
      <c r="B149" s="43"/>
      <c r="C149" s="42"/>
      <c r="D149" s="42"/>
      <c r="E149" s="42"/>
      <c r="F149" s="33" t="str">
        <f>IF($A149="","",SUMIFS(ORE!$F:$F,ORE!$B:$B,$D149,ORE!$E:$E,$E149))</f>
        <v/>
      </c>
      <c r="G149" s="48"/>
      <c r="H149" s="33" t="str">
        <f t="shared" si="8"/>
        <v/>
      </c>
      <c r="I149" s="33" t="str">
        <f>IF($A149="","",IFERROR(SUMIFS(ASSEGNAZIONI!$F:$F,ASSEGNAZIONI!$B:$B,$D149,ASSEGNAZIONI!$C:$C,$E149),0))</f>
        <v/>
      </c>
      <c r="J149" s="33" t="str">
        <f t="shared" si="9"/>
        <v/>
      </c>
      <c r="K149" s="42"/>
      <c r="L149" s="42"/>
      <c r="M149" s="42"/>
    </row>
    <row r="150" spans="1:13" x14ac:dyDescent="0.3">
      <c r="A150" s="42"/>
      <c r="B150" s="43"/>
      <c r="C150" s="42"/>
      <c r="D150" s="42"/>
      <c r="E150" s="42"/>
      <c r="F150" s="33" t="str">
        <f>IF($A150="","",SUMIFS(ORE!$F:$F,ORE!$B:$B,$D150,ORE!$E:$E,$E150))</f>
        <v/>
      </c>
      <c r="G150" s="48"/>
      <c r="H150" s="33" t="str">
        <f t="shared" si="8"/>
        <v/>
      </c>
      <c r="I150" s="33" t="str">
        <f>IF($A150="","",IFERROR(SUMIFS(ASSEGNAZIONI!$F:$F,ASSEGNAZIONI!$B:$B,$D150,ASSEGNAZIONI!$C:$C,$E150),0))</f>
        <v/>
      </c>
      <c r="J150" s="33" t="str">
        <f t="shared" si="9"/>
        <v/>
      </c>
      <c r="K150" s="42"/>
      <c r="L150" s="42"/>
      <c r="M150" s="42"/>
    </row>
    <row r="151" spans="1:13" x14ac:dyDescent="0.3">
      <c r="A151" s="42"/>
      <c r="B151" s="43"/>
      <c r="C151" s="42"/>
      <c r="D151" s="42"/>
      <c r="E151" s="42"/>
      <c r="F151" s="33" t="str">
        <f>IF($A151="","",SUMIFS(ORE!$F:$F,ORE!$B:$B,$D151,ORE!$E:$E,$E151))</f>
        <v/>
      </c>
      <c r="G151" s="48"/>
      <c r="H151" s="33" t="str">
        <f t="shared" si="8"/>
        <v/>
      </c>
      <c r="I151" s="33" t="str">
        <f>IF($A151="","",IFERROR(SUMIFS(ASSEGNAZIONI!$F:$F,ASSEGNAZIONI!$B:$B,$D151,ASSEGNAZIONI!$C:$C,$E151),0))</f>
        <v/>
      </c>
      <c r="J151" s="33" t="str">
        <f t="shared" si="9"/>
        <v/>
      </c>
      <c r="K151" s="42"/>
      <c r="L151" s="42"/>
      <c r="M151" s="42"/>
    </row>
    <row r="152" spans="1:13" x14ac:dyDescent="0.3">
      <c r="A152" s="42"/>
      <c r="B152" s="43"/>
      <c r="C152" s="42"/>
      <c r="D152" s="42"/>
      <c r="E152" s="42"/>
      <c r="F152" s="33" t="str">
        <f>IF($A152="","",SUMIFS(ORE!$F:$F,ORE!$B:$B,$D152,ORE!$E:$E,$E152))</f>
        <v/>
      </c>
      <c r="G152" s="48"/>
      <c r="H152" s="33" t="str">
        <f t="shared" si="8"/>
        <v/>
      </c>
      <c r="I152" s="33" t="str">
        <f>IF($A152="","",IFERROR(SUMIFS(ASSEGNAZIONI!$F:$F,ASSEGNAZIONI!$B:$B,$D152,ASSEGNAZIONI!$C:$C,$E152),0))</f>
        <v/>
      </c>
      <c r="J152" s="33" t="str">
        <f t="shared" si="9"/>
        <v/>
      </c>
      <c r="K152" s="42"/>
      <c r="L152" s="42"/>
      <c r="M152" s="42"/>
    </row>
    <row r="153" spans="1:13" x14ac:dyDescent="0.3">
      <c r="A153" s="42"/>
      <c r="B153" s="43"/>
      <c r="C153" s="42"/>
      <c r="D153" s="42"/>
      <c r="E153" s="42"/>
      <c r="F153" s="33" t="str">
        <f>IF($A153="","",SUMIFS(ORE!$F:$F,ORE!$B:$B,$D153,ORE!$E:$E,$E153))</f>
        <v/>
      </c>
      <c r="G153" s="48"/>
      <c r="H153" s="33" t="str">
        <f t="shared" si="8"/>
        <v/>
      </c>
      <c r="I153" s="33" t="str">
        <f>IF($A153="","",IFERROR(SUMIFS(ASSEGNAZIONI!$F:$F,ASSEGNAZIONI!$B:$B,$D153,ASSEGNAZIONI!$C:$C,$E153),0))</f>
        <v/>
      </c>
      <c r="J153" s="33" t="str">
        <f t="shared" si="9"/>
        <v/>
      </c>
      <c r="K153" s="42"/>
      <c r="L153" s="42"/>
      <c r="M153" s="42"/>
    </row>
    <row r="154" spans="1:13" x14ac:dyDescent="0.3">
      <c r="A154" s="42"/>
      <c r="B154" s="43"/>
      <c r="C154" s="42"/>
      <c r="D154" s="42"/>
      <c r="E154" s="42"/>
      <c r="F154" s="33" t="str">
        <f>IF($A154="","",SUMIFS(ORE!$F:$F,ORE!$B:$B,$D154,ORE!$E:$E,$E154))</f>
        <v/>
      </c>
      <c r="G154" s="48"/>
      <c r="H154" s="33" t="str">
        <f t="shared" si="8"/>
        <v/>
      </c>
      <c r="I154" s="33" t="str">
        <f>IF($A154="","",IFERROR(SUMIFS(ASSEGNAZIONI!$F:$F,ASSEGNAZIONI!$B:$B,$D154,ASSEGNAZIONI!$C:$C,$E154),0))</f>
        <v/>
      </c>
      <c r="J154" s="33" t="str">
        <f t="shared" si="9"/>
        <v/>
      </c>
      <c r="K154" s="42"/>
      <c r="L154" s="42"/>
      <c r="M154" s="42"/>
    </row>
    <row r="155" spans="1:13" x14ac:dyDescent="0.3">
      <c r="A155" s="42"/>
      <c r="B155" s="43"/>
      <c r="C155" s="42"/>
      <c r="D155" s="42"/>
      <c r="E155" s="42"/>
      <c r="F155" s="33" t="str">
        <f>IF($A155="","",SUMIFS(ORE!$F:$F,ORE!$B:$B,$D155,ORE!$E:$E,$E155))</f>
        <v/>
      </c>
      <c r="G155" s="48"/>
      <c r="H155" s="33" t="str">
        <f t="shared" si="8"/>
        <v/>
      </c>
      <c r="I155" s="33" t="str">
        <f>IF($A155="","",IFERROR(SUMIFS(ASSEGNAZIONI!$F:$F,ASSEGNAZIONI!$B:$B,$D155,ASSEGNAZIONI!$C:$C,$E155),0))</f>
        <v/>
      </c>
      <c r="J155" s="33" t="str">
        <f t="shared" si="9"/>
        <v/>
      </c>
      <c r="K155" s="42"/>
      <c r="L155" s="42"/>
      <c r="M155" s="42"/>
    </row>
    <row r="156" spans="1:13" x14ac:dyDescent="0.3">
      <c r="A156" s="42"/>
      <c r="B156" s="43"/>
      <c r="C156" s="42"/>
      <c r="D156" s="42"/>
      <c r="E156" s="42"/>
      <c r="F156" s="33" t="str">
        <f>IF($A156="","",SUMIFS(ORE!$F:$F,ORE!$B:$B,$D156,ORE!$E:$E,$E156))</f>
        <v/>
      </c>
      <c r="G156" s="48"/>
      <c r="H156" s="33" t="str">
        <f t="shared" si="8"/>
        <v/>
      </c>
      <c r="I156" s="33" t="str">
        <f>IF($A156="","",IFERROR(SUMIFS(ASSEGNAZIONI!$F:$F,ASSEGNAZIONI!$B:$B,$D156,ASSEGNAZIONI!$C:$C,$E156),0))</f>
        <v/>
      </c>
      <c r="J156" s="33" t="str">
        <f t="shared" si="9"/>
        <v/>
      </c>
      <c r="K156" s="42"/>
      <c r="L156" s="42"/>
      <c r="M156" s="42"/>
    </row>
    <row r="157" spans="1:13" x14ac:dyDescent="0.3">
      <c r="A157" s="42"/>
      <c r="B157" s="43"/>
      <c r="C157" s="42"/>
      <c r="D157" s="42"/>
      <c r="E157" s="42"/>
      <c r="F157" s="33" t="str">
        <f>IF($A157="","",SUMIFS(ORE!$F:$F,ORE!$B:$B,$D157,ORE!$E:$E,$E157))</f>
        <v/>
      </c>
      <c r="G157" s="48"/>
      <c r="H157" s="33" t="str">
        <f t="shared" si="8"/>
        <v/>
      </c>
      <c r="I157" s="33" t="str">
        <f>IF($A157="","",IFERROR(SUMIFS(ASSEGNAZIONI!$F:$F,ASSEGNAZIONI!$B:$B,$D157,ASSEGNAZIONI!$C:$C,$E157),0))</f>
        <v/>
      </c>
      <c r="J157" s="33" t="str">
        <f t="shared" si="9"/>
        <v/>
      </c>
      <c r="K157" s="42"/>
      <c r="L157" s="42"/>
      <c r="M157" s="42"/>
    </row>
    <row r="158" spans="1:13" x14ac:dyDescent="0.3">
      <c r="A158" s="42"/>
      <c r="B158" s="43"/>
      <c r="C158" s="42"/>
      <c r="D158" s="42"/>
      <c r="E158" s="42"/>
      <c r="F158" s="33" t="str">
        <f>IF($A158="","",SUMIFS(ORE!$F:$F,ORE!$B:$B,$D158,ORE!$E:$E,$E158))</f>
        <v/>
      </c>
      <c r="G158" s="48"/>
      <c r="H158" s="33" t="str">
        <f t="shared" si="8"/>
        <v/>
      </c>
      <c r="I158" s="33" t="str">
        <f>IF($A158="","",IFERROR(SUMIFS(ASSEGNAZIONI!$F:$F,ASSEGNAZIONI!$B:$B,$D158,ASSEGNAZIONI!$C:$C,$E158),0))</f>
        <v/>
      </c>
      <c r="J158" s="33" t="str">
        <f t="shared" si="9"/>
        <v/>
      </c>
      <c r="K158" s="42"/>
      <c r="L158" s="42"/>
      <c r="M158" s="42"/>
    </row>
    <row r="159" spans="1:13" x14ac:dyDescent="0.3">
      <c r="A159" s="42"/>
      <c r="B159" s="43"/>
      <c r="C159" s="42"/>
      <c r="D159" s="42"/>
      <c r="E159" s="42"/>
      <c r="F159" s="33" t="str">
        <f>IF($A159="","",SUMIFS(ORE!$F:$F,ORE!$B:$B,$D159,ORE!$E:$E,$E159))</f>
        <v/>
      </c>
      <c r="G159" s="48"/>
      <c r="H159" s="33" t="str">
        <f t="shared" si="8"/>
        <v/>
      </c>
      <c r="I159" s="33" t="str">
        <f>IF($A159="","",IFERROR(SUMIFS(ASSEGNAZIONI!$F:$F,ASSEGNAZIONI!$B:$B,$D159,ASSEGNAZIONI!$C:$C,$E159),0))</f>
        <v/>
      </c>
      <c r="J159" s="33" t="str">
        <f t="shared" si="9"/>
        <v/>
      </c>
      <c r="K159" s="42"/>
      <c r="L159" s="42"/>
      <c r="M159" s="42"/>
    </row>
    <row r="160" spans="1:13" x14ac:dyDescent="0.3">
      <c r="A160" s="42"/>
      <c r="B160" s="43"/>
      <c r="C160" s="42"/>
      <c r="D160" s="42"/>
      <c r="E160" s="42"/>
      <c r="F160" s="33" t="str">
        <f>IF($A160="","",SUMIFS(ORE!$F:$F,ORE!$B:$B,$D160,ORE!$E:$E,$E160))</f>
        <v/>
      </c>
      <c r="G160" s="48"/>
      <c r="H160" s="33" t="str">
        <f t="shared" si="8"/>
        <v/>
      </c>
      <c r="I160" s="33" t="str">
        <f>IF($A160="","",IFERROR(SUMIFS(ASSEGNAZIONI!$F:$F,ASSEGNAZIONI!$B:$B,$D160,ASSEGNAZIONI!$C:$C,$E160),0))</f>
        <v/>
      </c>
      <c r="J160" s="33" t="str">
        <f t="shared" si="9"/>
        <v/>
      </c>
      <c r="K160" s="42"/>
      <c r="L160" s="42"/>
      <c r="M160" s="42"/>
    </row>
    <row r="161" spans="1:13" x14ac:dyDescent="0.3">
      <c r="A161" s="42"/>
      <c r="B161" s="43"/>
      <c r="C161" s="42"/>
      <c r="D161" s="42"/>
      <c r="E161" s="42"/>
      <c r="F161" s="33" t="str">
        <f>IF($A161="","",SUMIFS(ORE!$F:$F,ORE!$B:$B,$D161,ORE!$E:$E,$E161))</f>
        <v/>
      </c>
      <c r="G161" s="48"/>
      <c r="H161" s="33" t="str">
        <f t="shared" si="8"/>
        <v/>
      </c>
      <c r="I161" s="33" t="str">
        <f>IF($A161="","",IFERROR(SUMIFS(ASSEGNAZIONI!$F:$F,ASSEGNAZIONI!$B:$B,$D161,ASSEGNAZIONI!$C:$C,$E161),0))</f>
        <v/>
      </c>
      <c r="J161" s="33" t="str">
        <f t="shared" si="9"/>
        <v/>
      </c>
      <c r="K161" s="42"/>
      <c r="L161" s="42"/>
      <c r="M161" s="42"/>
    </row>
    <row r="162" spans="1:13" x14ac:dyDescent="0.3">
      <c r="A162" s="42"/>
      <c r="B162" s="43"/>
      <c r="C162" s="42"/>
      <c r="D162" s="42"/>
      <c r="E162" s="42"/>
      <c r="F162" s="33" t="str">
        <f>IF($A162="","",SUMIFS(ORE!$F:$F,ORE!$B:$B,$D162,ORE!$E:$E,$E162))</f>
        <v/>
      </c>
      <c r="G162" s="48"/>
      <c r="H162" s="33" t="str">
        <f t="shared" ref="H162:H193" si="10">IF($A162="","",$F162+$G162)</f>
        <v/>
      </c>
      <c r="I162" s="33" t="str">
        <f>IF($A162="","",IFERROR(SUMIFS(ASSEGNAZIONI!$F:$F,ASSEGNAZIONI!$B:$B,$D162,ASSEGNAZIONI!$C:$C,$E162),0))</f>
        <v/>
      </c>
      <c r="J162" s="33" t="str">
        <f t="shared" ref="J162:J193" si="11">IF($A162="","",$H162-$I162)</f>
        <v/>
      </c>
      <c r="K162" s="42"/>
      <c r="L162" s="42"/>
      <c r="M162" s="42"/>
    </row>
    <row r="163" spans="1:13" x14ac:dyDescent="0.3">
      <c r="A163" s="42"/>
      <c r="B163" s="43"/>
      <c r="C163" s="42"/>
      <c r="D163" s="42"/>
      <c r="E163" s="42"/>
      <c r="F163" s="33" t="str">
        <f>IF($A163="","",SUMIFS(ORE!$F:$F,ORE!$B:$B,$D163,ORE!$E:$E,$E163))</f>
        <v/>
      </c>
      <c r="G163" s="48"/>
      <c r="H163" s="33" t="str">
        <f t="shared" si="10"/>
        <v/>
      </c>
      <c r="I163" s="33" t="str">
        <f>IF($A163="","",IFERROR(SUMIFS(ASSEGNAZIONI!$F:$F,ASSEGNAZIONI!$B:$B,$D163,ASSEGNAZIONI!$C:$C,$E163),0))</f>
        <v/>
      </c>
      <c r="J163" s="33" t="str">
        <f t="shared" si="11"/>
        <v/>
      </c>
      <c r="K163" s="42"/>
      <c r="L163" s="42"/>
      <c r="M163" s="42"/>
    </row>
    <row r="164" spans="1:13" x14ac:dyDescent="0.3">
      <c r="A164" s="42"/>
      <c r="B164" s="43"/>
      <c r="C164" s="42"/>
      <c r="D164" s="42"/>
      <c r="E164" s="42"/>
      <c r="F164" s="33" t="str">
        <f>IF($A164="","",SUMIFS(ORE!$F:$F,ORE!$B:$B,$D164,ORE!$E:$E,$E164))</f>
        <v/>
      </c>
      <c r="G164" s="48"/>
      <c r="H164" s="33" t="str">
        <f t="shared" si="10"/>
        <v/>
      </c>
      <c r="I164" s="33" t="str">
        <f>IF($A164="","",IFERROR(SUMIFS(ASSEGNAZIONI!$F:$F,ASSEGNAZIONI!$B:$B,$D164,ASSEGNAZIONI!$C:$C,$E164),0))</f>
        <v/>
      </c>
      <c r="J164" s="33" t="str">
        <f t="shared" si="11"/>
        <v/>
      </c>
      <c r="K164" s="42"/>
      <c r="L164" s="42"/>
      <c r="M164" s="42"/>
    </row>
    <row r="165" spans="1:13" x14ac:dyDescent="0.3">
      <c r="A165" s="42"/>
      <c r="B165" s="43"/>
      <c r="C165" s="42"/>
      <c r="D165" s="42"/>
      <c r="E165" s="42"/>
      <c r="F165" s="33" t="str">
        <f>IF($A165="","",SUMIFS(ORE!$F:$F,ORE!$B:$B,$D165,ORE!$E:$E,$E165))</f>
        <v/>
      </c>
      <c r="G165" s="48"/>
      <c r="H165" s="33" t="str">
        <f t="shared" si="10"/>
        <v/>
      </c>
      <c r="I165" s="33" t="str">
        <f>IF($A165="","",IFERROR(SUMIFS(ASSEGNAZIONI!$F:$F,ASSEGNAZIONI!$B:$B,$D165,ASSEGNAZIONI!$C:$C,$E165),0))</f>
        <v/>
      </c>
      <c r="J165" s="33" t="str">
        <f t="shared" si="11"/>
        <v/>
      </c>
      <c r="K165" s="42"/>
      <c r="L165" s="42"/>
      <c r="M165" s="42"/>
    </row>
    <row r="166" spans="1:13" x14ac:dyDescent="0.3">
      <c r="A166" s="42"/>
      <c r="B166" s="43"/>
      <c r="C166" s="42"/>
      <c r="D166" s="42"/>
      <c r="E166" s="42"/>
      <c r="F166" s="33" t="str">
        <f>IF($A166="","",SUMIFS(ORE!$F:$F,ORE!$B:$B,$D166,ORE!$E:$E,$E166))</f>
        <v/>
      </c>
      <c r="G166" s="48"/>
      <c r="H166" s="33" t="str">
        <f t="shared" si="10"/>
        <v/>
      </c>
      <c r="I166" s="33" t="str">
        <f>IF($A166="","",IFERROR(SUMIFS(ASSEGNAZIONI!$F:$F,ASSEGNAZIONI!$B:$B,$D166,ASSEGNAZIONI!$C:$C,$E166),0))</f>
        <v/>
      </c>
      <c r="J166" s="33" t="str">
        <f t="shared" si="11"/>
        <v/>
      </c>
      <c r="K166" s="42"/>
      <c r="L166" s="42"/>
      <c r="M166" s="42"/>
    </row>
    <row r="167" spans="1:13" x14ac:dyDescent="0.3">
      <c r="A167" s="42"/>
      <c r="B167" s="43"/>
      <c r="C167" s="42"/>
      <c r="D167" s="42"/>
      <c r="E167" s="42"/>
      <c r="F167" s="33" t="str">
        <f>IF($A167="","",SUMIFS(ORE!$F:$F,ORE!$B:$B,$D167,ORE!$E:$E,$E167))</f>
        <v/>
      </c>
      <c r="G167" s="48"/>
      <c r="H167" s="33" t="str">
        <f t="shared" si="10"/>
        <v/>
      </c>
      <c r="I167" s="33" t="str">
        <f>IF($A167="","",IFERROR(SUMIFS(ASSEGNAZIONI!$F:$F,ASSEGNAZIONI!$B:$B,$D167,ASSEGNAZIONI!$C:$C,$E167),0))</f>
        <v/>
      </c>
      <c r="J167" s="33" t="str">
        <f t="shared" si="11"/>
        <v/>
      </c>
      <c r="K167" s="42"/>
      <c r="L167" s="42"/>
      <c r="M167" s="42"/>
    </row>
    <row r="168" spans="1:13" x14ac:dyDescent="0.3">
      <c r="A168" s="42"/>
      <c r="B168" s="43"/>
      <c r="C168" s="42"/>
      <c r="D168" s="42"/>
      <c r="E168" s="42"/>
      <c r="F168" s="33" t="str">
        <f>IF($A168="","",SUMIFS(ORE!$F:$F,ORE!$B:$B,$D168,ORE!$E:$E,$E168))</f>
        <v/>
      </c>
      <c r="G168" s="48"/>
      <c r="H168" s="33" t="str">
        <f t="shared" si="10"/>
        <v/>
      </c>
      <c r="I168" s="33" t="str">
        <f>IF($A168="","",IFERROR(SUMIFS(ASSEGNAZIONI!$F:$F,ASSEGNAZIONI!$B:$B,$D168,ASSEGNAZIONI!$C:$C,$E168),0))</f>
        <v/>
      </c>
      <c r="J168" s="33" t="str">
        <f t="shared" si="11"/>
        <v/>
      </c>
      <c r="K168" s="42"/>
      <c r="L168" s="42"/>
      <c r="M168" s="42"/>
    </row>
    <row r="169" spans="1:13" x14ac:dyDescent="0.3">
      <c r="A169" s="42"/>
      <c r="B169" s="43"/>
      <c r="C169" s="42"/>
      <c r="D169" s="42"/>
      <c r="E169" s="42"/>
      <c r="F169" s="33" t="str">
        <f>IF($A169="","",SUMIFS(ORE!$F:$F,ORE!$B:$B,$D169,ORE!$E:$E,$E169))</f>
        <v/>
      </c>
      <c r="G169" s="48"/>
      <c r="H169" s="33" t="str">
        <f t="shared" si="10"/>
        <v/>
      </c>
      <c r="I169" s="33" t="str">
        <f>IF($A169="","",IFERROR(SUMIFS(ASSEGNAZIONI!$F:$F,ASSEGNAZIONI!$B:$B,$D169,ASSEGNAZIONI!$C:$C,$E169),0))</f>
        <v/>
      </c>
      <c r="J169" s="33" t="str">
        <f t="shared" si="11"/>
        <v/>
      </c>
      <c r="K169" s="42"/>
      <c r="L169" s="42"/>
      <c r="M169" s="42"/>
    </row>
    <row r="170" spans="1:13" x14ac:dyDescent="0.3">
      <c r="A170" s="42"/>
      <c r="B170" s="43"/>
      <c r="C170" s="42"/>
      <c r="D170" s="42"/>
      <c r="E170" s="42"/>
      <c r="F170" s="33" t="str">
        <f>IF($A170="","",SUMIFS(ORE!$F:$F,ORE!$B:$B,$D170,ORE!$E:$E,$E170))</f>
        <v/>
      </c>
      <c r="G170" s="48"/>
      <c r="H170" s="33" t="str">
        <f t="shared" si="10"/>
        <v/>
      </c>
      <c r="I170" s="33" t="str">
        <f>IF($A170="","",IFERROR(SUMIFS(ASSEGNAZIONI!$F:$F,ASSEGNAZIONI!$B:$B,$D170,ASSEGNAZIONI!$C:$C,$E170),0))</f>
        <v/>
      </c>
      <c r="J170" s="33" t="str">
        <f t="shared" si="11"/>
        <v/>
      </c>
      <c r="K170" s="42"/>
      <c r="L170" s="42"/>
      <c r="M170" s="42"/>
    </row>
    <row r="171" spans="1:13" x14ac:dyDescent="0.3">
      <c r="A171" s="42"/>
      <c r="B171" s="43"/>
      <c r="C171" s="42"/>
      <c r="D171" s="42"/>
      <c r="E171" s="42"/>
      <c r="F171" s="33" t="str">
        <f>IF($A171="","",SUMIFS(ORE!$F:$F,ORE!$B:$B,$D171,ORE!$E:$E,$E171))</f>
        <v/>
      </c>
      <c r="G171" s="48"/>
      <c r="H171" s="33" t="str">
        <f t="shared" si="10"/>
        <v/>
      </c>
      <c r="I171" s="33" t="str">
        <f>IF($A171="","",IFERROR(SUMIFS(ASSEGNAZIONI!$F:$F,ASSEGNAZIONI!$B:$B,$D171,ASSEGNAZIONI!$C:$C,$E171),0))</f>
        <v/>
      </c>
      <c r="J171" s="33" t="str">
        <f t="shared" si="11"/>
        <v/>
      </c>
      <c r="K171" s="42"/>
      <c r="L171" s="42"/>
      <c r="M171" s="42"/>
    </row>
    <row r="172" spans="1:13" x14ac:dyDescent="0.3">
      <c r="A172" s="42"/>
      <c r="B172" s="43"/>
      <c r="C172" s="42"/>
      <c r="D172" s="42"/>
      <c r="E172" s="42"/>
      <c r="F172" s="33" t="str">
        <f>IF($A172="","",SUMIFS(ORE!$F:$F,ORE!$B:$B,$D172,ORE!$E:$E,$E172))</f>
        <v/>
      </c>
      <c r="G172" s="48"/>
      <c r="H172" s="33" t="str">
        <f t="shared" si="10"/>
        <v/>
      </c>
      <c r="I172" s="33" t="str">
        <f>IF($A172="","",IFERROR(SUMIFS(ASSEGNAZIONI!$F:$F,ASSEGNAZIONI!$B:$B,$D172,ASSEGNAZIONI!$C:$C,$E172),0))</f>
        <v/>
      </c>
      <c r="J172" s="33" t="str">
        <f t="shared" si="11"/>
        <v/>
      </c>
      <c r="K172" s="42"/>
      <c r="L172" s="42"/>
      <c r="M172" s="42"/>
    </row>
    <row r="173" spans="1:13" x14ac:dyDescent="0.3">
      <c r="A173" s="42"/>
      <c r="B173" s="43"/>
      <c r="C173" s="42"/>
      <c r="D173" s="42"/>
      <c r="E173" s="42"/>
      <c r="F173" s="33" t="str">
        <f>IF($A173="","",SUMIFS(ORE!$F:$F,ORE!$B:$B,$D173,ORE!$E:$E,$E173))</f>
        <v/>
      </c>
      <c r="G173" s="48"/>
      <c r="H173" s="33" t="str">
        <f t="shared" si="10"/>
        <v/>
      </c>
      <c r="I173" s="33" t="str">
        <f>IF($A173="","",IFERROR(SUMIFS(ASSEGNAZIONI!$F:$F,ASSEGNAZIONI!$B:$B,$D173,ASSEGNAZIONI!$C:$C,$E173),0))</f>
        <v/>
      </c>
      <c r="J173" s="33" t="str">
        <f t="shared" si="11"/>
        <v/>
      </c>
      <c r="K173" s="42"/>
      <c r="L173" s="42"/>
      <c r="M173" s="42"/>
    </row>
    <row r="174" spans="1:13" x14ac:dyDescent="0.3">
      <c r="A174" s="42"/>
      <c r="B174" s="43"/>
      <c r="C174" s="42"/>
      <c r="D174" s="42"/>
      <c r="E174" s="42"/>
      <c r="F174" s="33" t="str">
        <f>IF($A174="","",SUMIFS(ORE!$F:$F,ORE!$B:$B,$D174,ORE!$E:$E,$E174))</f>
        <v/>
      </c>
      <c r="G174" s="48"/>
      <c r="H174" s="33" t="str">
        <f t="shared" si="10"/>
        <v/>
      </c>
      <c r="I174" s="33" t="str">
        <f>IF($A174="","",IFERROR(SUMIFS(ASSEGNAZIONI!$F:$F,ASSEGNAZIONI!$B:$B,$D174,ASSEGNAZIONI!$C:$C,$E174),0))</f>
        <v/>
      </c>
      <c r="J174" s="33" t="str">
        <f t="shared" si="11"/>
        <v/>
      </c>
      <c r="K174" s="42"/>
      <c r="L174" s="42"/>
      <c r="M174" s="42"/>
    </row>
    <row r="175" spans="1:13" x14ac:dyDescent="0.3">
      <c r="A175" s="42"/>
      <c r="B175" s="43"/>
      <c r="C175" s="42"/>
      <c r="D175" s="42"/>
      <c r="E175" s="42"/>
      <c r="F175" s="33" t="str">
        <f>IF($A175="","",SUMIFS(ORE!$F:$F,ORE!$B:$B,$D175,ORE!$E:$E,$E175))</f>
        <v/>
      </c>
      <c r="G175" s="48"/>
      <c r="H175" s="33" t="str">
        <f t="shared" si="10"/>
        <v/>
      </c>
      <c r="I175" s="33" t="str">
        <f>IF($A175="","",IFERROR(SUMIFS(ASSEGNAZIONI!$F:$F,ASSEGNAZIONI!$B:$B,$D175,ASSEGNAZIONI!$C:$C,$E175),0))</f>
        <v/>
      </c>
      <c r="J175" s="33" t="str">
        <f t="shared" si="11"/>
        <v/>
      </c>
      <c r="K175" s="42"/>
      <c r="L175" s="42"/>
      <c r="M175" s="42"/>
    </row>
    <row r="176" spans="1:13" x14ac:dyDescent="0.3">
      <c r="A176" s="42"/>
      <c r="B176" s="43"/>
      <c r="C176" s="42"/>
      <c r="D176" s="42"/>
      <c r="E176" s="42"/>
      <c r="F176" s="33" t="str">
        <f>IF($A176="","",SUMIFS(ORE!$F:$F,ORE!$B:$B,$D176,ORE!$E:$E,$E176))</f>
        <v/>
      </c>
      <c r="G176" s="48"/>
      <c r="H176" s="33" t="str">
        <f t="shared" si="10"/>
        <v/>
      </c>
      <c r="I176" s="33" t="str">
        <f>IF($A176="","",IFERROR(SUMIFS(ASSEGNAZIONI!$F:$F,ASSEGNAZIONI!$B:$B,$D176,ASSEGNAZIONI!$C:$C,$E176),0))</f>
        <v/>
      </c>
      <c r="J176" s="33" t="str">
        <f t="shared" si="11"/>
        <v/>
      </c>
      <c r="K176" s="42"/>
      <c r="L176" s="42"/>
      <c r="M176" s="42"/>
    </row>
    <row r="177" spans="1:13" x14ac:dyDescent="0.3">
      <c r="A177" s="42"/>
      <c r="B177" s="43"/>
      <c r="C177" s="42"/>
      <c r="D177" s="42"/>
      <c r="E177" s="42"/>
      <c r="F177" s="33" t="str">
        <f>IF($A177="","",SUMIFS(ORE!$F:$F,ORE!$B:$B,$D177,ORE!$E:$E,$E177))</f>
        <v/>
      </c>
      <c r="G177" s="48"/>
      <c r="H177" s="33" t="str">
        <f t="shared" si="10"/>
        <v/>
      </c>
      <c r="I177" s="33" t="str">
        <f>IF($A177="","",IFERROR(SUMIFS(ASSEGNAZIONI!$F:$F,ASSEGNAZIONI!$B:$B,$D177,ASSEGNAZIONI!$C:$C,$E177),0))</f>
        <v/>
      </c>
      <c r="J177" s="33" t="str">
        <f t="shared" si="11"/>
        <v/>
      </c>
      <c r="K177" s="42"/>
      <c r="L177" s="42"/>
      <c r="M177" s="42"/>
    </row>
    <row r="178" spans="1:13" x14ac:dyDescent="0.3">
      <c r="A178" s="42"/>
      <c r="B178" s="43"/>
      <c r="C178" s="42"/>
      <c r="D178" s="42"/>
      <c r="E178" s="42"/>
      <c r="F178" s="33" t="str">
        <f>IF($A178="","",SUMIFS(ORE!$F:$F,ORE!$B:$B,$D178,ORE!$E:$E,$E178))</f>
        <v/>
      </c>
      <c r="G178" s="48"/>
      <c r="H178" s="33" t="str">
        <f t="shared" si="10"/>
        <v/>
      </c>
      <c r="I178" s="33" t="str">
        <f>IF($A178="","",IFERROR(SUMIFS(ASSEGNAZIONI!$F:$F,ASSEGNAZIONI!$B:$B,$D178,ASSEGNAZIONI!$C:$C,$E178),0))</f>
        <v/>
      </c>
      <c r="J178" s="33" t="str">
        <f t="shared" si="11"/>
        <v/>
      </c>
      <c r="K178" s="42"/>
      <c r="L178" s="42"/>
      <c r="M178" s="42"/>
    </row>
    <row r="179" spans="1:13" x14ac:dyDescent="0.3">
      <c r="A179" s="42"/>
      <c r="B179" s="43"/>
      <c r="C179" s="42"/>
      <c r="D179" s="42"/>
      <c r="E179" s="42"/>
      <c r="F179" s="33" t="str">
        <f>IF($A179="","",SUMIFS(ORE!$F:$F,ORE!$B:$B,$D179,ORE!$E:$E,$E179))</f>
        <v/>
      </c>
      <c r="G179" s="48"/>
      <c r="H179" s="33" t="str">
        <f t="shared" si="10"/>
        <v/>
      </c>
      <c r="I179" s="33" t="str">
        <f>IF($A179="","",IFERROR(SUMIFS(ASSEGNAZIONI!$F:$F,ASSEGNAZIONI!$B:$B,$D179,ASSEGNAZIONI!$C:$C,$E179),0))</f>
        <v/>
      </c>
      <c r="J179" s="33" t="str">
        <f t="shared" si="11"/>
        <v/>
      </c>
      <c r="K179" s="42"/>
      <c r="L179" s="42"/>
      <c r="M179" s="42"/>
    </row>
    <row r="180" spans="1:13" x14ac:dyDescent="0.3">
      <c r="A180" s="42"/>
      <c r="B180" s="43"/>
      <c r="C180" s="42"/>
      <c r="D180" s="42"/>
      <c r="E180" s="42"/>
      <c r="F180" s="33" t="str">
        <f>IF($A180="","",SUMIFS(ORE!$F:$F,ORE!$B:$B,$D180,ORE!$E:$E,$E180))</f>
        <v/>
      </c>
      <c r="G180" s="48"/>
      <c r="H180" s="33" t="str">
        <f t="shared" si="10"/>
        <v/>
      </c>
      <c r="I180" s="33" t="str">
        <f>IF($A180="","",IFERROR(SUMIFS(ASSEGNAZIONI!$F:$F,ASSEGNAZIONI!$B:$B,$D180,ASSEGNAZIONI!$C:$C,$E180),0))</f>
        <v/>
      </c>
      <c r="J180" s="33" t="str">
        <f t="shared" si="11"/>
        <v/>
      </c>
      <c r="K180" s="42"/>
      <c r="L180" s="42"/>
      <c r="M180" s="42"/>
    </row>
    <row r="181" spans="1:13" x14ac:dyDescent="0.3">
      <c r="A181" s="42"/>
      <c r="B181" s="43"/>
      <c r="C181" s="42"/>
      <c r="D181" s="42"/>
      <c r="E181" s="42"/>
      <c r="F181" s="33" t="str">
        <f>IF($A181="","",SUMIFS(ORE!$F:$F,ORE!$B:$B,$D181,ORE!$E:$E,$E181))</f>
        <v/>
      </c>
      <c r="G181" s="48"/>
      <c r="H181" s="33" t="str">
        <f t="shared" si="10"/>
        <v/>
      </c>
      <c r="I181" s="33" t="str">
        <f>IF($A181="","",IFERROR(SUMIFS(ASSEGNAZIONI!$F:$F,ASSEGNAZIONI!$B:$B,$D181,ASSEGNAZIONI!$C:$C,$E181),0))</f>
        <v/>
      </c>
      <c r="J181" s="33" t="str">
        <f t="shared" si="11"/>
        <v/>
      </c>
      <c r="K181" s="42"/>
      <c r="L181" s="42"/>
      <c r="M181" s="42"/>
    </row>
    <row r="182" spans="1:13" x14ac:dyDescent="0.3">
      <c r="A182" s="42"/>
      <c r="B182" s="43"/>
      <c r="C182" s="42"/>
      <c r="D182" s="42"/>
      <c r="E182" s="42"/>
      <c r="F182" s="33" t="str">
        <f>IF($A182="","",SUMIFS(ORE!$F:$F,ORE!$B:$B,$D182,ORE!$E:$E,$E182))</f>
        <v/>
      </c>
      <c r="G182" s="48"/>
      <c r="H182" s="33" t="str">
        <f t="shared" si="10"/>
        <v/>
      </c>
      <c r="I182" s="33" t="str">
        <f>IF($A182="","",IFERROR(SUMIFS(ASSEGNAZIONI!$F:$F,ASSEGNAZIONI!$B:$B,$D182,ASSEGNAZIONI!$C:$C,$E182),0))</f>
        <v/>
      </c>
      <c r="J182" s="33" t="str">
        <f t="shared" si="11"/>
        <v/>
      </c>
      <c r="K182" s="42"/>
      <c r="L182" s="42"/>
      <c r="M182" s="42"/>
    </row>
    <row r="183" spans="1:13" x14ac:dyDescent="0.3">
      <c r="A183" s="42"/>
      <c r="B183" s="43"/>
      <c r="C183" s="42"/>
      <c r="D183" s="42"/>
      <c r="E183" s="42"/>
      <c r="F183" s="33" t="str">
        <f>IF($A183="","",SUMIFS(ORE!$F:$F,ORE!$B:$B,$D183,ORE!$E:$E,$E183))</f>
        <v/>
      </c>
      <c r="G183" s="48"/>
      <c r="H183" s="33" t="str">
        <f t="shared" si="10"/>
        <v/>
      </c>
      <c r="I183" s="33" t="str">
        <f>IF($A183="","",IFERROR(SUMIFS(ASSEGNAZIONI!$F:$F,ASSEGNAZIONI!$B:$B,$D183,ASSEGNAZIONI!$C:$C,$E183),0))</f>
        <v/>
      </c>
      <c r="J183" s="33" t="str">
        <f t="shared" si="11"/>
        <v/>
      </c>
      <c r="K183" s="42"/>
      <c r="L183" s="42"/>
      <c r="M183" s="42"/>
    </row>
    <row r="184" spans="1:13" x14ac:dyDescent="0.3">
      <c r="A184" s="42"/>
      <c r="B184" s="43"/>
      <c r="C184" s="42"/>
      <c r="D184" s="42"/>
      <c r="E184" s="42"/>
      <c r="F184" s="33" t="str">
        <f>IF($A184="","",SUMIFS(ORE!$F:$F,ORE!$B:$B,$D184,ORE!$E:$E,$E184))</f>
        <v/>
      </c>
      <c r="G184" s="48"/>
      <c r="H184" s="33" t="str">
        <f t="shared" si="10"/>
        <v/>
      </c>
      <c r="I184" s="33" t="str">
        <f>IF($A184="","",IFERROR(SUMIFS(ASSEGNAZIONI!$F:$F,ASSEGNAZIONI!$B:$B,$D184,ASSEGNAZIONI!$C:$C,$E184),0))</f>
        <v/>
      </c>
      <c r="J184" s="33" t="str">
        <f t="shared" si="11"/>
        <v/>
      </c>
      <c r="K184" s="42"/>
      <c r="L184" s="42"/>
      <c r="M184" s="42"/>
    </row>
    <row r="185" spans="1:13" x14ac:dyDescent="0.3">
      <c r="A185" s="42"/>
      <c r="B185" s="43"/>
      <c r="C185" s="42"/>
      <c r="D185" s="42"/>
      <c r="E185" s="42"/>
      <c r="F185" s="33" t="str">
        <f>IF($A185="","",SUMIFS(ORE!$F:$F,ORE!$B:$B,$D185,ORE!$E:$E,$E185))</f>
        <v/>
      </c>
      <c r="G185" s="48"/>
      <c r="H185" s="33" t="str">
        <f t="shared" si="10"/>
        <v/>
      </c>
      <c r="I185" s="33" t="str">
        <f>IF($A185="","",IFERROR(SUMIFS(ASSEGNAZIONI!$F:$F,ASSEGNAZIONI!$B:$B,$D185,ASSEGNAZIONI!$C:$C,$E185),0))</f>
        <v/>
      </c>
      <c r="J185" s="33" t="str">
        <f t="shared" si="11"/>
        <v/>
      </c>
      <c r="K185" s="42"/>
      <c r="L185" s="42"/>
      <c r="M185" s="42"/>
    </row>
    <row r="186" spans="1:13" x14ac:dyDescent="0.3">
      <c r="A186" s="42"/>
      <c r="B186" s="43"/>
      <c r="C186" s="42"/>
      <c r="D186" s="42"/>
      <c r="E186" s="42"/>
      <c r="F186" s="33" t="str">
        <f>IF($A186="","",SUMIFS(ORE!$F:$F,ORE!$B:$B,$D186,ORE!$E:$E,$E186))</f>
        <v/>
      </c>
      <c r="G186" s="48"/>
      <c r="H186" s="33" t="str">
        <f t="shared" si="10"/>
        <v/>
      </c>
      <c r="I186" s="33" t="str">
        <f>IF($A186="","",IFERROR(SUMIFS(ASSEGNAZIONI!$F:$F,ASSEGNAZIONI!$B:$B,$D186,ASSEGNAZIONI!$C:$C,$E186),0))</f>
        <v/>
      </c>
      <c r="J186" s="33" t="str">
        <f t="shared" si="11"/>
        <v/>
      </c>
      <c r="K186" s="42"/>
      <c r="L186" s="42"/>
      <c r="M186" s="42"/>
    </row>
    <row r="187" spans="1:13" x14ac:dyDescent="0.3">
      <c r="A187" s="42"/>
      <c r="B187" s="43"/>
      <c r="C187" s="42"/>
      <c r="D187" s="42"/>
      <c r="E187" s="42"/>
      <c r="F187" s="33" t="str">
        <f>IF($A187="","",SUMIFS(ORE!$F:$F,ORE!$B:$B,$D187,ORE!$E:$E,$E187))</f>
        <v/>
      </c>
      <c r="G187" s="48"/>
      <c r="H187" s="33" t="str">
        <f t="shared" si="10"/>
        <v/>
      </c>
      <c r="I187" s="33" t="str">
        <f>IF($A187="","",IFERROR(SUMIFS(ASSEGNAZIONI!$F:$F,ASSEGNAZIONI!$B:$B,$D187,ASSEGNAZIONI!$C:$C,$E187),0))</f>
        <v/>
      </c>
      <c r="J187" s="33" t="str">
        <f t="shared" si="11"/>
        <v/>
      </c>
      <c r="K187" s="42"/>
      <c r="L187" s="42"/>
      <c r="M187" s="42"/>
    </row>
    <row r="188" spans="1:13" x14ac:dyDescent="0.3">
      <c r="A188" s="42"/>
      <c r="B188" s="43"/>
      <c r="C188" s="42"/>
      <c r="D188" s="42"/>
      <c r="E188" s="42"/>
      <c r="F188" s="33" t="str">
        <f>IF($A188="","",SUMIFS(ORE!$F:$F,ORE!$B:$B,$D188,ORE!$E:$E,$E188))</f>
        <v/>
      </c>
      <c r="G188" s="48"/>
      <c r="H188" s="33" t="str">
        <f t="shared" si="10"/>
        <v/>
      </c>
      <c r="I188" s="33" t="str">
        <f>IF($A188="","",IFERROR(SUMIFS(ASSEGNAZIONI!$F:$F,ASSEGNAZIONI!$B:$B,$D188,ASSEGNAZIONI!$C:$C,$E188),0))</f>
        <v/>
      </c>
      <c r="J188" s="33" t="str">
        <f t="shared" si="11"/>
        <v/>
      </c>
      <c r="K188" s="42"/>
      <c r="L188" s="42"/>
      <c r="M188" s="42"/>
    </row>
    <row r="189" spans="1:13" x14ac:dyDescent="0.3">
      <c r="A189" s="42"/>
      <c r="B189" s="43"/>
      <c r="C189" s="42"/>
      <c r="D189" s="42"/>
      <c r="E189" s="42"/>
      <c r="F189" s="33" t="str">
        <f>IF($A189="","",SUMIFS(ORE!$F:$F,ORE!$B:$B,$D189,ORE!$E:$E,$E189))</f>
        <v/>
      </c>
      <c r="G189" s="48"/>
      <c r="H189" s="33" t="str">
        <f t="shared" si="10"/>
        <v/>
      </c>
      <c r="I189" s="33" t="str">
        <f>IF($A189="","",IFERROR(SUMIFS(ASSEGNAZIONI!$F:$F,ASSEGNAZIONI!$B:$B,$D189,ASSEGNAZIONI!$C:$C,$E189),0))</f>
        <v/>
      </c>
      <c r="J189" s="33" t="str">
        <f t="shared" si="11"/>
        <v/>
      </c>
      <c r="K189" s="42"/>
      <c r="L189" s="42"/>
      <c r="M189" s="42"/>
    </row>
    <row r="190" spans="1:13" x14ac:dyDescent="0.3">
      <c r="A190" s="42"/>
      <c r="B190" s="43"/>
      <c r="C190" s="42"/>
      <c r="D190" s="42"/>
      <c r="E190" s="42"/>
      <c r="F190" s="33" t="str">
        <f>IF($A190="","",SUMIFS(ORE!$F:$F,ORE!$B:$B,$D190,ORE!$E:$E,$E190))</f>
        <v/>
      </c>
      <c r="G190" s="48"/>
      <c r="H190" s="33" t="str">
        <f t="shared" si="10"/>
        <v/>
      </c>
      <c r="I190" s="33" t="str">
        <f>IF($A190="","",IFERROR(SUMIFS(ASSEGNAZIONI!$F:$F,ASSEGNAZIONI!$B:$B,$D190,ASSEGNAZIONI!$C:$C,$E190),0))</f>
        <v/>
      </c>
      <c r="J190" s="33" t="str">
        <f t="shared" si="11"/>
        <v/>
      </c>
      <c r="K190" s="42"/>
      <c r="L190" s="42"/>
      <c r="M190" s="42"/>
    </row>
    <row r="191" spans="1:13" x14ac:dyDescent="0.3">
      <c r="A191" s="42"/>
      <c r="B191" s="43"/>
      <c r="C191" s="42"/>
      <c r="D191" s="42"/>
      <c r="E191" s="42"/>
      <c r="F191" s="33" t="str">
        <f>IF($A191="","",SUMIFS(ORE!$F:$F,ORE!$B:$B,$D191,ORE!$E:$E,$E191))</f>
        <v/>
      </c>
      <c r="G191" s="48"/>
      <c r="H191" s="33" t="str">
        <f t="shared" si="10"/>
        <v/>
      </c>
      <c r="I191" s="33" t="str">
        <f>IF($A191="","",IFERROR(SUMIFS(ASSEGNAZIONI!$F:$F,ASSEGNAZIONI!$B:$B,$D191,ASSEGNAZIONI!$C:$C,$E191),0))</f>
        <v/>
      </c>
      <c r="J191" s="33" t="str">
        <f t="shared" si="11"/>
        <v/>
      </c>
      <c r="K191" s="42"/>
      <c r="L191" s="42"/>
      <c r="M191" s="42"/>
    </row>
    <row r="192" spans="1:13" x14ac:dyDescent="0.3">
      <c r="A192" s="42"/>
      <c r="B192" s="43"/>
      <c r="C192" s="42"/>
      <c r="D192" s="42"/>
      <c r="E192" s="42"/>
      <c r="F192" s="33" t="str">
        <f>IF($A192="","",SUMIFS(ORE!$F:$F,ORE!$B:$B,$D192,ORE!$E:$E,$E192))</f>
        <v/>
      </c>
      <c r="G192" s="48"/>
      <c r="H192" s="33" t="str">
        <f t="shared" si="10"/>
        <v/>
      </c>
      <c r="I192" s="33" t="str">
        <f>IF($A192="","",IFERROR(SUMIFS(ASSEGNAZIONI!$F:$F,ASSEGNAZIONI!$B:$B,$D192,ASSEGNAZIONI!$C:$C,$E192),0))</f>
        <v/>
      </c>
      <c r="J192" s="33" t="str">
        <f t="shared" si="11"/>
        <v/>
      </c>
      <c r="K192" s="42"/>
      <c r="L192" s="42"/>
      <c r="M192" s="42"/>
    </row>
    <row r="193" spans="1:13" x14ac:dyDescent="0.3">
      <c r="A193" s="42"/>
      <c r="B193" s="43"/>
      <c r="C193" s="42"/>
      <c r="D193" s="42"/>
      <c r="E193" s="42"/>
      <c r="F193" s="33" t="str">
        <f>IF($A193="","",SUMIFS(ORE!$F:$F,ORE!$B:$B,$D193,ORE!$E:$E,$E193))</f>
        <v/>
      </c>
      <c r="G193" s="48"/>
      <c r="H193" s="33" t="str">
        <f t="shared" si="10"/>
        <v/>
      </c>
      <c r="I193" s="33" t="str">
        <f>IF($A193="","",IFERROR(SUMIFS(ASSEGNAZIONI!$F:$F,ASSEGNAZIONI!$B:$B,$D193,ASSEGNAZIONI!$C:$C,$E193),0))</f>
        <v/>
      </c>
      <c r="J193" s="33" t="str">
        <f t="shared" si="11"/>
        <v/>
      </c>
      <c r="K193" s="42"/>
      <c r="L193" s="42"/>
      <c r="M193" s="42"/>
    </row>
    <row r="194" spans="1:13" x14ac:dyDescent="0.3">
      <c r="A194" s="42"/>
      <c r="B194" s="43"/>
      <c r="C194" s="42"/>
      <c r="D194" s="42"/>
      <c r="E194" s="42"/>
      <c r="F194" s="33" t="str">
        <f>IF($A194="","",SUMIFS(ORE!$F:$F,ORE!$B:$B,$D194,ORE!$E:$E,$E194))</f>
        <v/>
      </c>
      <c r="G194" s="48"/>
      <c r="H194" s="33" t="str">
        <f t="shared" ref="H194:H201" si="12">IF($A194="","",$F194+$G194)</f>
        <v/>
      </c>
      <c r="I194" s="33" t="str">
        <f>IF($A194="","",IFERROR(SUMIFS(ASSEGNAZIONI!$F:$F,ASSEGNAZIONI!$B:$B,$D194,ASSEGNAZIONI!$C:$C,$E194),0))</f>
        <v/>
      </c>
      <c r="J194" s="33" t="str">
        <f t="shared" ref="J194:J201" si="13">IF($A194="","",$H194-$I194)</f>
        <v/>
      </c>
      <c r="K194" s="42"/>
      <c r="L194" s="42"/>
      <c r="M194" s="42"/>
    </row>
    <row r="195" spans="1:13" x14ac:dyDescent="0.3">
      <c r="A195" s="42"/>
      <c r="B195" s="43"/>
      <c r="C195" s="42"/>
      <c r="D195" s="42"/>
      <c r="E195" s="42"/>
      <c r="F195" s="33" t="str">
        <f>IF($A195="","",SUMIFS(ORE!$F:$F,ORE!$B:$B,$D195,ORE!$E:$E,$E195))</f>
        <v/>
      </c>
      <c r="G195" s="48"/>
      <c r="H195" s="33" t="str">
        <f t="shared" si="12"/>
        <v/>
      </c>
      <c r="I195" s="33" t="str">
        <f>IF($A195="","",IFERROR(SUMIFS(ASSEGNAZIONI!$F:$F,ASSEGNAZIONI!$B:$B,$D195,ASSEGNAZIONI!$C:$C,$E195),0))</f>
        <v/>
      </c>
      <c r="J195" s="33" t="str">
        <f t="shared" si="13"/>
        <v/>
      </c>
      <c r="K195" s="42"/>
      <c r="L195" s="42"/>
      <c r="M195" s="42"/>
    </row>
    <row r="196" spans="1:13" x14ac:dyDescent="0.3">
      <c r="A196" s="42"/>
      <c r="B196" s="43"/>
      <c r="C196" s="42"/>
      <c r="D196" s="42"/>
      <c r="E196" s="42"/>
      <c r="F196" s="33" t="str">
        <f>IF($A196="","",SUMIFS(ORE!$F:$F,ORE!$B:$B,$D196,ORE!$E:$E,$E196))</f>
        <v/>
      </c>
      <c r="G196" s="48"/>
      <c r="H196" s="33" t="str">
        <f t="shared" si="12"/>
        <v/>
      </c>
      <c r="I196" s="33" t="str">
        <f>IF($A196="","",IFERROR(SUMIFS(ASSEGNAZIONI!$F:$F,ASSEGNAZIONI!$B:$B,$D196,ASSEGNAZIONI!$C:$C,$E196),0))</f>
        <v/>
      </c>
      <c r="J196" s="33" t="str">
        <f t="shared" si="13"/>
        <v/>
      </c>
      <c r="K196" s="42"/>
      <c r="L196" s="42"/>
      <c r="M196" s="42"/>
    </row>
    <row r="197" spans="1:13" x14ac:dyDescent="0.3">
      <c r="A197" s="42"/>
      <c r="B197" s="43"/>
      <c r="C197" s="42"/>
      <c r="D197" s="42"/>
      <c r="E197" s="42"/>
      <c r="F197" s="33" t="str">
        <f>IF($A197="","",SUMIFS(ORE!$F:$F,ORE!$B:$B,$D197,ORE!$E:$E,$E197))</f>
        <v/>
      </c>
      <c r="G197" s="48"/>
      <c r="H197" s="33" t="str">
        <f t="shared" si="12"/>
        <v/>
      </c>
      <c r="I197" s="33" t="str">
        <f>IF($A197="","",IFERROR(SUMIFS(ASSEGNAZIONI!$F:$F,ASSEGNAZIONI!$B:$B,$D197,ASSEGNAZIONI!$C:$C,$E197),0))</f>
        <v/>
      </c>
      <c r="J197" s="33" t="str">
        <f t="shared" si="13"/>
        <v/>
      </c>
      <c r="K197" s="42"/>
      <c r="L197" s="42"/>
      <c r="M197" s="42"/>
    </row>
    <row r="198" spans="1:13" x14ac:dyDescent="0.3">
      <c r="A198" s="42"/>
      <c r="B198" s="43"/>
      <c r="C198" s="42"/>
      <c r="D198" s="42"/>
      <c r="E198" s="42"/>
      <c r="F198" s="33" t="str">
        <f>IF($A198="","",SUMIFS(ORE!$F:$F,ORE!$B:$B,$D198,ORE!$E:$E,$E198))</f>
        <v/>
      </c>
      <c r="G198" s="48"/>
      <c r="H198" s="33" t="str">
        <f t="shared" si="12"/>
        <v/>
      </c>
      <c r="I198" s="33" t="str">
        <f>IF($A198="","",IFERROR(SUMIFS(ASSEGNAZIONI!$F:$F,ASSEGNAZIONI!$B:$B,$D198,ASSEGNAZIONI!$C:$C,$E198),0))</f>
        <v/>
      </c>
      <c r="J198" s="33" t="str">
        <f t="shared" si="13"/>
        <v/>
      </c>
      <c r="K198" s="42"/>
      <c r="L198" s="42"/>
      <c r="M198" s="42"/>
    </row>
    <row r="199" spans="1:13" x14ac:dyDescent="0.3">
      <c r="A199" s="42"/>
      <c r="B199" s="43"/>
      <c r="C199" s="42"/>
      <c r="D199" s="42"/>
      <c r="E199" s="42"/>
      <c r="F199" s="33" t="str">
        <f>IF($A199="","",SUMIFS(ORE!$F:$F,ORE!$B:$B,$D199,ORE!$E:$E,$E199))</f>
        <v/>
      </c>
      <c r="G199" s="48"/>
      <c r="H199" s="33" t="str">
        <f t="shared" si="12"/>
        <v/>
      </c>
      <c r="I199" s="33" t="str">
        <f>IF($A199="","",IFERROR(SUMIFS(ASSEGNAZIONI!$F:$F,ASSEGNAZIONI!$B:$B,$D199,ASSEGNAZIONI!$C:$C,$E199),0))</f>
        <v/>
      </c>
      <c r="J199" s="33" t="str">
        <f t="shared" si="13"/>
        <v/>
      </c>
      <c r="K199" s="42"/>
      <c r="L199" s="42"/>
      <c r="M199" s="42"/>
    </row>
    <row r="200" spans="1:13" x14ac:dyDescent="0.3">
      <c r="A200" s="42"/>
      <c r="B200" s="43"/>
      <c r="C200" s="42"/>
      <c r="D200" s="42"/>
      <c r="E200" s="42"/>
      <c r="F200" s="33" t="str">
        <f>IF($A200="","",SUMIFS(ORE!$F:$F,ORE!$B:$B,$D200,ORE!$E:$E,$E200))</f>
        <v/>
      </c>
      <c r="G200" s="48"/>
      <c r="H200" s="33" t="str">
        <f t="shared" si="12"/>
        <v/>
      </c>
      <c r="I200" s="33" t="str">
        <f>IF($A200="","",IFERROR(SUMIFS(ASSEGNAZIONI!$F:$F,ASSEGNAZIONI!$B:$B,$D200,ASSEGNAZIONI!$C:$C,$E200),0))</f>
        <v/>
      </c>
      <c r="J200" s="33" t="str">
        <f t="shared" si="13"/>
        <v/>
      </c>
      <c r="K200" s="42"/>
      <c r="L200" s="42"/>
      <c r="M200" s="42"/>
    </row>
    <row r="201" spans="1:13" x14ac:dyDescent="0.3">
      <c r="A201" s="42"/>
      <c r="B201" s="43"/>
      <c r="C201" s="42"/>
      <c r="D201" s="42"/>
      <c r="E201" s="42"/>
      <c r="F201" s="33" t="str">
        <f>IF($A201="","",SUMIFS(ORE!$F:$F,ORE!$B:$B,$D201,ORE!$E:$E,$E201))</f>
        <v/>
      </c>
      <c r="G201" s="48"/>
      <c r="H201" s="33" t="str">
        <f t="shared" si="12"/>
        <v/>
      </c>
      <c r="I201" s="33" t="str">
        <f>IF($A201="","",IFERROR(SUMIFS(ASSEGNAZIONI!$F:$F,ASSEGNAZIONI!$B:$B,$D201,ASSEGNAZIONI!$C:$C,$E201),0))</f>
        <v/>
      </c>
      <c r="J201" s="33" t="str">
        <f t="shared" si="13"/>
        <v/>
      </c>
      <c r="K201" s="42"/>
      <c r="L201" s="42"/>
      <c r="M201" s="42"/>
    </row>
  </sheetData>
  <dataValidations count="1">
    <dataValidation type="list" allowBlank="1" sqref="L2:L201 E2:E201" xr:uid="{00000000-0002-0000-0B00-000001000000}">
      <formula1>L_PERSONA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B00-000000000000}">
          <x14:formula1>
            <xm:f>SERVIZI!$A$2:$A$201</xm:f>
          </x14:formula1>
          <x14:formula2>
            <xm:f>0</xm:f>
          </x14:formula2>
          <xm:sqref>D2:D201</xm:sqref>
        </x14:dataValidation>
        <x14:dataValidation type="list" allowBlank="1" xr:uid="{00000000-0002-0000-0B00-000002000000}">
          <x14:formula1>
            <xm:f>LISTE!$H$2:$H$3</xm:f>
          </x14:formula1>
          <x14:formula2>
            <xm:f>0</xm:f>
          </x14:formula2>
          <xm:sqref>K2:K201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3">
    <tabColor rgb="FF1F3864"/>
  </sheetPr>
  <dimension ref="A1:J41"/>
  <sheetViews>
    <sheetView showGridLines="0" zoomScaleNormal="100" workbookViewId="0">
      <pane ySplit="1" topLeftCell="A2" activePane="bottomLeft" state="frozen"/>
      <selection pane="bottomLeft" activeCell="B7" sqref="B7"/>
    </sheetView>
  </sheetViews>
  <sheetFormatPr defaultColWidth="8.6640625" defaultRowHeight="14.4" x14ac:dyDescent="0.3"/>
  <cols>
    <col min="1" max="1" width="26" customWidth="1"/>
    <col min="2" max="2" width="20" customWidth="1"/>
    <col min="3" max="3" width="15" customWidth="1"/>
    <col min="4" max="4" width="17" customWidth="1"/>
    <col min="5" max="5" width="16" customWidth="1"/>
    <col min="6" max="6" width="33.33203125" customWidth="1"/>
    <col min="7" max="7" width="11" customWidth="1"/>
    <col min="8" max="8" width="34" customWidth="1"/>
  </cols>
  <sheetData>
    <row r="1" spans="1:10" ht="36" customHeight="1" x14ac:dyDescent="0.3">
      <c r="A1" s="41" t="s">
        <v>185</v>
      </c>
      <c r="B1" s="41" t="s">
        <v>293</v>
      </c>
      <c r="C1" s="41" t="s">
        <v>349</v>
      </c>
      <c r="D1" s="41" t="s">
        <v>350</v>
      </c>
      <c r="E1" s="41" t="s">
        <v>444</v>
      </c>
      <c r="F1" s="41" t="s">
        <v>445</v>
      </c>
      <c r="G1" s="41" t="s">
        <v>446</v>
      </c>
      <c r="H1" s="41" t="s">
        <v>157</v>
      </c>
      <c r="J1" s="2" t="s">
        <v>447</v>
      </c>
    </row>
    <row r="2" spans="1:10" x14ac:dyDescent="0.3">
      <c r="A2" s="42" t="s">
        <v>914</v>
      </c>
      <c r="B2" s="42" t="s">
        <v>360</v>
      </c>
      <c r="C2" s="47">
        <f>IF($A2="","",IFERROR(INDEX(LISTE!$N:$N,MATCH($B2,LISTE!$M:$M,0)),0))</f>
        <v>38</v>
      </c>
      <c r="D2" s="47">
        <f>IF($A2="","",IFERROR(INDEX(LISTE!$O:$O,MATCH($B2,LISTE!$M:$M,0)),0))</f>
        <v>61.88</v>
      </c>
      <c r="E2" s="47">
        <f t="shared" ref="E2:E41" si="0">IF($A2="","",$D2-$C2)</f>
        <v>23.880000000000003</v>
      </c>
      <c r="F2" s="48">
        <f>8*5*4*9</f>
        <v>1440</v>
      </c>
      <c r="G2" s="42"/>
      <c r="H2" s="42"/>
      <c r="J2" s="2" t="s">
        <v>448</v>
      </c>
    </row>
    <row r="3" spans="1:10" x14ac:dyDescent="0.3">
      <c r="A3" s="42" t="s">
        <v>915</v>
      </c>
      <c r="B3" s="42" t="s">
        <v>449</v>
      </c>
      <c r="C3" s="47">
        <f>IF($A3="","",IFERROR(INDEX(LISTE!$N:$N,MATCH($B3,LISTE!$M:$M,0)),0))</f>
        <v>38</v>
      </c>
      <c r="D3" s="47">
        <f>IF($A3="","",IFERROR(INDEX(LISTE!$O:$O,MATCH($B3,LISTE!$M:$M,0)),0))</f>
        <v>61.88</v>
      </c>
      <c r="E3" s="47">
        <f t="shared" si="0"/>
        <v>23.880000000000003</v>
      </c>
      <c r="F3" s="48">
        <f>8*5*4*10</f>
        <v>1600</v>
      </c>
      <c r="G3" s="42"/>
      <c r="H3" s="42"/>
    </row>
    <row r="4" spans="1:10" x14ac:dyDescent="0.3">
      <c r="A4" s="42" t="s">
        <v>916</v>
      </c>
      <c r="B4" s="42" t="s">
        <v>449</v>
      </c>
      <c r="C4" s="47">
        <f>IF($A4="","",IFERROR(INDEX(LISTE!$N:$N,MATCH($B4,LISTE!$M:$M,0)),0))</f>
        <v>38</v>
      </c>
      <c r="D4" s="47">
        <f>IF($A4="","",IFERROR(INDEX(LISTE!$O:$O,MATCH($B4,LISTE!$M:$M,0)),0))</f>
        <v>61.88</v>
      </c>
      <c r="E4" s="47">
        <f t="shared" si="0"/>
        <v>23.880000000000003</v>
      </c>
      <c r="F4" s="48">
        <f>8*5*4*10</f>
        <v>1600</v>
      </c>
      <c r="G4" s="42"/>
      <c r="H4" s="42"/>
    </row>
    <row r="5" spans="1:10" x14ac:dyDescent="0.3">
      <c r="A5" s="42" t="s">
        <v>917</v>
      </c>
      <c r="B5" s="42" t="s">
        <v>449</v>
      </c>
      <c r="C5" s="47">
        <f>IF($A5="","",IFERROR(INDEX(LISTE!$N:$N,MATCH($B5,LISTE!$M:$M,0)),0))</f>
        <v>38</v>
      </c>
      <c r="D5" s="47">
        <f>IF($A5="","",IFERROR(INDEX(LISTE!$O:$O,MATCH($B5,LISTE!$M:$M,0)),0))</f>
        <v>61.88</v>
      </c>
      <c r="E5" s="47">
        <f t="shared" si="0"/>
        <v>23.880000000000003</v>
      </c>
      <c r="F5" s="48">
        <f>8*5*4*10</f>
        <v>1600</v>
      </c>
      <c r="G5" s="42"/>
      <c r="H5" s="42"/>
    </row>
    <row r="6" spans="1:10" x14ac:dyDescent="0.3">
      <c r="A6" s="42"/>
      <c r="B6" s="42"/>
      <c r="C6" s="47" t="str">
        <f>IF($A6="","",IFERROR(INDEX(LISTE!$N:$N,MATCH($B6,LISTE!$M:$M,0)),0))</f>
        <v/>
      </c>
      <c r="D6" s="47" t="str">
        <f>IF($A6="","",IFERROR(INDEX(LISTE!$O:$O,MATCH($B6,LISTE!$M:$M,0)),0))</f>
        <v/>
      </c>
      <c r="E6" s="47" t="str">
        <f t="shared" si="0"/>
        <v/>
      </c>
      <c r="F6" s="48"/>
      <c r="G6" s="42"/>
      <c r="H6" s="42"/>
    </row>
    <row r="7" spans="1:10" x14ac:dyDescent="0.3">
      <c r="A7" s="42"/>
      <c r="B7" s="42"/>
      <c r="C7" s="47" t="str">
        <f>IF($A7="","",IFERROR(INDEX(LISTE!$N:$N,MATCH($B7,LISTE!$M:$M,0)),0))</f>
        <v/>
      </c>
      <c r="D7" s="47" t="str">
        <f>IF($A7="","",IFERROR(INDEX(LISTE!$O:$O,MATCH($B7,LISTE!$M:$M,0)),0))</f>
        <v/>
      </c>
      <c r="E7" s="47" t="str">
        <f t="shared" si="0"/>
        <v/>
      </c>
      <c r="F7" s="48"/>
      <c r="G7" s="42"/>
      <c r="H7" s="42"/>
    </row>
    <row r="8" spans="1:10" x14ac:dyDescent="0.3">
      <c r="A8" s="42"/>
      <c r="B8" s="42"/>
      <c r="C8" s="47" t="str">
        <f>IF($A8="","",IFERROR(INDEX(LISTE!$N:$N,MATCH($B8,LISTE!$M:$M,0)),0))</f>
        <v/>
      </c>
      <c r="D8" s="47" t="str">
        <f>IF($A8="","",IFERROR(INDEX(LISTE!$O:$O,MATCH($B8,LISTE!$M:$M,0)),0))</f>
        <v/>
      </c>
      <c r="E8" s="47" t="str">
        <f t="shared" si="0"/>
        <v/>
      </c>
      <c r="F8" s="48"/>
      <c r="G8" s="42"/>
      <c r="H8" s="42"/>
    </row>
    <row r="9" spans="1:10" x14ac:dyDescent="0.3">
      <c r="A9" s="42"/>
      <c r="B9" s="42"/>
      <c r="C9" s="47" t="str">
        <f>IF($A9="","",IFERROR(INDEX(LISTE!$N:$N,MATCH($B9,LISTE!$M:$M,0)),0))</f>
        <v/>
      </c>
      <c r="D9" s="47" t="str">
        <f>IF($A9="","",IFERROR(INDEX(LISTE!$O:$O,MATCH($B9,LISTE!$M:$M,0)),0))</f>
        <v/>
      </c>
      <c r="E9" s="47" t="str">
        <f t="shared" si="0"/>
        <v/>
      </c>
      <c r="F9" s="48"/>
      <c r="G9" s="42"/>
      <c r="H9" s="42"/>
    </row>
    <row r="10" spans="1:10" x14ac:dyDescent="0.3">
      <c r="A10" s="42"/>
      <c r="B10" s="42"/>
      <c r="C10" s="47" t="str">
        <f>IF($A10="","",IFERROR(INDEX(LISTE!$N:$N,MATCH($B10,LISTE!$M:$M,0)),0))</f>
        <v/>
      </c>
      <c r="D10" s="47" t="str">
        <f>IF($A10="","",IFERROR(INDEX(LISTE!$O:$O,MATCH($B10,LISTE!$M:$M,0)),0))</f>
        <v/>
      </c>
      <c r="E10" s="47" t="str">
        <f t="shared" si="0"/>
        <v/>
      </c>
      <c r="F10" s="48"/>
      <c r="G10" s="42"/>
      <c r="H10" s="42"/>
    </row>
    <row r="11" spans="1:10" x14ac:dyDescent="0.3">
      <c r="A11" s="42"/>
      <c r="B11" s="42"/>
      <c r="C11" s="47" t="str">
        <f>IF($A11="","",IFERROR(INDEX(LISTE!$N:$N,MATCH($B11,LISTE!$M:$M,0)),0))</f>
        <v/>
      </c>
      <c r="D11" s="47" t="str">
        <f>IF($A11="","",IFERROR(INDEX(LISTE!$O:$O,MATCH($B11,LISTE!$M:$M,0)),0))</f>
        <v/>
      </c>
      <c r="E11" s="47" t="str">
        <f t="shared" si="0"/>
        <v/>
      </c>
      <c r="F11" s="48"/>
      <c r="G11" s="42"/>
      <c r="H11" s="42"/>
    </row>
    <row r="12" spans="1:10" x14ac:dyDescent="0.3">
      <c r="A12" s="42"/>
      <c r="B12" s="42"/>
      <c r="C12" s="47" t="str">
        <f>IF($A12="","",IFERROR(INDEX(LISTE!$N:$N,MATCH($B12,LISTE!$M:$M,0)),0))</f>
        <v/>
      </c>
      <c r="D12" s="47" t="str">
        <f>IF($A12="","",IFERROR(INDEX(LISTE!$O:$O,MATCH($B12,LISTE!$M:$M,0)),0))</f>
        <v/>
      </c>
      <c r="E12" s="47" t="str">
        <f t="shared" si="0"/>
        <v/>
      </c>
      <c r="F12" s="48"/>
      <c r="G12" s="42"/>
      <c r="H12" s="42"/>
    </row>
    <row r="13" spans="1:10" x14ac:dyDescent="0.3">
      <c r="A13" s="42"/>
      <c r="B13" s="42"/>
      <c r="C13" s="47" t="str">
        <f>IF($A13="","",IFERROR(INDEX(LISTE!$N:$N,MATCH($B13,LISTE!$M:$M,0)),0))</f>
        <v/>
      </c>
      <c r="D13" s="47" t="str">
        <f>IF($A13="","",IFERROR(INDEX(LISTE!$O:$O,MATCH($B13,LISTE!$M:$M,0)),0))</f>
        <v/>
      </c>
      <c r="E13" s="47" t="str">
        <f t="shared" si="0"/>
        <v/>
      </c>
      <c r="F13" s="48"/>
      <c r="G13" s="42"/>
      <c r="H13" s="42"/>
    </row>
    <row r="14" spans="1:10" x14ac:dyDescent="0.3">
      <c r="A14" s="42"/>
      <c r="B14" s="42"/>
      <c r="C14" s="47" t="str">
        <f>IF($A14="","",IFERROR(INDEX(LISTE!$N:$N,MATCH($B14,LISTE!$M:$M,0)),0))</f>
        <v/>
      </c>
      <c r="D14" s="47" t="str">
        <f>IF($A14="","",IFERROR(INDEX(LISTE!$O:$O,MATCH($B14,LISTE!$M:$M,0)),0))</f>
        <v/>
      </c>
      <c r="E14" s="47" t="str">
        <f t="shared" si="0"/>
        <v/>
      </c>
      <c r="F14" s="48"/>
      <c r="G14" s="42"/>
      <c r="H14" s="42"/>
    </row>
    <row r="15" spans="1:10" x14ac:dyDescent="0.3">
      <c r="A15" s="42"/>
      <c r="B15" s="42"/>
      <c r="C15" s="47" t="str">
        <f>IF($A15="","",IFERROR(INDEX(LISTE!$N:$N,MATCH($B15,LISTE!$M:$M,0)),0))</f>
        <v/>
      </c>
      <c r="D15" s="47" t="str">
        <f>IF($A15="","",IFERROR(INDEX(LISTE!$O:$O,MATCH($B15,LISTE!$M:$M,0)),0))</f>
        <v/>
      </c>
      <c r="E15" s="47" t="str">
        <f t="shared" si="0"/>
        <v/>
      </c>
      <c r="F15" s="48"/>
      <c r="G15" s="42"/>
      <c r="H15" s="42"/>
    </row>
    <row r="16" spans="1:10" x14ac:dyDescent="0.3">
      <c r="A16" s="42"/>
      <c r="B16" s="42"/>
      <c r="C16" s="47" t="str">
        <f>IF($A16="","",IFERROR(INDEX(LISTE!$N:$N,MATCH($B16,LISTE!$M:$M,0)),0))</f>
        <v/>
      </c>
      <c r="D16" s="47" t="str">
        <f>IF($A16="","",IFERROR(INDEX(LISTE!$O:$O,MATCH($B16,LISTE!$M:$M,0)),0))</f>
        <v/>
      </c>
      <c r="E16" s="47" t="str">
        <f t="shared" si="0"/>
        <v/>
      </c>
      <c r="F16" s="48"/>
      <c r="G16" s="42"/>
      <c r="H16" s="42"/>
    </row>
    <row r="17" spans="1:8" x14ac:dyDescent="0.3">
      <c r="A17" s="42"/>
      <c r="B17" s="42"/>
      <c r="C17" s="47" t="str">
        <f>IF($A17="","",IFERROR(INDEX(LISTE!$N:$N,MATCH($B17,LISTE!$M:$M,0)),0))</f>
        <v/>
      </c>
      <c r="D17" s="47" t="str">
        <f>IF($A17="","",IFERROR(INDEX(LISTE!$O:$O,MATCH($B17,LISTE!$M:$M,0)),0))</f>
        <v/>
      </c>
      <c r="E17" s="47" t="str">
        <f t="shared" si="0"/>
        <v/>
      </c>
      <c r="F17" s="48"/>
      <c r="G17" s="42"/>
      <c r="H17" s="42"/>
    </row>
    <row r="18" spans="1:8" x14ac:dyDescent="0.3">
      <c r="A18" s="42"/>
      <c r="B18" s="42"/>
      <c r="C18" s="47" t="str">
        <f>IF($A18="","",IFERROR(INDEX(LISTE!$N:$N,MATCH($B18,LISTE!$M:$M,0)),0))</f>
        <v/>
      </c>
      <c r="D18" s="47" t="str">
        <f>IF($A18="","",IFERROR(INDEX(LISTE!$O:$O,MATCH($B18,LISTE!$M:$M,0)),0))</f>
        <v/>
      </c>
      <c r="E18" s="47" t="str">
        <f t="shared" si="0"/>
        <v/>
      </c>
      <c r="F18" s="48"/>
      <c r="G18" s="42"/>
      <c r="H18" s="42"/>
    </row>
    <row r="19" spans="1:8" x14ac:dyDescent="0.3">
      <c r="A19" s="42"/>
      <c r="B19" s="42"/>
      <c r="C19" s="47" t="str">
        <f>IF($A19="","",IFERROR(INDEX(LISTE!$N:$N,MATCH($B19,LISTE!$M:$M,0)),0))</f>
        <v/>
      </c>
      <c r="D19" s="47" t="str">
        <f>IF($A19="","",IFERROR(INDEX(LISTE!$O:$O,MATCH($B19,LISTE!$M:$M,0)),0))</f>
        <v/>
      </c>
      <c r="E19" s="47" t="str">
        <f t="shared" si="0"/>
        <v/>
      </c>
      <c r="F19" s="48"/>
      <c r="G19" s="42"/>
      <c r="H19" s="42"/>
    </row>
    <row r="20" spans="1:8" x14ac:dyDescent="0.3">
      <c r="A20" s="42"/>
      <c r="B20" s="42"/>
      <c r="C20" s="47" t="str">
        <f>IF($A20="","",IFERROR(INDEX(LISTE!$N:$N,MATCH($B20,LISTE!$M:$M,0)),0))</f>
        <v/>
      </c>
      <c r="D20" s="47" t="str">
        <f>IF($A20="","",IFERROR(INDEX(LISTE!$O:$O,MATCH($B20,LISTE!$M:$M,0)),0))</f>
        <v/>
      </c>
      <c r="E20" s="47" t="str">
        <f t="shared" si="0"/>
        <v/>
      </c>
      <c r="F20" s="48"/>
      <c r="G20" s="42"/>
      <c r="H20" s="42"/>
    </row>
    <row r="21" spans="1:8" x14ac:dyDescent="0.3">
      <c r="A21" s="42"/>
      <c r="B21" s="42"/>
      <c r="C21" s="47" t="str">
        <f>IF($A21="","",IFERROR(INDEX(LISTE!$N:$N,MATCH($B21,LISTE!$M:$M,0)),0))</f>
        <v/>
      </c>
      <c r="D21" s="47" t="str">
        <f>IF($A21="","",IFERROR(INDEX(LISTE!$O:$O,MATCH($B21,LISTE!$M:$M,0)),0))</f>
        <v/>
      </c>
      <c r="E21" s="47" t="str">
        <f t="shared" si="0"/>
        <v/>
      </c>
      <c r="F21" s="48"/>
      <c r="G21" s="42"/>
      <c r="H21" s="42"/>
    </row>
    <row r="22" spans="1:8" x14ac:dyDescent="0.3">
      <c r="A22" s="42"/>
      <c r="B22" s="42"/>
      <c r="C22" s="47" t="str">
        <f>IF($A22="","",IFERROR(INDEX(LISTE!$N:$N,MATCH($B22,LISTE!$M:$M,0)),0))</f>
        <v/>
      </c>
      <c r="D22" s="47" t="str">
        <f>IF($A22="","",IFERROR(INDEX(LISTE!$O:$O,MATCH($B22,LISTE!$M:$M,0)),0))</f>
        <v/>
      </c>
      <c r="E22" s="47" t="str">
        <f t="shared" si="0"/>
        <v/>
      </c>
      <c r="F22" s="48"/>
      <c r="G22" s="42"/>
      <c r="H22" s="42"/>
    </row>
    <row r="23" spans="1:8" x14ac:dyDescent="0.3">
      <c r="A23" s="42"/>
      <c r="B23" s="42"/>
      <c r="C23" s="47" t="str">
        <f>IF($A23="","",IFERROR(INDEX(LISTE!$N:$N,MATCH($B23,LISTE!$M:$M,0)),0))</f>
        <v/>
      </c>
      <c r="D23" s="47" t="str">
        <f>IF($A23="","",IFERROR(INDEX(LISTE!$O:$O,MATCH($B23,LISTE!$M:$M,0)),0))</f>
        <v/>
      </c>
      <c r="E23" s="47" t="str">
        <f t="shared" si="0"/>
        <v/>
      </c>
      <c r="F23" s="48"/>
      <c r="G23" s="42"/>
      <c r="H23" s="42"/>
    </row>
    <row r="24" spans="1:8" x14ac:dyDescent="0.3">
      <c r="A24" s="42"/>
      <c r="B24" s="42"/>
      <c r="C24" s="47" t="str">
        <f>IF($A24="","",IFERROR(INDEX(LISTE!$N:$N,MATCH($B24,LISTE!$M:$M,0)),0))</f>
        <v/>
      </c>
      <c r="D24" s="47" t="str">
        <f>IF($A24="","",IFERROR(INDEX(LISTE!$O:$O,MATCH($B24,LISTE!$M:$M,0)),0))</f>
        <v/>
      </c>
      <c r="E24" s="47" t="str">
        <f t="shared" si="0"/>
        <v/>
      </c>
      <c r="F24" s="48"/>
      <c r="G24" s="42"/>
      <c r="H24" s="42"/>
    </row>
    <row r="25" spans="1:8" x14ac:dyDescent="0.3">
      <c r="A25" s="42"/>
      <c r="B25" s="42"/>
      <c r="C25" s="47" t="str">
        <f>IF($A25="","",IFERROR(INDEX(LISTE!$N:$N,MATCH($B25,LISTE!$M:$M,0)),0))</f>
        <v/>
      </c>
      <c r="D25" s="47" t="str">
        <f>IF($A25="","",IFERROR(INDEX(LISTE!$O:$O,MATCH($B25,LISTE!$M:$M,0)),0))</f>
        <v/>
      </c>
      <c r="E25" s="47" t="str">
        <f t="shared" si="0"/>
        <v/>
      </c>
      <c r="F25" s="48"/>
      <c r="G25" s="42"/>
      <c r="H25" s="42"/>
    </row>
    <row r="26" spans="1:8" x14ac:dyDescent="0.3">
      <c r="A26" s="42"/>
      <c r="B26" s="42"/>
      <c r="C26" s="47" t="str">
        <f>IF($A26="","",IFERROR(INDEX(LISTE!$N:$N,MATCH($B26,LISTE!$M:$M,0)),0))</f>
        <v/>
      </c>
      <c r="D26" s="47" t="str">
        <f>IF($A26="","",IFERROR(INDEX(LISTE!$O:$O,MATCH($B26,LISTE!$M:$M,0)),0))</f>
        <v/>
      </c>
      <c r="E26" s="47" t="str">
        <f t="shared" si="0"/>
        <v/>
      </c>
      <c r="F26" s="48"/>
      <c r="G26" s="42"/>
      <c r="H26" s="42"/>
    </row>
    <row r="27" spans="1:8" x14ac:dyDescent="0.3">
      <c r="A27" s="42"/>
      <c r="B27" s="42"/>
      <c r="C27" s="47" t="str">
        <f>IF($A27="","",IFERROR(INDEX(LISTE!$N:$N,MATCH($B27,LISTE!$M:$M,0)),0))</f>
        <v/>
      </c>
      <c r="D27" s="47" t="str">
        <f>IF($A27="","",IFERROR(INDEX(LISTE!$O:$O,MATCH($B27,LISTE!$M:$M,0)),0))</f>
        <v/>
      </c>
      <c r="E27" s="47" t="str">
        <f t="shared" si="0"/>
        <v/>
      </c>
      <c r="F27" s="48"/>
      <c r="G27" s="42"/>
      <c r="H27" s="42"/>
    </row>
    <row r="28" spans="1:8" x14ac:dyDescent="0.3">
      <c r="A28" s="42"/>
      <c r="B28" s="42"/>
      <c r="C28" s="47" t="str">
        <f>IF($A28="","",IFERROR(INDEX(LISTE!$N:$N,MATCH($B28,LISTE!$M:$M,0)),0))</f>
        <v/>
      </c>
      <c r="D28" s="47" t="str">
        <f>IF($A28="","",IFERROR(INDEX(LISTE!$O:$O,MATCH($B28,LISTE!$M:$M,0)),0))</f>
        <v/>
      </c>
      <c r="E28" s="47" t="str">
        <f t="shared" si="0"/>
        <v/>
      </c>
      <c r="F28" s="48"/>
      <c r="G28" s="42"/>
      <c r="H28" s="42"/>
    </row>
    <row r="29" spans="1:8" x14ac:dyDescent="0.3">
      <c r="A29" s="42"/>
      <c r="B29" s="42"/>
      <c r="C29" s="47" t="str">
        <f>IF($A29="","",IFERROR(INDEX(LISTE!$N:$N,MATCH($B29,LISTE!$M:$M,0)),0))</f>
        <v/>
      </c>
      <c r="D29" s="47" t="str">
        <f>IF($A29="","",IFERROR(INDEX(LISTE!$O:$O,MATCH($B29,LISTE!$M:$M,0)),0))</f>
        <v/>
      </c>
      <c r="E29" s="47" t="str">
        <f t="shared" si="0"/>
        <v/>
      </c>
      <c r="F29" s="48"/>
      <c r="G29" s="42"/>
      <c r="H29" s="42"/>
    </row>
    <row r="30" spans="1:8" x14ac:dyDescent="0.3">
      <c r="A30" s="42"/>
      <c r="B30" s="42"/>
      <c r="C30" s="47" t="str">
        <f>IF($A30="","",IFERROR(INDEX(LISTE!$N:$N,MATCH($B30,LISTE!$M:$M,0)),0))</f>
        <v/>
      </c>
      <c r="D30" s="47" t="str">
        <f>IF($A30="","",IFERROR(INDEX(LISTE!$O:$O,MATCH($B30,LISTE!$M:$M,0)),0))</f>
        <v/>
      </c>
      <c r="E30" s="47" t="str">
        <f t="shared" si="0"/>
        <v/>
      </c>
      <c r="F30" s="48"/>
      <c r="G30" s="42"/>
      <c r="H30" s="42"/>
    </row>
    <row r="31" spans="1:8" x14ac:dyDescent="0.3">
      <c r="A31" s="42"/>
      <c r="B31" s="42"/>
      <c r="C31" s="47" t="str">
        <f>IF($A31="","",IFERROR(INDEX(LISTE!$N:$N,MATCH($B31,LISTE!$M:$M,0)),0))</f>
        <v/>
      </c>
      <c r="D31" s="47" t="str">
        <f>IF($A31="","",IFERROR(INDEX(LISTE!$O:$O,MATCH($B31,LISTE!$M:$M,0)),0))</f>
        <v/>
      </c>
      <c r="E31" s="47" t="str">
        <f t="shared" si="0"/>
        <v/>
      </c>
      <c r="F31" s="48"/>
      <c r="G31" s="42"/>
      <c r="H31" s="42"/>
    </row>
    <row r="32" spans="1:8" x14ac:dyDescent="0.3">
      <c r="A32" s="42"/>
      <c r="B32" s="42"/>
      <c r="C32" s="47" t="str">
        <f>IF($A32="","",IFERROR(INDEX(LISTE!$N:$N,MATCH($B32,LISTE!$M:$M,0)),0))</f>
        <v/>
      </c>
      <c r="D32" s="47" t="str">
        <f>IF($A32="","",IFERROR(INDEX(LISTE!$O:$O,MATCH($B32,LISTE!$M:$M,0)),0))</f>
        <v/>
      </c>
      <c r="E32" s="47" t="str">
        <f t="shared" si="0"/>
        <v/>
      </c>
      <c r="F32" s="48"/>
      <c r="G32" s="42"/>
      <c r="H32" s="42"/>
    </row>
    <row r="33" spans="1:8" x14ac:dyDescent="0.3">
      <c r="A33" s="42"/>
      <c r="B33" s="42"/>
      <c r="C33" s="47" t="str">
        <f>IF($A33="","",IFERROR(INDEX(LISTE!$N:$N,MATCH($B33,LISTE!$M:$M,0)),0))</f>
        <v/>
      </c>
      <c r="D33" s="47" t="str">
        <f>IF($A33="","",IFERROR(INDEX(LISTE!$O:$O,MATCH($B33,LISTE!$M:$M,0)),0))</f>
        <v/>
      </c>
      <c r="E33" s="47" t="str">
        <f t="shared" si="0"/>
        <v/>
      </c>
      <c r="F33" s="48"/>
      <c r="G33" s="42"/>
      <c r="H33" s="42"/>
    </row>
    <row r="34" spans="1:8" x14ac:dyDescent="0.3">
      <c r="A34" s="42"/>
      <c r="B34" s="42"/>
      <c r="C34" s="47" t="str">
        <f>IF($A34="","",IFERROR(INDEX(LISTE!$N:$N,MATCH($B34,LISTE!$M:$M,0)),0))</f>
        <v/>
      </c>
      <c r="D34" s="47" t="str">
        <f>IF($A34="","",IFERROR(INDEX(LISTE!$O:$O,MATCH($B34,LISTE!$M:$M,0)),0))</f>
        <v/>
      </c>
      <c r="E34" s="47" t="str">
        <f t="shared" si="0"/>
        <v/>
      </c>
      <c r="F34" s="48"/>
      <c r="G34" s="42"/>
      <c r="H34" s="42"/>
    </row>
    <row r="35" spans="1:8" x14ac:dyDescent="0.3">
      <c r="A35" s="42"/>
      <c r="B35" s="42"/>
      <c r="C35" s="47" t="str">
        <f>IF($A35="","",IFERROR(INDEX(LISTE!$N:$N,MATCH($B35,LISTE!$M:$M,0)),0))</f>
        <v/>
      </c>
      <c r="D35" s="47" t="str">
        <f>IF($A35="","",IFERROR(INDEX(LISTE!$O:$O,MATCH($B35,LISTE!$M:$M,0)),0))</f>
        <v/>
      </c>
      <c r="E35" s="47" t="str">
        <f t="shared" si="0"/>
        <v/>
      </c>
      <c r="F35" s="48"/>
      <c r="G35" s="42"/>
      <c r="H35" s="42"/>
    </row>
    <row r="36" spans="1:8" x14ac:dyDescent="0.3">
      <c r="A36" s="42"/>
      <c r="B36" s="42"/>
      <c r="C36" s="47" t="str">
        <f>IF($A36="","",IFERROR(INDEX(LISTE!$N:$N,MATCH($B36,LISTE!$M:$M,0)),0))</f>
        <v/>
      </c>
      <c r="D36" s="47" t="str">
        <f>IF($A36="","",IFERROR(INDEX(LISTE!$O:$O,MATCH($B36,LISTE!$M:$M,0)),0))</f>
        <v/>
      </c>
      <c r="E36" s="47" t="str">
        <f t="shared" si="0"/>
        <v/>
      </c>
      <c r="F36" s="48"/>
      <c r="G36" s="42"/>
      <c r="H36" s="42"/>
    </row>
    <row r="37" spans="1:8" x14ac:dyDescent="0.3">
      <c r="A37" s="42"/>
      <c r="B37" s="42"/>
      <c r="C37" s="47" t="str">
        <f>IF($A37="","",IFERROR(INDEX(LISTE!$N:$N,MATCH($B37,LISTE!$M:$M,0)),0))</f>
        <v/>
      </c>
      <c r="D37" s="47" t="str">
        <f>IF($A37="","",IFERROR(INDEX(LISTE!$O:$O,MATCH($B37,LISTE!$M:$M,0)),0))</f>
        <v/>
      </c>
      <c r="E37" s="47" t="str">
        <f t="shared" si="0"/>
        <v/>
      </c>
      <c r="F37" s="48"/>
      <c r="G37" s="42"/>
      <c r="H37" s="42"/>
    </row>
    <row r="38" spans="1:8" x14ac:dyDescent="0.3">
      <c r="A38" s="42"/>
      <c r="B38" s="42"/>
      <c r="C38" s="47" t="str">
        <f>IF($A38="","",IFERROR(INDEX(LISTE!$N:$N,MATCH($B38,LISTE!$M:$M,0)),0))</f>
        <v/>
      </c>
      <c r="D38" s="47" t="str">
        <f>IF($A38="","",IFERROR(INDEX(LISTE!$O:$O,MATCH($B38,LISTE!$M:$M,0)),0))</f>
        <v/>
      </c>
      <c r="E38" s="47" t="str">
        <f t="shared" si="0"/>
        <v/>
      </c>
      <c r="F38" s="48"/>
      <c r="G38" s="42"/>
      <c r="H38" s="42"/>
    </row>
    <row r="39" spans="1:8" x14ac:dyDescent="0.3">
      <c r="A39" s="42"/>
      <c r="B39" s="42"/>
      <c r="C39" s="47" t="str">
        <f>IF($A39="","",IFERROR(INDEX(LISTE!$N:$N,MATCH($B39,LISTE!$M:$M,0)),0))</f>
        <v/>
      </c>
      <c r="D39" s="47" t="str">
        <f>IF($A39="","",IFERROR(INDEX(LISTE!$O:$O,MATCH($B39,LISTE!$M:$M,0)),0))</f>
        <v/>
      </c>
      <c r="E39" s="47" t="str">
        <f t="shared" si="0"/>
        <v/>
      </c>
      <c r="F39" s="48"/>
      <c r="G39" s="42"/>
      <c r="H39" s="42"/>
    </row>
    <row r="40" spans="1:8" x14ac:dyDescent="0.3">
      <c r="A40" s="42"/>
      <c r="B40" s="42"/>
      <c r="C40" s="47" t="str">
        <f>IF($A40="","",IFERROR(INDEX(LISTE!$N:$N,MATCH($B40,LISTE!$M:$M,0)),0))</f>
        <v/>
      </c>
      <c r="D40" s="47" t="str">
        <f>IF($A40="","",IFERROR(INDEX(LISTE!$O:$O,MATCH($B40,LISTE!$M:$M,0)),0))</f>
        <v/>
      </c>
      <c r="E40" s="47" t="str">
        <f t="shared" si="0"/>
        <v/>
      </c>
      <c r="F40" s="48"/>
      <c r="G40" s="42"/>
      <c r="H40" s="42"/>
    </row>
    <row r="41" spans="1:8" x14ac:dyDescent="0.3">
      <c r="A41" s="42"/>
      <c r="B41" s="42"/>
      <c r="C41" s="47" t="str">
        <f>IF($A41="","",IFERROR(INDEX(LISTE!$N:$N,MATCH($B41,LISTE!$M:$M,0)),0))</f>
        <v/>
      </c>
      <c r="D41" s="47" t="str">
        <f>IF($A41="","",IFERROR(INDEX(LISTE!$O:$O,MATCH($B41,LISTE!$M:$M,0)),0))</f>
        <v/>
      </c>
      <c r="E41" s="47" t="str">
        <f t="shared" si="0"/>
        <v/>
      </c>
      <c r="F41" s="48"/>
      <c r="G41" s="42"/>
      <c r="H41" s="42"/>
    </row>
  </sheetData>
  <dataValidations count="1">
    <dataValidation type="list" allowBlank="1" sqref="B2:B41" xr:uid="{00000000-0002-0000-0C00-000000000000}">
      <formula1>L_LIVELLO</formula1>
    </dataValidation>
  </dataValidation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C00-000001000000}">
          <x14:formula1>
            <xm:f>LISTE!$H$2:$H$3</xm:f>
          </x14:formula1>
          <x14:formula2>
            <xm:f>0</xm:f>
          </x14:formula2>
          <xm:sqref>G2:G41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4">
    <tabColor rgb="FF2E75B6"/>
  </sheetPr>
  <dimension ref="A1:I201"/>
  <sheetViews>
    <sheetView showGridLines="0" tabSelected="1" topLeftCell="B1" zoomScaleNormal="100" workbookViewId="0">
      <pane ySplit="1" topLeftCell="A2" activePane="bottomLeft" state="frozen"/>
      <selection pane="bottomLeft" activeCell="H5" sqref="H5"/>
    </sheetView>
  </sheetViews>
  <sheetFormatPr defaultColWidth="8.6640625" defaultRowHeight="14.4" x14ac:dyDescent="0.3"/>
  <cols>
    <col min="1" max="1" width="14" customWidth="1"/>
    <col min="2" max="2" width="36.21875" customWidth="1"/>
    <col min="3" max="3" width="26" customWidth="1"/>
    <col min="4" max="4" width="20" customWidth="1"/>
    <col min="5" max="5" width="35.21875" customWidth="1"/>
    <col min="6" max="6" width="16" customWidth="1"/>
    <col min="7" max="7" width="28.6640625" customWidth="1"/>
    <col min="8" max="8" width="16" customWidth="1"/>
    <col min="9" max="9" width="30" customWidth="1"/>
  </cols>
  <sheetData>
    <row r="1" spans="1:9" ht="36" customHeight="1" x14ac:dyDescent="0.3">
      <c r="A1" s="41" t="s">
        <v>452</v>
      </c>
      <c r="B1" s="41" t="s">
        <v>453</v>
      </c>
      <c r="C1" s="41" t="s">
        <v>142</v>
      </c>
      <c r="D1" s="41" t="s">
        <v>454</v>
      </c>
      <c r="E1" s="41" t="s">
        <v>455</v>
      </c>
      <c r="F1" s="41" t="s">
        <v>456</v>
      </c>
      <c r="G1" s="41" t="s">
        <v>457</v>
      </c>
      <c r="H1" s="41" t="s">
        <v>458</v>
      </c>
      <c r="I1" s="41" t="s">
        <v>157</v>
      </c>
    </row>
    <row r="2" spans="1:9" x14ac:dyDescent="0.3">
      <c r="A2" s="42" t="s">
        <v>459</v>
      </c>
      <c r="B2" s="42" t="s">
        <v>922</v>
      </c>
      <c r="C2" s="42" t="s">
        <v>918</v>
      </c>
      <c r="D2" s="42" t="s">
        <v>921</v>
      </c>
      <c r="E2" s="42" t="s">
        <v>923</v>
      </c>
      <c r="F2" s="42">
        <v>3284749721</v>
      </c>
      <c r="G2" s="42" t="s">
        <v>460</v>
      </c>
      <c r="H2" s="42">
        <v>2261500223</v>
      </c>
      <c r="I2" s="42" t="s">
        <v>924</v>
      </c>
    </row>
    <row r="3" spans="1:9" x14ac:dyDescent="0.3">
      <c r="A3" s="42" t="s">
        <v>925</v>
      </c>
      <c r="B3" s="42" t="s">
        <v>926</v>
      </c>
      <c r="C3" s="42" t="s">
        <v>918</v>
      </c>
      <c r="D3" s="42" t="s">
        <v>927</v>
      </c>
      <c r="E3" s="42" t="s">
        <v>931</v>
      </c>
      <c r="F3" s="42">
        <v>3467032553</v>
      </c>
      <c r="G3" s="42" t="s">
        <v>460</v>
      </c>
      <c r="H3" s="42">
        <v>3430200166</v>
      </c>
      <c r="I3" s="42"/>
    </row>
    <row r="4" spans="1:9" x14ac:dyDescent="0.3">
      <c r="A4" s="42" t="s">
        <v>928</v>
      </c>
      <c r="B4" s="42" t="s">
        <v>932</v>
      </c>
      <c r="C4" s="42" t="s">
        <v>918</v>
      </c>
      <c r="D4" s="42" t="s">
        <v>929</v>
      </c>
      <c r="E4" s="42" t="s">
        <v>930</v>
      </c>
      <c r="F4" s="42">
        <v>3490922909</v>
      </c>
      <c r="G4" s="42" t="s">
        <v>460</v>
      </c>
      <c r="H4" s="42">
        <v>15204851008</v>
      </c>
      <c r="I4" s="42"/>
    </row>
    <row r="5" spans="1:9" x14ac:dyDescent="0.3">
      <c r="A5" s="42" t="s">
        <v>1049</v>
      </c>
      <c r="B5" s="42" t="s">
        <v>1050</v>
      </c>
      <c r="C5" s="42" t="s">
        <v>918</v>
      </c>
      <c r="D5" s="42" t="s">
        <v>1051</v>
      </c>
      <c r="E5" s="87" t="s">
        <v>1052</v>
      </c>
      <c r="F5" s="42">
        <v>3334779250</v>
      </c>
      <c r="G5" s="42" t="s">
        <v>460</v>
      </c>
      <c r="H5" s="42"/>
      <c r="I5" s="42"/>
    </row>
    <row r="6" spans="1:9" x14ac:dyDescent="0.3">
      <c r="A6" s="42"/>
      <c r="B6" s="42"/>
      <c r="C6" s="42"/>
      <c r="D6" s="42"/>
      <c r="E6" s="42"/>
      <c r="F6" s="42"/>
      <c r="G6" s="42"/>
      <c r="H6" s="42"/>
      <c r="I6" s="42"/>
    </row>
    <row r="7" spans="1:9" x14ac:dyDescent="0.3">
      <c r="A7" s="42"/>
      <c r="B7" s="42"/>
      <c r="C7" s="42"/>
      <c r="D7" s="42"/>
      <c r="E7" s="42"/>
      <c r="F7" s="42"/>
      <c r="G7" s="42"/>
      <c r="H7" s="42"/>
      <c r="I7" s="42"/>
    </row>
    <row r="8" spans="1:9" x14ac:dyDescent="0.3">
      <c r="A8" s="42"/>
      <c r="B8" s="42"/>
      <c r="C8" s="42"/>
      <c r="D8" s="42"/>
      <c r="E8" s="42"/>
      <c r="F8" s="42"/>
      <c r="G8" s="42"/>
      <c r="H8" s="42"/>
      <c r="I8" s="42"/>
    </row>
    <row r="9" spans="1:9" x14ac:dyDescent="0.3">
      <c r="A9" s="42"/>
      <c r="B9" s="42"/>
      <c r="C9" s="42"/>
      <c r="D9" s="42"/>
      <c r="E9" s="42"/>
      <c r="F9" s="42"/>
      <c r="G9" s="42"/>
      <c r="H9" s="42"/>
      <c r="I9" s="42"/>
    </row>
    <row r="10" spans="1:9" x14ac:dyDescent="0.3">
      <c r="A10" s="42"/>
      <c r="B10" s="42"/>
      <c r="C10" s="42"/>
      <c r="D10" s="42"/>
      <c r="E10" s="42"/>
      <c r="F10" s="42"/>
      <c r="G10" s="42"/>
      <c r="H10" s="42"/>
      <c r="I10" s="42"/>
    </row>
    <row r="11" spans="1:9" x14ac:dyDescent="0.3">
      <c r="A11" s="42"/>
      <c r="B11" s="42"/>
      <c r="C11" s="42"/>
      <c r="D11" s="42"/>
      <c r="E11" s="42"/>
      <c r="F11" s="42"/>
      <c r="G11" s="42"/>
      <c r="H11" s="42"/>
      <c r="I11" s="42"/>
    </row>
    <row r="12" spans="1:9" x14ac:dyDescent="0.3">
      <c r="A12" s="42"/>
      <c r="B12" s="42"/>
      <c r="C12" s="42"/>
      <c r="D12" s="42"/>
      <c r="E12" s="42"/>
      <c r="F12" s="42"/>
      <c r="G12" s="42"/>
      <c r="H12" s="42"/>
      <c r="I12" s="42"/>
    </row>
    <row r="13" spans="1:9" x14ac:dyDescent="0.3">
      <c r="A13" s="42"/>
      <c r="B13" s="42"/>
      <c r="C13" s="42"/>
      <c r="D13" s="42"/>
      <c r="E13" s="42"/>
      <c r="F13" s="42"/>
      <c r="G13" s="42"/>
      <c r="H13" s="42"/>
      <c r="I13" s="42"/>
    </row>
    <row r="14" spans="1:9" x14ac:dyDescent="0.3">
      <c r="A14" s="42"/>
      <c r="B14" s="42"/>
      <c r="C14" s="42"/>
      <c r="D14" s="42"/>
      <c r="E14" s="42"/>
      <c r="F14" s="42"/>
      <c r="G14" s="42"/>
      <c r="H14" s="42"/>
      <c r="I14" s="42"/>
    </row>
    <row r="15" spans="1:9" x14ac:dyDescent="0.3">
      <c r="A15" s="42"/>
      <c r="B15" s="42"/>
      <c r="C15" s="42"/>
      <c r="D15" s="42"/>
      <c r="E15" s="42"/>
      <c r="F15" s="42"/>
      <c r="G15" s="42"/>
      <c r="H15" s="42"/>
      <c r="I15" s="42"/>
    </row>
    <row r="16" spans="1:9" x14ac:dyDescent="0.3">
      <c r="A16" s="42"/>
      <c r="B16" s="42"/>
      <c r="C16" s="42"/>
      <c r="D16" s="42"/>
      <c r="E16" s="42"/>
      <c r="F16" s="42"/>
      <c r="G16" s="42"/>
      <c r="H16" s="42"/>
      <c r="I16" s="42"/>
    </row>
    <row r="17" spans="1:9" x14ac:dyDescent="0.3">
      <c r="A17" s="42"/>
      <c r="B17" s="42"/>
      <c r="C17" s="42"/>
      <c r="D17" s="42"/>
      <c r="E17" s="42"/>
      <c r="F17" s="42"/>
      <c r="G17" s="42"/>
      <c r="H17" s="42"/>
      <c r="I17" s="42"/>
    </row>
    <row r="18" spans="1:9" x14ac:dyDescent="0.3">
      <c r="A18" s="42"/>
      <c r="B18" s="42"/>
      <c r="C18" s="42"/>
      <c r="D18" s="42"/>
      <c r="E18" s="42"/>
      <c r="F18" s="42"/>
      <c r="G18" s="42"/>
      <c r="H18" s="42"/>
      <c r="I18" s="42"/>
    </row>
    <row r="19" spans="1:9" x14ac:dyDescent="0.3">
      <c r="A19" s="42"/>
      <c r="B19" s="42"/>
      <c r="C19" s="42"/>
      <c r="D19" s="42"/>
      <c r="E19" s="42"/>
      <c r="F19" s="42"/>
      <c r="G19" s="42"/>
      <c r="H19" s="42"/>
      <c r="I19" s="42"/>
    </row>
    <row r="20" spans="1:9" x14ac:dyDescent="0.3">
      <c r="A20" s="42"/>
      <c r="B20" s="42"/>
      <c r="C20" s="42"/>
      <c r="D20" s="42"/>
      <c r="E20" s="42"/>
      <c r="F20" s="42"/>
      <c r="G20" s="42"/>
      <c r="H20" s="42"/>
      <c r="I20" s="42"/>
    </row>
    <row r="21" spans="1:9" x14ac:dyDescent="0.3">
      <c r="A21" s="42"/>
      <c r="B21" s="42"/>
      <c r="C21" s="42"/>
      <c r="D21" s="42"/>
      <c r="E21" s="42"/>
      <c r="F21" s="42"/>
      <c r="G21" s="42"/>
      <c r="H21" s="42"/>
      <c r="I21" s="42"/>
    </row>
    <row r="22" spans="1:9" x14ac:dyDescent="0.3">
      <c r="A22" s="42"/>
      <c r="B22" s="42"/>
      <c r="C22" s="42"/>
      <c r="D22" s="42"/>
      <c r="E22" s="42"/>
      <c r="F22" s="42"/>
      <c r="G22" s="42"/>
      <c r="H22" s="42"/>
      <c r="I22" s="42"/>
    </row>
    <row r="23" spans="1:9" x14ac:dyDescent="0.3">
      <c r="A23" s="42"/>
      <c r="B23" s="42"/>
      <c r="C23" s="42"/>
      <c r="D23" s="42"/>
      <c r="E23" s="42"/>
      <c r="F23" s="42"/>
      <c r="G23" s="42"/>
      <c r="H23" s="42"/>
      <c r="I23" s="42"/>
    </row>
    <row r="24" spans="1:9" x14ac:dyDescent="0.3">
      <c r="A24" s="42"/>
      <c r="B24" s="42"/>
      <c r="C24" s="42"/>
      <c r="D24" s="42"/>
      <c r="E24" s="42"/>
      <c r="F24" s="42"/>
      <c r="G24" s="42"/>
      <c r="H24" s="42"/>
      <c r="I24" s="42"/>
    </row>
    <row r="25" spans="1:9" x14ac:dyDescent="0.3">
      <c r="A25" s="42"/>
      <c r="B25" s="42"/>
      <c r="C25" s="42"/>
      <c r="D25" s="42"/>
      <c r="E25" s="42"/>
      <c r="F25" s="42"/>
      <c r="G25" s="42"/>
      <c r="H25" s="42"/>
      <c r="I25" s="42"/>
    </row>
    <row r="26" spans="1:9" x14ac:dyDescent="0.3">
      <c r="A26" s="42"/>
      <c r="B26" s="42"/>
      <c r="C26" s="42"/>
      <c r="D26" s="42"/>
      <c r="E26" s="42"/>
      <c r="F26" s="42"/>
      <c r="G26" s="42"/>
      <c r="H26" s="42"/>
      <c r="I26" s="42"/>
    </row>
    <row r="27" spans="1:9" x14ac:dyDescent="0.3">
      <c r="A27" s="42"/>
      <c r="B27" s="42"/>
      <c r="C27" s="42"/>
      <c r="D27" s="42"/>
      <c r="E27" s="42"/>
      <c r="F27" s="42"/>
      <c r="G27" s="42"/>
      <c r="H27" s="42"/>
      <c r="I27" s="42"/>
    </row>
    <row r="28" spans="1:9" x14ac:dyDescent="0.3">
      <c r="A28" s="42"/>
      <c r="B28" s="42"/>
      <c r="C28" s="42"/>
      <c r="D28" s="42"/>
      <c r="E28" s="42"/>
      <c r="F28" s="42"/>
      <c r="G28" s="42"/>
      <c r="H28" s="42"/>
      <c r="I28" s="42"/>
    </row>
    <row r="29" spans="1:9" x14ac:dyDescent="0.3">
      <c r="A29" s="42"/>
      <c r="B29" s="42"/>
      <c r="C29" s="42"/>
      <c r="D29" s="42"/>
      <c r="E29" s="42"/>
      <c r="F29" s="42"/>
      <c r="G29" s="42"/>
      <c r="H29" s="42"/>
      <c r="I29" s="42"/>
    </row>
    <row r="30" spans="1:9" x14ac:dyDescent="0.3">
      <c r="A30" s="42"/>
      <c r="B30" s="42"/>
      <c r="C30" s="42"/>
      <c r="D30" s="42"/>
      <c r="E30" s="42"/>
      <c r="F30" s="42"/>
      <c r="G30" s="42"/>
      <c r="H30" s="42"/>
      <c r="I30" s="42"/>
    </row>
    <row r="31" spans="1:9" x14ac:dyDescent="0.3">
      <c r="A31" s="42"/>
      <c r="B31" s="42"/>
      <c r="C31" s="42"/>
      <c r="D31" s="42"/>
      <c r="E31" s="42"/>
      <c r="F31" s="42"/>
      <c r="G31" s="42"/>
      <c r="H31" s="42"/>
      <c r="I31" s="42"/>
    </row>
    <row r="32" spans="1:9" x14ac:dyDescent="0.3">
      <c r="A32" s="42"/>
      <c r="B32" s="42"/>
      <c r="C32" s="42"/>
      <c r="D32" s="42"/>
      <c r="E32" s="42"/>
      <c r="F32" s="42"/>
      <c r="G32" s="42"/>
      <c r="H32" s="42"/>
      <c r="I32" s="42"/>
    </row>
    <row r="33" spans="1:9" x14ac:dyDescent="0.3">
      <c r="A33" s="42"/>
      <c r="B33" s="42"/>
      <c r="C33" s="42"/>
      <c r="D33" s="42"/>
      <c r="E33" s="42"/>
      <c r="F33" s="42"/>
      <c r="G33" s="42"/>
      <c r="H33" s="42"/>
      <c r="I33" s="42"/>
    </row>
    <row r="34" spans="1:9" x14ac:dyDescent="0.3">
      <c r="A34" s="42"/>
      <c r="B34" s="42"/>
      <c r="C34" s="42"/>
      <c r="D34" s="42"/>
      <c r="E34" s="42"/>
      <c r="F34" s="42"/>
      <c r="G34" s="42"/>
      <c r="H34" s="42"/>
      <c r="I34" s="42"/>
    </row>
    <row r="35" spans="1:9" x14ac:dyDescent="0.3">
      <c r="A35" s="42"/>
      <c r="B35" s="42"/>
      <c r="C35" s="42"/>
      <c r="D35" s="42"/>
      <c r="E35" s="42"/>
      <c r="F35" s="42"/>
      <c r="G35" s="42"/>
      <c r="H35" s="42"/>
      <c r="I35" s="42"/>
    </row>
    <row r="36" spans="1:9" x14ac:dyDescent="0.3">
      <c r="A36" s="42"/>
      <c r="B36" s="42"/>
      <c r="C36" s="42"/>
      <c r="D36" s="42"/>
      <c r="E36" s="42"/>
      <c r="F36" s="42"/>
      <c r="G36" s="42"/>
      <c r="H36" s="42"/>
      <c r="I36" s="42"/>
    </row>
    <row r="37" spans="1:9" x14ac:dyDescent="0.3">
      <c r="A37" s="42"/>
      <c r="B37" s="42"/>
      <c r="C37" s="42"/>
      <c r="D37" s="42"/>
      <c r="E37" s="42"/>
      <c r="F37" s="42"/>
      <c r="G37" s="42"/>
      <c r="H37" s="42"/>
      <c r="I37" s="42"/>
    </row>
    <row r="38" spans="1:9" x14ac:dyDescent="0.3">
      <c r="A38" s="42"/>
      <c r="B38" s="42"/>
      <c r="C38" s="42"/>
      <c r="D38" s="42"/>
      <c r="E38" s="42"/>
      <c r="F38" s="42"/>
      <c r="G38" s="42"/>
      <c r="H38" s="42"/>
      <c r="I38" s="42"/>
    </row>
    <row r="39" spans="1:9" x14ac:dyDescent="0.3">
      <c r="A39" s="42"/>
      <c r="B39" s="42"/>
      <c r="C39" s="42"/>
      <c r="D39" s="42"/>
      <c r="E39" s="42"/>
      <c r="F39" s="42"/>
      <c r="G39" s="42"/>
      <c r="H39" s="42"/>
      <c r="I39" s="42"/>
    </row>
    <row r="40" spans="1:9" x14ac:dyDescent="0.3">
      <c r="A40" s="42"/>
      <c r="B40" s="42"/>
      <c r="C40" s="42"/>
      <c r="D40" s="42"/>
      <c r="E40" s="42"/>
      <c r="F40" s="42"/>
      <c r="G40" s="42"/>
      <c r="H40" s="42"/>
      <c r="I40" s="42"/>
    </row>
    <row r="41" spans="1:9" x14ac:dyDescent="0.3">
      <c r="A41" s="42"/>
      <c r="B41" s="42"/>
      <c r="C41" s="42"/>
      <c r="D41" s="42"/>
      <c r="E41" s="42"/>
      <c r="F41" s="42"/>
      <c r="G41" s="42"/>
      <c r="H41" s="42"/>
      <c r="I41" s="42"/>
    </row>
    <row r="42" spans="1:9" x14ac:dyDescent="0.3">
      <c r="A42" s="42"/>
      <c r="B42" s="42"/>
      <c r="C42" s="42"/>
      <c r="D42" s="42"/>
      <c r="E42" s="42"/>
      <c r="F42" s="42"/>
      <c r="G42" s="42"/>
      <c r="H42" s="42"/>
      <c r="I42" s="42"/>
    </row>
    <row r="43" spans="1:9" x14ac:dyDescent="0.3">
      <c r="A43" s="42"/>
      <c r="B43" s="42"/>
      <c r="C43" s="42"/>
      <c r="D43" s="42"/>
      <c r="E43" s="42"/>
      <c r="F43" s="42"/>
      <c r="G43" s="42"/>
      <c r="H43" s="42"/>
      <c r="I43" s="42"/>
    </row>
    <row r="44" spans="1:9" x14ac:dyDescent="0.3">
      <c r="A44" s="42"/>
      <c r="B44" s="42"/>
      <c r="C44" s="42"/>
      <c r="D44" s="42"/>
      <c r="E44" s="42"/>
      <c r="F44" s="42"/>
      <c r="G44" s="42"/>
      <c r="H44" s="42"/>
      <c r="I44" s="42"/>
    </row>
    <row r="45" spans="1:9" x14ac:dyDescent="0.3">
      <c r="A45" s="42"/>
      <c r="B45" s="42"/>
      <c r="C45" s="42"/>
      <c r="D45" s="42"/>
      <c r="E45" s="42"/>
      <c r="F45" s="42"/>
      <c r="G45" s="42"/>
      <c r="H45" s="42"/>
      <c r="I45" s="42"/>
    </row>
    <row r="46" spans="1:9" x14ac:dyDescent="0.3">
      <c r="A46" s="42"/>
      <c r="B46" s="42"/>
      <c r="C46" s="42"/>
      <c r="D46" s="42"/>
      <c r="E46" s="42"/>
      <c r="F46" s="42"/>
      <c r="G46" s="42"/>
      <c r="H46" s="42"/>
      <c r="I46" s="42"/>
    </row>
    <row r="47" spans="1:9" x14ac:dyDescent="0.3">
      <c r="A47" s="42"/>
      <c r="B47" s="42"/>
      <c r="C47" s="42"/>
      <c r="D47" s="42"/>
      <c r="E47" s="42"/>
      <c r="F47" s="42"/>
      <c r="G47" s="42"/>
      <c r="H47" s="42"/>
      <c r="I47" s="42"/>
    </row>
    <row r="48" spans="1:9" x14ac:dyDescent="0.3">
      <c r="A48" s="42"/>
      <c r="B48" s="42"/>
      <c r="C48" s="42"/>
      <c r="D48" s="42"/>
      <c r="E48" s="42"/>
      <c r="F48" s="42"/>
      <c r="G48" s="42"/>
      <c r="H48" s="42"/>
      <c r="I48" s="42"/>
    </row>
    <row r="49" spans="1:9" x14ac:dyDescent="0.3">
      <c r="A49" s="42"/>
      <c r="B49" s="42"/>
      <c r="C49" s="42"/>
      <c r="D49" s="42"/>
      <c r="E49" s="42"/>
      <c r="F49" s="42"/>
      <c r="G49" s="42"/>
      <c r="H49" s="42"/>
      <c r="I49" s="42"/>
    </row>
    <row r="50" spans="1:9" x14ac:dyDescent="0.3">
      <c r="A50" s="42"/>
      <c r="B50" s="42"/>
      <c r="C50" s="42"/>
      <c r="D50" s="42"/>
      <c r="E50" s="42"/>
      <c r="F50" s="42"/>
      <c r="G50" s="42"/>
      <c r="H50" s="42"/>
      <c r="I50" s="42"/>
    </row>
    <row r="51" spans="1:9" x14ac:dyDescent="0.3">
      <c r="A51" s="42"/>
      <c r="B51" s="42"/>
      <c r="C51" s="42"/>
      <c r="D51" s="42"/>
      <c r="E51" s="42"/>
      <c r="F51" s="42"/>
      <c r="G51" s="42"/>
      <c r="H51" s="42"/>
      <c r="I51" s="42"/>
    </row>
    <row r="52" spans="1:9" x14ac:dyDescent="0.3">
      <c r="A52" s="42"/>
      <c r="B52" s="42"/>
      <c r="C52" s="42"/>
      <c r="D52" s="42"/>
      <c r="E52" s="42"/>
      <c r="F52" s="42"/>
      <c r="G52" s="42"/>
      <c r="H52" s="42"/>
      <c r="I52" s="42"/>
    </row>
    <row r="53" spans="1:9" x14ac:dyDescent="0.3">
      <c r="A53" s="42"/>
      <c r="B53" s="42"/>
      <c r="C53" s="42"/>
      <c r="D53" s="42"/>
      <c r="E53" s="42"/>
      <c r="F53" s="42"/>
      <c r="G53" s="42"/>
      <c r="H53" s="42"/>
      <c r="I53" s="42"/>
    </row>
    <row r="54" spans="1:9" x14ac:dyDescent="0.3">
      <c r="A54" s="42"/>
      <c r="B54" s="42"/>
      <c r="C54" s="42"/>
      <c r="D54" s="42"/>
      <c r="E54" s="42"/>
      <c r="F54" s="42"/>
      <c r="G54" s="42"/>
      <c r="H54" s="42"/>
      <c r="I54" s="42"/>
    </row>
    <row r="55" spans="1:9" x14ac:dyDescent="0.3">
      <c r="A55" s="42"/>
      <c r="B55" s="42"/>
      <c r="C55" s="42"/>
      <c r="D55" s="42"/>
      <c r="E55" s="42"/>
      <c r="F55" s="42"/>
      <c r="G55" s="42"/>
      <c r="H55" s="42"/>
      <c r="I55" s="42"/>
    </row>
    <row r="56" spans="1:9" x14ac:dyDescent="0.3">
      <c r="A56" s="42"/>
      <c r="B56" s="42"/>
      <c r="C56" s="42"/>
      <c r="D56" s="42"/>
      <c r="E56" s="42"/>
      <c r="F56" s="42"/>
      <c r="G56" s="42"/>
      <c r="H56" s="42"/>
      <c r="I56" s="42"/>
    </row>
    <row r="57" spans="1:9" x14ac:dyDescent="0.3">
      <c r="A57" s="42"/>
      <c r="B57" s="42"/>
      <c r="C57" s="42"/>
      <c r="D57" s="42"/>
      <c r="E57" s="42"/>
      <c r="F57" s="42"/>
      <c r="G57" s="42"/>
      <c r="H57" s="42"/>
      <c r="I57" s="42"/>
    </row>
    <row r="58" spans="1:9" x14ac:dyDescent="0.3">
      <c r="A58" s="42"/>
      <c r="B58" s="42"/>
      <c r="C58" s="42"/>
      <c r="D58" s="42"/>
      <c r="E58" s="42"/>
      <c r="F58" s="42"/>
      <c r="G58" s="42"/>
      <c r="H58" s="42"/>
      <c r="I58" s="42"/>
    </row>
    <row r="59" spans="1:9" x14ac:dyDescent="0.3">
      <c r="A59" s="42"/>
      <c r="B59" s="42"/>
      <c r="C59" s="42"/>
      <c r="D59" s="42"/>
      <c r="E59" s="42"/>
      <c r="F59" s="42"/>
      <c r="G59" s="42"/>
      <c r="H59" s="42"/>
      <c r="I59" s="42"/>
    </row>
    <row r="60" spans="1:9" x14ac:dyDescent="0.3">
      <c r="A60" s="42"/>
      <c r="B60" s="42"/>
      <c r="C60" s="42"/>
      <c r="D60" s="42"/>
      <c r="E60" s="42"/>
      <c r="F60" s="42"/>
      <c r="G60" s="42"/>
      <c r="H60" s="42"/>
      <c r="I60" s="42"/>
    </row>
    <row r="61" spans="1:9" x14ac:dyDescent="0.3">
      <c r="A61" s="42"/>
      <c r="B61" s="42"/>
      <c r="C61" s="42"/>
      <c r="D61" s="42"/>
      <c r="E61" s="42"/>
      <c r="F61" s="42"/>
      <c r="G61" s="42"/>
      <c r="H61" s="42"/>
      <c r="I61" s="42"/>
    </row>
    <row r="62" spans="1:9" x14ac:dyDescent="0.3">
      <c r="A62" s="42"/>
      <c r="B62" s="42"/>
      <c r="C62" s="42"/>
      <c r="D62" s="42"/>
      <c r="E62" s="42"/>
      <c r="F62" s="42"/>
      <c r="G62" s="42"/>
      <c r="H62" s="42"/>
      <c r="I62" s="42"/>
    </row>
    <row r="63" spans="1:9" x14ac:dyDescent="0.3">
      <c r="A63" s="42"/>
      <c r="B63" s="42"/>
      <c r="C63" s="42"/>
      <c r="D63" s="42"/>
      <c r="E63" s="42"/>
      <c r="F63" s="42"/>
      <c r="G63" s="42"/>
      <c r="H63" s="42"/>
      <c r="I63" s="42"/>
    </row>
    <row r="64" spans="1:9" x14ac:dyDescent="0.3">
      <c r="A64" s="42"/>
      <c r="B64" s="42"/>
      <c r="C64" s="42"/>
      <c r="D64" s="42"/>
      <c r="E64" s="42"/>
      <c r="F64" s="42"/>
      <c r="G64" s="42"/>
      <c r="H64" s="42"/>
      <c r="I64" s="42"/>
    </row>
    <row r="65" spans="1:9" x14ac:dyDescent="0.3">
      <c r="A65" s="42"/>
      <c r="B65" s="42"/>
      <c r="C65" s="42"/>
      <c r="D65" s="42"/>
      <c r="E65" s="42"/>
      <c r="F65" s="42"/>
      <c r="G65" s="42"/>
      <c r="H65" s="42"/>
      <c r="I65" s="42"/>
    </row>
    <row r="66" spans="1:9" x14ac:dyDescent="0.3">
      <c r="A66" s="42"/>
      <c r="B66" s="42"/>
      <c r="C66" s="42"/>
      <c r="D66" s="42"/>
      <c r="E66" s="42"/>
      <c r="F66" s="42"/>
      <c r="G66" s="42"/>
      <c r="H66" s="42"/>
      <c r="I66" s="42"/>
    </row>
    <row r="67" spans="1:9" x14ac:dyDescent="0.3">
      <c r="A67" s="42"/>
      <c r="B67" s="42"/>
      <c r="C67" s="42"/>
      <c r="D67" s="42"/>
      <c r="E67" s="42"/>
      <c r="F67" s="42"/>
      <c r="G67" s="42"/>
      <c r="H67" s="42"/>
      <c r="I67" s="42"/>
    </row>
    <row r="68" spans="1:9" x14ac:dyDescent="0.3">
      <c r="A68" s="42"/>
      <c r="B68" s="42"/>
      <c r="C68" s="42"/>
      <c r="D68" s="42"/>
      <c r="E68" s="42"/>
      <c r="F68" s="42"/>
      <c r="G68" s="42"/>
      <c r="H68" s="42"/>
      <c r="I68" s="42"/>
    </row>
    <row r="69" spans="1:9" x14ac:dyDescent="0.3">
      <c r="A69" s="42"/>
      <c r="B69" s="42"/>
      <c r="C69" s="42"/>
      <c r="D69" s="42"/>
      <c r="E69" s="42"/>
      <c r="F69" s="42"/>
      <c r="G69" s="42"/>
      <c r="H69" s="42"/>
      <c r="I69" s="42"/>
    </row>
    <row r="70" spans="1:9" x14ac:dyDescent="0.3">
      <c r="A70" s="42"/>
      <c r="B70" s="42"/>
      <c r="C70" s="42"/>
      <c r="D70" s="42"/>
      <c r="E70" s="42"/>
      <c r="F70" s="42"/>
      <c r="G70" s="42"/>
      <c r="H70" s="42"/>
      <c r="I70" s="42"/>
    </row>
    <row r="71" spans="1:9" x14ac:dyDescent="0.3">
      <c r="A71" s="42"/>
      <c r="B71" s="42"/>
      <c r="C71" s="42"/>
      <c r="D71" s="42"/>
      <c r="E71" s="42"/>
      <c r="F71" s="42"/>
      <c r="G71" s="42"/>
      <c r="H71" s="42"/>
      <c r="I71" s="42"/>
    </row>
    <row r="72" spans="1:9" x14ac:dyDescent="0.3">
      <c r="A72" s="42"/>
      <c r="B72" s="42"/>
      <c r="C72" s="42"/>
      <c r="D72" s="42"/>
      <c r="E72" s="42"/>
      <c r="F72" s="42"/>
      <c r="G72" s="42"/>
      <c r="H72" s="42"/>
      <c r="I72" s="42"/>
    </row>
    <row r="73" spans="1:9" x14ac:dyDescent="0.3">
      <c r="A73" s="42"/>
      <c r="B73" s="42"/>
      <c r="C73" s="42"/>
      <c r="D73" s="42"/>
      <c r="E73" s="42"/>
      <c r="F73" s="42"/>
      <c r="G73" s="42"/>
      <c r="H73" s="42"/>
      <c r="I73" s="42"/>
    </row>
    <row r="74" spans="1:9" x14ac:dyDescent="0.3">
      <c r="A74" s="42"/>
      <c r="B74" s="42"/>
      <c r="C74" s="42"/>
      <c r="D74" s="42"/>
      <c r="E74" s="42"/>
      <c r="F74" s="42"/>
      <c r="G74" s="42"/>
      <c r="H74" s="42"/>
      <c r="I74" s="42"/>
    </row>
    <row r="75" spans="1:9" x14ac:dyDescent="0.3">
      <c r="A75" s="42"/>
      <c r="B75" s="42"/>
      <c r="C75" s="42"/>
      <c r="D75" s="42"/>
      <c r="E75" s="42"/>
      <c r="F75" s="42"/>
      <c r="G75" s="42"/>
      <c r="H75" s="42"/>
      <c r="I75" s="42"/>
    </row>
    <row r="76" spans="1:9" x14ac:dyDescent="0.3">
      <c r="A76" s="42"/>
      <c r="B76" s="42"/>
      <c r="C76" s="42"/>
      <c r="D76" s="42"/>
      <c r="E76" s="42"/>
      <c r="F76" s="42"/>
      <c r="G76" s="42"/>
      <c r="H76" s="42"/>
      <c r="I76" s="42"/>
    </row>
    <row r="77" spans="1:9" x14ac:dyDescent="0.3">
      <c r="A77" s="42"/>
      <c r="B77" s="42"/>
      <c r="C77" s="42"/>
      <c r="D77" s="42"/>
      <c r="E77" s="42"/>
      <c r="F77" s="42"/>
      <c r="G77" s="42"/>
      <c r="H77" s="42"/>
      <c r="I77" s="42"/>
    </row>
    <row r="78" spans="1:9" x14ac:dyDescent="0.3">
      <c r="A78" s="42"/>
      <c r="B78" s="42"/>
      <c r="C78" s="42"/>
      <c r="D78" s="42"/>
      <c r="E78" s="42"/>
      <c r="F78" s="42"/>
      <c r="G78" s="42"/>
      <c r="H78" s="42"/>
      <c r="I78" s="42"/>
    </row>
    <row r="79" spans="1:9" x14ac:dyDescent="0.3">
      <c r="A79" s="42"/>
      <c r="B79" s="42"/>
      <c r="C79" s="42"/>
      <c r="D79" s="42"/>
      <c r="E79" s="42"/>
      <c r="F79" s="42"/>
      <c r="G79" s="42"/>
      <c r="H79" s="42"/>
      <c r="I79" s="42"/>
    </row>
    <row r="80" spans="1:9" x14ac:dyDescent="0.3">
      <c r="A80" s="42"/>
      <c r="B80" s="42"/>
      <c r="C80" s="42"/>
      <c r="D80" s="42"/>
      <c r="E80" s="42"/>
      <c r="F80" s="42"/>
      <c r="G80" s="42"/>
      <c r="H80" s="42"/>
      <c r="I80" s="42"/>
    </row>
    <row r="81" spans="1:9" x14ac:dyDescent="0.3">
      <c r="A81" s="42"/>
      <c r="B81" s="42"/>
      <c r="C81" s="42"/>
      <c r="D81" s="42"/>
      <c r="E81" s="42"/>
      <c r="F81" s="42"/>
      <c r="G81" s="42"/>
      <c r="H81" s="42"/>
      <c r="I81" s="42"/>
    </row>
    <row r="82" spans="1:9" x14ac:dyDescent="0.3">
      <c r="A82" s="42"/>
      <c r="B82" s="42"/>
      <c r="C82" s="42"/>
      <c r="D82" s="42"/>
      <c r="E82" s="42"/>
      <c r="F82" s="42"/>
      <c r="G82" s="42"/>
      <c r="H82" s="42"/>
      <c r="I82" s="42"/>
    </row>
    <row r="83" spans="1:9" x14ac:dyDescent="0.3">
      <c r="A83" s="42"/>
      <c r="B83" s="42"/>
      <c r="C83" s="42"/>
      <c r="D83" s="42"/>
      <c r="E83" s="42"/>
      <c r="F83" s="42"/>
      <c r="G83" s="42"/>
      <c r="H83" s="42"/>
      <c r="I83" s="42"/>
    </row>
    <row r="84" spans="1:9" x14ac:dyDescent="0.3">
      <c r="A84" s="42"/>
      <c r="B84" s="42"/>
      <c r="C84" s="42"/>
      <c r="D84" s="42"/>
      <c r="E84" s="42"/>
      <c r="F84" s="42"/>
      <c r="G84" s="42"/>
      <c r="H84" s="42"/>
      <c r="I84" s="42"/>
    </row>
    <row r="85" spans="1:9" x14ac:dyDescent="0.3">
      <c r="A85" s="42"/>
      <c r="B85" s="42"/>
      <c r="C85" s="42"/>
      <c r="D85" s="42"/>
      <c r="E85" s="42"/>
      <c r="F85" s="42"/>
      <c r="G85" s="42"/>
      <c r="H85" s="42"/>
      <c r="I85" s="42"/>
    </row>
    <row r="86" spans="1:9" x14ac:dyDescent="0.3">
      <c r="A86" s="42"/>
      <c r="B86" s="42"/>
      <c r="C86" s="42"/>
      <c r="D86" s="42"/>
      <c r="E86" s="42"/>
      <c r="F86" s="42"/>
      <c r="G86" s="42"/>
      <c r="H86" s="42"/>
      <c r="I86" s="42"/>
    </row>
    <row r="87" spans="1:9" x14ac:dyDescent="0.3">
      <c r="A87" s="42"/>
      <c r="B87" s="42"/>
      <c r="C87" s="42"/>
      <c r="D87" s="42"/>
      <c r="E87" s="42"/>
      <c r="F87" s="42"/>
      <c r="G87" s="42"/>
      <c r="H87" s="42"/>
      <c r="I87" s="42"/>
    </row>
    <row r="88" spans="1:9" x14ac:dyDescent="0.3">
      <c r="A88" s="42"/>
      <c r="B88" s="42"/>
      <c r="C88" s="42"/>
      <c r="D88" s="42"/>
      <c r="E88" s="42"/>
      <c r="F88" s="42"/>
      <c r="G88" s="42"/>
      <c r="H88" s="42"/>
      <c r="I88" s="42"/>
    </row>
    <row r="89" spans="1:9" x14ac:dyDescent="0.3">
      <c r="A89" s="42"/>
      <c r="B89" s="42"/>
      <c r="C89" s="42"/>
      <c r="D89" s="42"/>
      <c r="E89" s="42"/>
      <c r="F89" s="42"/>
      <c r="G89" s="42"/>
      <c r="H89" s="42"/>
      <c r="I89" s="42"/>
    </row>
    <row r="90" spans="1:9" x14ac:dyDescent="0.3">
      <c r="A90" s="42"/>
      <c r="B90" s="42"/>
      <c r="C90" s="42"/>
      <c r="D90" s="42"/>
      <c r="E90" s="42"/>
      <c r="F90" s="42"/>
      <c r="G90" s="42"/>
      <c r="H90" s="42"/>
      <c r="I90" s="42"/>
    </row>
    <row r="91" spans="1:9" x14ac:dyDescent="0.3">
      <c r="A91" s="42"/>
      <c r="B91" s="42"/>
      <c r="C91" s="42"/>
      <c r="D91" s="42"/>
      <c r="E91" s="42"/>
      <c r="F91" s="42"/>
      <c r="G91" s="42"/>
      <c r="H91" s="42"/>
      <c r="I91" s="42"/>
    </row>
    <row r="92" spans="1:9" x14ac:dyDescent="0.3">
      <c r="A92" s="42"/>
      <c r="B92" s="42"/>
      <c r="C92" s="42"/>
      <c r="D92" s="42"/>
      <c r="E92" s="42"/>
      <c r="F92" s="42"/>
      <c r="G92" s="42"/>
      <c r="H92" s="42"/>
      <c r="I92" s="42"/>
    </row>
    <row r="93" spans="1:9" x14ac:dyDescent="0.3">
      <c r="A93" s="42"/>
      <c r="B93" s="42"/>
      <c r="C93" s="42"/>
      <c r="D93" s="42"/>
      <c r="E93" s="42"/>
      <c r="F93" s="42"/>
      <c r="G93" s="42"/>
      <c r="H93" s="42"/>
      <c r="I93" s="42"/>
    </row>
    <row r="94" spans="1:9" x14ac:dyDescent="0.3">
      <c r="A94" s="42"/>
      <c r="B94" s="42"/>
      <c r="C94" s="42"/>
      <c r="D94" s="42"/>
      <c r="E94" s="42"/>
      <c r="F94" s="42"/>
      <c r="G94" s="42"/>
      <c r="H94" s="42"/>
      <c r="I94" s="42"/>
    </row>
    <row r="95" spans="1:9" x14ac:dyDescent="0.3">
      <c r="A95" s="42"/>
      <c r="B95" s="42"/>
      <c r="C95" s="42"/>
      <c r="D95" s="42"/>
      <c r="E95" s="42"/>
      <c r="F95" s="42"/>
      <c r="G95" s="42"/>
      <c r="H95" s="42"/>
      <c r="I95" s="42"/>
    </row>
    <row r="96" spans="1:9" x14ac:dyDescent="0.3">
      <c r="A96" s="42"/>
      <c r="B96" s="42"/>
      <c r="C96" s="42"/>
      <c r="D96" s="42"/>
      <c r="E96" s="42"/>
      <c r="F96" s="42"/>
      <c r="G96" s="42"/>
      <c r="H96" s="42"/>
      <c r="I96" s="42"/>
    </row>
    <row r="97" spans="1:9" x14ac:dyDescent="0.3">
      <c r="A97" s="42"/>
      <c r="B97" s="42"/>
      <c r="C97" s="42"/>
      <c r="D97" s="42"/>
      <c r="E97" s="42"/>
      <c r="F97" s="42"/>
      <c r="G97" s="42"/>
      <c r="H97" s="42"/>
      <c r="I97" s="42"/>
    </row>
    <row r="98" spans="1:9" x14ac:dyDescent="0.3">
      <c r="A98" s="42"/>
      <c r="B98" s="42"/>
      <c r="C98" s="42"/>
      <c r="D98" s="42"/>
      <c r="E98" s="42"/>
      <c r="F98" s="42"/>
      <c r="G98" s="42"/>
      <c r="H98" s="42"/>
      <c r="I98" s="42"/>
    </row>
    <row r="99" spans="1:9" x14ac:dyDescent="0.3">
      <c r="A99" s="42"/>
      <c r="B99" s="42"/>
      <c r="C99" s="42"/>
      <c r="D99" s="42"/>
      <c r="E99" s="42"/>
      <c r="F99" s="42"/>
      <c r="G99" s="42"/>
      <c r="H99" s="42"/>
      <c r="I99" s="42"/>
    </row>
    <row r="100" spans="1:9" x14ac:dyDescent="0.3">
      <c r="A100" s="42"/>
      <c r="B100" s="42"/>
      <c r="C100" s="42"/>
      <c r="D100" s="42"/>
      <c r="E100" s="42"/>
      <c r="F100" s="42"/>
      <c r="G100" s="42"/>
      <c r="H100" s="42"/>
      <c r="I100" s="42"/>
    </row>
    <row r="101" spans="1:9" x14ac:dyDescent="0.3">
      <c r="A101" s="42"/>
      <c r="B101" s="42"/>
      <c r="C101" s="42"/>
      <c r="D101" s="42"/>
      <c r="E101" s="42"/>
      <c r="F101" s="42"/>
      <c r="G101" s="42"/>
      <c r="H101" s="42"/>
      <c r="I101" s="42"/>
    </row>
    <row r="102" spans="1:9" x14ac:dyDescent="0.3">
      <c r="A102" s="42"/>
      <c r="B102" s="42"/>
      <c r="C102" s="42"/>
      <c r="D102" s="42"/>
      <c r="E102" s="42"/>
      <c r="F102" s="42"/>
      <c r="G102" s="42"/>
      <c r="H102" s="42"/>
      <c r="I102" s="42"/>
    </row>
    <row r="103" spans="1:9" x14ac:dyDescent="0.3">
      <c r="A103" s="42"/>
      <c r="B103" s="42"/>
      <c r="C103" s="42"/>
      <c r="D103" s="42"/>
      <c r="E103" s="42"/>
      <c r="F103" s="42"/>
      <c r="G103" s="42"/>
      <c r="H103" s="42"/>
      <c r="I103" s="42"/>
    </row>
    <row r="104" spans="1:9" x14ac:dyDescent="0.3">
      <c r="A104" s="42"/>
      <c r="B104" s="42"/>
      <c r="C104" s="42"/>
      <c r="D104" s="42"/>
      <c r="E104" s="42"/>
      <c r="F104" s="42"/>
      <c r="G104" s="42"/>
      <c r="H104" s="42"/>
      <c r="I104" s="42"/>
    </row>
    <row r="105" spans="1:9" x14ac:dyDescent="0.3">
      <c r="A105" s="42"/>
      <c r="B105" s="42"/>
      <c r="C105" s="42"/>
      <c r="D105" s="42"/>
      <c r="E105" s="42"/>
      <c r="F105" s="42"/>
      <c r="G105" s="42"/>
      <c r="H105" s="42"/>
      <c r="I105" s="42"/>
    </row>
    <row r="106" spans="1:9" x14ac:dyDescent="0.3">
      <c r="A106" s="42"/>
      <c r="B106" s="42"/>
      <c r="C106" s="42"/>
      <c r="D106" s="42"/>
      <c r="E106" s="42"/>
      <c r="F106" s="42"/>
      <c r="G106" s="42"/>
      <c r="H106" s="42"/>
      <c r="I106" s="42"/>
    </row>
    <row r="107" spans="1:9" x14ac:dyDescent="0.3">
      <c r="A107" s="42"/>
      <c r="B107" s="42"/>
      <c r="C107" s="42"/>
      <c r="D107" s="42"/>
      <c r="E107" s="42"/>
      <c r="F107" s="42"/>
      <c r="G107" s="42"/>
      <c r="H107" s="42"/>
      <c r="I107" s="42"/>
    </row>
    <row r="108" spans="1:9" x14ac:dyDescent="0.3">
      <c r="A108" s="42"/>
      <c r="B108" s="42"/>
      <c r="C108" s="42"/>
      <c r="D108" s="42"/>
      <c r="E108" s="42"/>
      <c r="F108" s="42"/>
      <c r="G108" s="42"/>
      <c r="H108" s="42"/>
      <c r="I108" s="42"/>
    </row>
    <row r="109" spans="1:9" x14ac:dyDescent="0.3">
      <c r="A109" s="42"/>
      <c r="B109" s="42"/>
      <c r="C109" s="42"/>
      <c r="D109" s="42"/>
      <c r="E109" s="42"/>
      <c r="F109" s="42"/>
      <c r="G109" s="42"/>
      <c r="H109" s="42"/>
      <c r="I109" s="42"/>
    </row>
    <row r="110" spans="1:9" x14ac:dyDescent="0.3">
      <c r="A110" s="42"/>
      <c r="B110" s="42"/>
      <c r="C110" s="42"/>
      <c r="D110" s="42"/>
      <c r="E110" s="42"/>
      <c r="F110" s="42"/>
      <c r="G110" s="42"/>
      <c r="H110" s="42"/>
      <c r="I110" s="42"/>
    </row>
    <row r="111" spans="1:9" x14ac:dyDescent="0.3">
      <c r="A111" s="42"/>
      <c r="B111" s="42"/>
      <c r="C111" s="42"/>
      <c r="D111" s="42"/>
      <c r="E111" s="42"/>
      <c r="F111" s="42"/>
      <c r="G111" s="42"/>
      <c r="H111" s="42"/>
      <c r="I111" s="42"/>
    </row>
    <row r="112" spans="1:9" x14ac:dyDescent="0.3">
      <c r="A112" s="42"/>
      <c r="B112" s="42"/>
      <c r="C112" s="42"/>
      <c r="D112" s="42"/>
      <c r="E112" s="42"/>
      <c r="F112" s="42"/>
      <c r="G112" s="42"/>
      <c r="H112" s="42"/>
      <c r="I112" s="42"/>
    </row>
    <row r="113" spans="1:9" x14ac:dyDescent="0.3">
      <c r="A113" s="42"/>
      <c r="B113" s="42"/>
      <c r="C113" s="42"/>
      <c r="D113" s="42"/>
      <c r="E113" s="42"/>
      <c r="F113" s="42"/>
      <c r="G113" s="42"/>
      <c r="H113" s="42"/>
      <c r="I113" s="42"/>
    </row>
    <row r="114" spans="1:9" x14ac:dyDescent="0.3">
      <c r="A114" s="42"/>
      <c r="B114" s="42"/>
      <c r="C114" s="42"/>
      <c r="D114" s="42"/>
      <c r="E114" s="42"/>
      <c r="F114" s="42"/>
      <c r="G114" s="42"/>
      <c r="H114" s="42"/>
      <c r="I114" s="42"/>
    </row>
    <row r="115" spans="1:9" x14ac:dyDescent="0.3">
      <c r="A115" s="42"/>
      <c r="B115" s="42"/>
      <c r="C115" s="42"/>
      <c r="D115" s="42"/>
      <c r="E115" s="42"/>
      <c r="F115" s="42"/>
      <c r="G115" s="42"/>
      <c r="H115" s="42"/>
      <c r="I115" s="42"/>
    </row>
    <row r="116" spans="1:9" x14ac:dyDescent="0.3">
      <c r="A116" s="42"/>
      <c r="B116" s="42"/>
      <c r="C116" s="42"/>
      <c r="D116" s="42"/>
      <c r="E116" s="42"/>
      <c r="F116" s="42"/>
      <c r="G116" s="42"/>
      <c r="H116" s="42"/>
      <c r="I116" s="42"/>
    </row>
    <row r="117" spans="1:9" x14ac:dyDescent="0.3">
      <c r="A117" s="42"/>
      <c r="B117" s="42"/>
      <c r="C117" s="42"/>
      <c r="D117" s="42"/>
      <c r="E117" s="42"/>
      <c r="F117" s="42"/>
      <c r="G117" s="42"/>
      <c r="H117" s="42"/>
      <c r="I117" s="42"/>
    </row>
    <row r="118" spans="1:9" x14ac:dyDescent="0.3">
      <c r="A118" s="42"/>
      <c r="B118" s="42"/>
      <c r="C118" s="42"/>
      <c r="D118" s="42"/>
      <c r="E118" s="42"/>
      <c r="F118" s="42"/>
      <c r="G118" s="42"/>
      <c r="H118" s="42"/>
      <c r="I118" s="42"/>
    </row>
    <row r="119" spans="1:9" x14ac:dyDescent="0.3">
      <c r="A119" s="42"/>
      <c r="B119" s="42"/>
      <c r="C119" s="42"/>
      <c r="D119" s="42"/>
      <c r="E119" s="42"/>
      <c r="F119" s="42"/>
      <c r="G119" s="42"/>
      <c r="H119" s="42"/>
      <c r="I119" s="42"/>
    </row>
    <row r="120" spans="1:9" x14ac:dyDescent="0.3">
      <c r="A120" s="42"/>
      <c r="B120" s="42"/>
      <c r="C120" s="42"/>
      <c r="D120" s="42"/>
      <c r="E120" s="42"/>
      <c r="F120" s="42"/>
      <c r="G120" s="42"/>
      <c r="H120" s="42"/>
      <c r="I120" s="42"/>
    </row>
    <row r="121" spans="1:9" x14ac:dyDescent="0.3">
      <c r="A121" s="42"/>
      <c r="B121" s="42"/>
      <c r="C121" s="42"/>
      <c r="D121" s="42"/>
      <c r="E121" s="42"/>
      <c r="F121" s="42"/>
      <c r="G121" s="42"/>
      <c r="H121" s="42"/>
      <c r="I121" s="42"/>
    </row>
    <row r="122" spans="1:9" x14ac:dyDescent="0.3">
      <c r="A122" s="42"/>
      <c r="B122" s="42"/>
      <c r="C122" s="42"/>
      <c r="D122" s="42"/>
      <c r="E122" s="42"/>
      <c r="F122" s="42"/>
      <c r="G122" s="42"/>
      <c r="H122" s="42"/>
      <c r="I122" s="42"/>
    </row>
    <row r="123" spans="1:9" x14ac:dyDescent="0.3">
      <c r="A123" s="42"/>
      <c r="B123" s="42"/>
      <c r="C123" s="42"/>
      <c r="D123" s="42"/>
      <c r="E123" s="42"/>
      <c r="F123" s="42"/>
      <c r="G123" s="42"/>
      <c r="H123" s="42"/>
      <c r="I123" s="42"/>
    </row>
    <row r="124" spans="1:9" x14ac:dyDescent="0.3">
      <c r="A124" s="42"/>
      <c r="B124" s="42"/>
      <c r="C124" s="42"/>
      <c r="D124" s="42"/>
      <c r="E124" s="42"/>
      <c r="F124" s="42"/>
      <c r="G124" s="42"/>
      <c r="H124" s="42"/>
      <c r="I124" s="42"/>
    </row>
    <row r="125" spans="1:9" x14ac:dyDescent="0.3">
      <c r="A125" s="42"/>
      <c r="B125" s="42"/>
      <c r="C125" s="42"/>
      <c r="D125" s="42"/>
      <c r="E125" s="42"/>
      <c r="F125" s="42"/>
      <c r="G125" s="42"/>
      <c r="H125" s="42"/>
      <c r="I125" s="42"/>
    </row>
    <row r="126" spans="1:9" x14ac:dyDescent="0.3">
      <c r="A126" s="42"/>
      <c r="B126" s="42"/>
      <c r="C126" s="42"/>
      <c r="D126" s="42"/>
      <c r="E126" s="42"/>
      <c r="F126" s="42"/>
      <c r="G126" s="42"/>
      <c r="H126" s="42"/>
      <c r="I126" s="42"/>
    </row>
    <row r="127" spans="1:9" x14ac:dyDescent="0.3">
      <c r="A127" s="42"/>
      <c r="B127" s="42"/>
      <c r="C127" s="42"/>
      <c r="D127" s="42"/>
      <c r="E127" s="42"/>
      <c r="F127" s="42"/>
      <c r="G127" s="42"/>
      <c r="H127" s="42"/>
      <c r="I127" s="42"/>
    </row>
    <row r="128" spans="1:9" x14ac:dyDescent="0.3">
      <c r="A128" s="42"/>
      <c r="B128" s="42"/>
      <c r="C128" s="42"/>
      <c r="D128" s="42"/>
      <c r="E128" s="42"/>
      <c r="F128" s="42"/>
      <c r="G128" s="42"/>
      <c r="H128" s="42"/>
      <c r="I128" s="42"/>
    </row>
    <row r="129" spans="1:9" x14ac:dyDescent="0.3">
      <c r="A129" s="42"/>
      <c r="B129" s="42"/>
      <c r="C129" s="42"/>
      <c r="D129" s="42"/>
      <c r="E129" s="42"/>
      <c r="F129" s="42"/>
      <c r="G129" s="42"/>
      <c r="H129" s="42"/>
      <c r="I129" s="42"/>
    </row>
    <row r="130" spans="1:9" x14ac:dyDescent="0.3">
      <c r="A130" s="42"/>
      <c r="B130" s="42"/>
      <c r="C130" s="42"/>
      <c r="D130" s="42"/>
      <c r="E130" s="42"/>
      <c r="F130" s="42"/>
      <c r="G130" s="42"/>
      <c r="H130" s="42"/>
      <c r="I130" s="42"/>
    </row>
    <row r="131" spans="1:9" x14ac:dyDescent="0.3">
      <c r="A131" s="42"/>
      <c r="B131" s="42"/>
      <c r="C131" s="42"/>
      <c r="D131" s="42"/>
      <c r="E131" s="42"/>
      <c r="F131" s="42"/>
      <c r="G131" s="42"/>
      <c r="H131" s="42"/>
      <c r="I131" s="42"/>
    </row>
    <row r="132" spans="1:9" x14ac:dyDescent="0.3">
      <c r="A132" s="42"/>
      <c r="B132" s="42"/>
      <c r="C132" s="42"/>
      <c r="D132" s="42"/>
      <c r="E132" s="42"/>
      <c r="F132" s="42"/>
      <c r="G132" s="42"/>
      <c r="H132" s="42"/>
      <c r="I132" s="42"/>
    </row>
    <row r="133" spans="1:9" x14ac:dyDescent="0.3">
      <c r="A133" s="42"/>
      <c r="B133" s="42"/>
      <c r="C133" s="42"/>
      <c r="D133" s="42"/>
      <c r="E133" s="42"/>
      <c r="F133" s="42"/>
      <c r="G133" s="42"/>
      <c r="H133" s="42"/>
      <c r="I133" s="42"/>
    </row>
    <row r="134" spans="1:9" x14ac:dyDescent="0.3">
      <c r="A134" s="42"/>
      <c r="B134" s="42"/>
      <c r="C134" s="42"/>
      <c r="D134" s="42"/>
      <c r="E134" s="42"/>
      <c r="F134" s="42"/>
      <c r="G134" s="42"/>
      <c r="H134" s="42"/>
      <c r="I134" s="42"/>
    </row>
    <row r="135" spans="1:9" x14ac:dyDescent="0.3">
      <c r="A135" s="42"/>
      <c r="B135" s="42"/>
      <c r="C135" s="42"/>
      <c r="D135" s="42"/>
      <c r="E135" s="42"/>
      <c r="F135" s="42"/>
      <c r="G135" s="42"/>
      <c r="H135" s="42"/>
      <c r="I135" s="42"/>
    </row>
    <row r="136" spans="1:9" x14ac:dyDescent="0.3">
      <c r="A136" s="42"/>
      <c r="B136" s="42"/>
      <c r="C136" s="42"/>
      <c r="D136" s="42"/>
      <c r="E136" s="42"/>
      <c r="F136" s="42"/>
      <c r="G136" s="42"/>
      <c r="H136" s="42"/>
      <c r="I136" s="42"/>
    </row>
    <row r="137" spans="1:9" x14ac:dyDescent="0.3">
      <c r="A137" s="42"/>
      <c r="B137" s="42"/>
      <c r="C137" s="42"/>
      <c r="D137" s="42"/>
      <c r="E137" s="42"/>
      <c r="F137" s="42"/>
      <c r="G137" s="42"/>
      <c r="H137" s="42"/>
      <c r="I137" s="42"/>
    </row>
    <row r="138" spans="1:9" x14ac:dyDescent="0.3">
      <c r="A138" s="42"/>
      <c r="B138" s="42"/>
      <c r="C138" s="42"/>
      <c r="D138" s="42"/>
      <c r="E138" s="42"/>
      <c r="F138" s="42"/>
      <c r="G138" s="42"/>
      <c r="H138" s="42"/>
      <c r="I138" s="42"/>
    </row>
    <row r="139" spans="1:9" x14ac:dyDescent="0.3">
      <c r="A139" s="42"/>
      <c r="B139" s="42"/>
      <c r="C139" s="42"/>
      <c r="D139" s="42"/>
      <c r="E139" s="42"/>
      <c r="F139" s="42"/>
      <c r="G139" s="42"/>
      <c r="H139" s="42"/>
      <c r="I139" s="42"/>
    </row>
    <row r="140" spans="1:9" x14ac:dyDescent="0.3">
      <c r="A140" s="42"/>
      <c r="B140" s="42"/>
      <c r="C140" s="42"/>
      <c r="D140" s="42"/>
      <c r="E140" s="42"/>
      <c r="F140" s="42"/>
      <c r="G140" s="42"/>
      <c r="H140" s="42"/>
      <c r="I140" s="42"/>
    </row>
    <row r="141" spans="1:9" x14ac:dyDescent="0.3">
      <c r="A141" s="42"/>
      <c r="B141" s="42"/>
      <c r="C141" s="42"/>
      <c r="D141" s="42"/>
      <c r="E141" s="42"/>
      <c r="F141" s="42"/>
      <c r="G141" s="42"/>
      <c r="H141" s="42"/>
      <c r="I141" s="42"/>
    </row>
    <row r="142" spans="1:9" x14ac:dyDescent="0.3">
      <c r="A142" s="42"/>
      <c r="B142" s="42"/>
      <c r="C142" s="42"/>
      <c r="D142" s="42"/>
      <c r="E142" s="42"/>
      <c r="F142" s="42"/>
      <c r="G142" s="42"/>
      <c r="H142" s="42"/>
      <c r="I142" s="42"/>
    </row>
    <row r="143" spans="1:9" x14ac:dyDescent="0.3">
      <c r="A143" s="42"/>
      <c r="B143" s="42"/>
      <c r="C143" s="42"/>
      <c r="D143" s="42"/>
      <c r="E143" s="42"/>
      <c r="F143" s="42"/>
      <c r="G143" s="42"/>
      <c r="H143" s="42"/>
      <c r="I143" s="42"/>
    </row>
    <row r="144" spans="1:9" x14ac:dyDescent="0.3">
      <c r="A144" s="42"/>
      <c r="B144" s="42"/>
      <c r="C144" s="42"/>
      <c r="D144" s="42"/>
      <c r="E144" s="42"/>
      <c r="F144" s="42"/>
      <c r="G144" s="42"/>
      <c r="H144" s="42"/>
      <c r="I144" s="42"/>
    </row>
    <row r="145" spans="1:9" x14ac:dyDescent="0.3">
      <c r="A145" s="42"/>
      <c r="B145" s="42"/>
      <c r="C145" s="42"/>
      <c r="D145" s="42"/>
      <c r="E145" s="42"/>
      <c r="F145" s="42"/>
      <c r="G145" s="42"/>
      <c r="H145" s="42"/>
      <c r="I145" s="42"/>
    </row>
    <row r="146" spans="1:9" x14ac:dyDescent="0.3">
      <c r="A146" s="42"/>
      <c r="B146" s="42"/>
      <c r="C146" s="42"/>
      <c r="D146" s="42"/>
      <c r="E146" s="42"/>
      <c r="F146" s="42"/>
      <c r="G146" s="42"/>
      <c r="H146" s="42"/>
      <c r="I146" s="42"/>
    </row>
    <row r="147" spans="1:9" x14ac:dyDescent="0.3">
      <c r="A147" s="42"/>
      <c r="B147" s="42"/>
      <c r="C147" s="42"/>
      <c r="D147" s="42"/>
      <c r="E147" s="42"/>
      <c r="F147" s="42"/>
      <c r="G147" s="42"/>
      <c r="H147" s="42"/>
      <c r="I147" s="42"/>
    </row>
    <row r="148" spans="1:9" x14ac:dyDescent="0.3">
      <c r="A148" s="42"/>
      <c r="B148" s="42"/>
      <c r="C148" s="42"/>
      <c r="D148" s="42"/>
      <c r="E148" s="42"/>
      <c r="F148" s="42"/>
      <c r="G148" s="42"/>
      <c r="H148" s="42"/>
      <c r="I148" s="42"/>
    </row>
    <row r="149" spans="1:9" x14ac:dyDescent="0.3">
      <c r="A149" s="42"/>
      <c r="B149" s="42"/>
      <c r="C149" s="42"/>
      <c r="D149" s="42"/>
      <c r="E149" s="42"/>
      <c r="F149" s="42"/>
      <c r="G149" s="42"/>
      <c r="H149" s="42"/>
      <c r="I149" s="42"/>
    </row>
    <row r="150" spans="1:9" x14ac:dyDescent="0.3">
      <c r="A150" s="42"/>
      <c r="B150" s="42"/>
      <c r="C150" s="42"/>
      <c r="D150" s="42"/>
      <c r="E150" s="42"/>
      <c r="F150" s="42"/>
      <c r="G150" s="42"/>
      <c r="H150" s="42"/>
      <c r="I150" s="42"/>
    </row>
    <row r="151" spans="1:9" x14ac:dyDescent="0.3">
      <c r="A151" s="42"/>
      <c r="B151" s="42"/>
      <c r="C151" s="42"/>
      <c r="D151" s="42"/>
      <c r="E151" s="42"/>
      <c r="F151" s="42"/>
      <c r="G151" s="42"/>
      <c r="H151" s="42"/>
      <c r="I151" s="42"/>
    </row>
    <row r="152" spans="1:9" x14ac:dyDescent="0.3">
      <c r="A152" s="42"/>
      <c r="B152" s="42"/>
      <c r="C152" s="42"/>
      <c r="D152" s="42"/>
      <c r="E152" s="42"/>
      <c r="F152" s="42"/>
      <c r="G152" s="42"/>
      <c r="H152" s="42"/>
      <c r="I152" s="42"/>
    </row>
    <row r="153" spans="1:9" x14ac:dyDescent="0.3">
      <c r="A153" s="42"/>
      <c r="B153" s="42"/>
      <c r="C153" s="42"/>
      <c r="D153" s="42"/>
      <c r="E153" s="42"/>
      <c r="F153" s="42"/>
      <c r="G153" s="42"/>
      <c r="H153" s="42"/>
      <c r="I153" s="42"/>
    </row>
    <row r="154" spans="1:9" x14ac:dyDescent="0.3">
      <c r="A154" s="42"/>
      <c r="B154" s="42"/>
      <c r="C154" s="42"/>
      <c r="D154" s="42"/>
      <c r="E154" s="42"/>
      <c r="F154" s="42"/>
      <c r="G154" s="42"/>
      <c r="H154" s="42"/>
      <c r="I154" s="42"/>
    </row>
    <row r="155" spans="1:9" x14ac:dyDescent="0.3">
      <c r="A155" s="42"/>
      <c r="B155" s="42"/>
      <c r="C155" s="42"/>
      <c r="D155" s="42"/>
      <c r="E155" s="42"/>
      <c r="F155" s="42"/>
      <c r="G155" s="42"/>
      <c r="H155" s="42"/>
      <c r="I155" s="42"/>
    </row>
    <row r="156" spans="1:9" x14ac:dyDescent="0.3">
      <c r="A156" s="42"/>
      <c r="B156" s="42"/>
      <c r="C156" s="42"/>
      <c r="D156" s="42"/>
      <c r="E156" s="42"/>
      <c r="F156" s="42"/>
      <c r="G156" s="42"/>
      <c r="H156" s="42"/>
      <c r="I156" s="42"/>
    </row>
    <row r="157" spans="1:9" x14ac:dyDescent="0.3">
      <c r="A157" s="42"/>
      <c r="B157" s="42"/>
      <c r="C157" s="42"/>
      <c r="D157" s="42"/>
      <c r="E157" s="42"/>
      <c r="F157" s="42"/>
      <c r="G157" s="42"/>
      <c r="H157" s="42"/>
      <c r="I157" s="42"/>
    </row>
    <row r="158" spans="1:9" x14ac:dyDescent="0.3">
      <c r="A158" s="42"/>
      <c r="B158" s="42"/>
      <c r="C158" s="42"/>
      <c r="D158" s="42"/>
      <c r="E158" s="42"/>
      <c r="F158" s="42"/>
      <c r="G158" s="42"/>
      <c r="H158" s="42"/>
      <c r="I158" s="42"/>
    </row>
    <row r="159" spans="1:9" x14ac:dyDescent="0.3">
      <c r="A159" s="42"/>
      <c r="B159" s="42"/>
      <c r="C159" s="42"/>
      <c r="D159" s="42"/>
      <c r="E159" s="42"/>
      <c r="F159" s="42"/>
      <c r="G159" s="42"/>
      <c r="H159" s="42"/>
      <c r="I159" s="42"/>
    </row>
    <row r="160" spans="1:9" x14ac:dyDescent="0.3">
      <c r="A160" s="42"/>
      <c r="B160" s="42"/>
      <c r="C160" s="42"/>
      <c r="D160" s="42"/>
      <c r="E160" s="42"/>
      <c r="F160" s="42"/>
      <c r="G160" s="42"/>
      <c r="H160" s="42"/>
      <c r="I160" s="42"/>
    </row>
    <row r="161" spans="1:9" x14ac:dyDescent="0.3">
      <c r="A161" s="42"/>
      <c r="B161" s="42"/>
      <c r="C161" s="42"/>
      <c r="D161" s="42"/>
      <c r="E161" s="42"/>
      <c r="F161" s="42"/>
      <c r="G161" s="42"/>
      <c r="H161" s="42"/>
      <c r="I161" s="42"/>
    </row>
    <row r="162" spans="1:9" x14ac:dyDescent="0.3">
      <c r="A162" s="42"/>
      <c r="B162" s="42"/>
      <c r="C162" s="42"/>
      <c r="D162" s="42"/>
      <c r="E162" s="42"/>
      <c r="F162" s="42"/>
      <c r="G162" s="42"/>
      <c r="H162" s="42"/>
      <c r="I162" s="42"/>
    </row>
    <row r="163" spans="1:9" x14ac:dyDescent="0.3">
      <c r="A163" s="42"/>
      <c r="B163" s="42"/>
      <c r="C163" s="42"/>
      <c r="D163" s="42"/>
      <c r="E163" s="42"/>
      <c r="F163" s="42"/>
      <c r="G163" s="42"/>
      <c r="H163" s="42"/>
      <c r="I163" s="42"/>
    </row>
    <row r="164" spans="1:9" x14ac:dyDescent="0.3">
      <c r="A164" s="42"/>
      <c r="B164" s="42"/>
      <c r="C164" s="42"/>
      <c r="D164" s="42"/>
      <c r="E164" s="42"/>
      <c r="F164" s="42"/>
      <c r="G164" s="42"/>
      <c r="H164" s="42"/>
      <c r="I164" s="42"/>
    </row>
    <row r="165" spans="1:9" x14ac:dyDescent="0.3">
      <c r="A165" s="42"/>
      <c r="B165" s="42"/>
      <c r="C165" s="42"/>
      <c r="D165" s="42"/>
      <c r="E165" s="42"/>
      <c r="F165" s="42"/>
      <c r="G165" s="42"/>
      <c r="H165" s="42"/>
      <c r="I165" s="42"/>
    </row>
    <row r="166" spans="1:9" x14ac:dyDescent="0.3">
      <c r="A166" s="42"/>
      <c r="B166" s="42"/>
      <c r="C166" s="42"/>
      <c r="D166" s="42"/>
      <c r="E166" s="42"/>
      <c r="F166" s="42"/>
      <c r="G166" s="42"/>
      <c r="H166" s="42"/>
      <c r="I166" s="42"/>
    </row>
    <row r="167" spans="1:9" x14ac:dyDescent="0.3">
      <c r="A167" s="42"/>
      <c r="B167" s="42"/>
      <c r="C167" s="42"/>
      <c r="D167" s="42"/>
      <c r="E167" s="42"/>
      <c r="F167" s="42"/>
      <c r="G167" s="42"/>
      <c r="H167" s="42"/>
      <c r="I167" s="42"/>
    </row>
    <row r="168" spans="1:9" x14ac:dyDescent="0.3">
      <c r="A168" s="42"/>
      <c r="B168" s="42"/>
      <c r="C168" s="42"/>
      <c r="D168" s="42"/>
      <c r="E168" s="42"/>
      <c r="F168" s="42"/>
      <c r="G168" s="42"/>
      <c r="H168" s="42"/>
      <c r="I168" s="42"/>
    </row>
    <row r="169" spans="1:9" x14ac:dyDescent="0.3">
      <c r="A169" s="42"/>
      <c r="B169" s="42"/>
      <c r="C169" s="42"/>
      <c r="D169" s="42"/>
      <c r="E169" s="42"/>
      <c r="F169" s="42"/>
      <c r="G169" s="42"/>
      <c r="H169" s="42"/>
      <c r="I169" s="42"/>
    </row>
    <row r="170" spans="1:9" x14ac:dyDescent="0.3">
      <c r="A170" s="42"/>
      <c r="B170" s="42"/>
      <c r="C170" s="42"/>
      <c r="D170" s="42"/>
      <c r="E170" s="42"/>
      <c r="F170" s="42"/>
      <c r="G170" s="42"/>
      <c r="H170" s="42"/>
      <c r="I170" s="42"/>
    </row>
    <row r="171" spans="1:9" x14ac:dyDescent="0.3">
      <c r="A171" s="42"/>
      <c r="B171" s="42"/>
      <c r="C171" s="42"/>
      <c r="D171" s="42"/>
      <c r="E171" s="42"/>
      <c r="F171" s="42"/>
      <c r="G171" s="42"/>
      <c r="H171" s="42"/>
      <c r="I171" s="42"/>
    </row>
    <row r="172" spans="1:9" x14ac:dyDescent="0.3">
      <c r="A172" s="42"/>
      <c r="B172" s="42"/>
      <c r="C172" s="42"/>
      <c r="D172" s="42"/>
      <c r="E172" s="42"/>
      <c r="F172" s="42"/>
      <c r="G172" s="42"/>
      <c r="H172" s="42"/>
      <c r="I172" s="42"/>
    </row>
    <row r="173" spans="1:9" x14ac:dyDescent="0.3">
      <c r="A173" s="42"/>
      <c r="B173" s="42"/>
      <c r="C173" s="42"/>
      <c r="D173" s="42"/>
      <c r="E173" s="42"/>
      <c r="F173" s="42"/>
      <c r="G173" s="42"/>
      <c r="H173" s="42"/>
      <c r="I173" s="42"/>
    </row>
    <row r="174" spans="1:9" x14ac:dyDescent="0.3">
      <c r="A174" s="42"/>
      <c r="B174" s="42"/>
      <c r="C174" s="42"/>
      <c r="D174" s="42"/>
      <c r="E174" s="42"/>
      <c r="F174" s="42"/>
      <c r="G174" s="42"/>
      <c r="H174" s="42"/>
      <c r="I174" s="42"/>
    </row>
    <row r="175" spans="1:9" x14ac:dyDescent="0.3">
      <c r="A175" s="42"/>
      <c r="B175" s="42"/>
      <c r="C175" s="42"/>
      <c r="D175" s="42"/>
      <c r="E175" s="42"/>
      <c r="F175" s="42"/>
      <c r="G175" s="42"/>
      <c r="H175" s="42"/>
      <c r="I175" s="42"/>
    </row>
    <row r="176" spans="1:9" x14ac:dyDescent="0.3">
      <c r="A176" s="42"/>
      <c r="B176" s="42"/>
      <c r="C176" s="42"/>
      <c r="D176" s="42"/>
      <c r="E176" s="42"/>
      <c r="F176" s="42"/>
      <c r="G176" s="42"/>
      <c r="H176" s="42"/>
      <c r="I176" s="42"/>
    </row>
    <row r="177" spans="1:9" x14ac:dyDescent="0.3">
      <c r="A177" s="42"/>
      <c r="B177" s="42"/>
      <c r="C177" s="42"/>
      <c r="D177" s="42"/>
      <c r="E177" s="42"/>
      <c r="F177" s="42"/>
      <c r="G177" s="42"/>
      <c r="H177" s="42"/>
      <c r="I177" s="42"/>
    </row>
    <row r="178" spans="1:9" x14ac:dyDescent="0.3">
      <c r="A178" s="42"/>
      <c r="B178" s="42"/>
      <c r="C178" s="42"/>
      <c r="D178" s="42"/>
      <c r="E178" s="42"/>
      <c r="F178" s="42"/>
      <c r="G178" s="42"/>
      <c r="H178" s="42"/>
      <c r="I178" s="42"/>
    </row>
    <row r="179" spans="1:9" x14ac:dyDescent="0.3">
      <c r="A179" s="42"/>
      <c r="B179" s="42"/>
      <c r="C179" s="42"/>
      <c r="D179" s="42"/>
      <c r="E179" s="42"/>
      <c r="F179" s="42"/>
      <c r="G179" s="42"/>
      <c r="H179" s="42"/>
      <c r="I179" s="42"/>
    </row>
    <row r="180" spans="1:9" x14ac:dyDescent="0.3">
      <c r="A180" s="42"/>
      <c r="B180" s="42"/>
      <c r="C180" s="42"/>
      <c r="D180" s="42"/>
      <c r="E180" s="42"/>
      <c r="F180" s="42"/>
      <c r="G180" s="42"/>
      <c r="H180" s="42"/>
      <c r="I180" s="42"/>
    </row>
    <row r="181" spans="1:9" x14ac:dyDescent="0.3">
      <c r="A181" s="42"/>
      <c r="B181" s="42"/>
      <c r="C181" s="42"/>
      <c r="D181" s="42"/>
      <c r="E181" s="42"/>
      <c r="F181" s="42"/>
      <c r="G181" s="42"/>
      <c r="H181" s="42"/>
      <c r="I181" s="42"/>
    </row>
    <row r="182" spans="1:9" x14ac:dyDescent="0.3">
      <c r="A182" s="42"/>
      <c r="B182" s="42"/>
      <c r="C182" s="42"/>
      <c r="D182" s="42"/>
      <c r="E182" s="42"/>
      <c r="F182" s="42"/>
      <c r="G182" s="42"/>
      <c r="H182" s="42"/>
      <c r="I182" s="42"/>
    </row>
    <row r="183" spans="1:9" x14ac:dyDescent="0.3">
      <c r="A183" s="42"/>
      <c r="B183" s="42"/>
      <c r="C183" s="42"/>
      <c r="D183" s="42"/>
      <c r="E183" s="42"/>
      <c r="F183" s="42"/>
      <c r="G183" s="42"/>
      <c r="H183" s="42"/>
      <c r="I183" s="42"/>
    </row>
    <row r="184" spans="1:9" x14ac:dyDescent="0.3">
      <c r="A184" s="42"/>
      <c r="B184" s="42"/>
      <c r="C184" s="42"/>
      <c r="D184" s="42"/>
      <c r="E184" s="42"/>
      <c r="F184" s="42"/>
      <c r="G184" s="42"/>
      <c r="H184" s="42"/>
      <c r="I184" s="42"/>
    </row>
    <row r="185" spans="1:9" x14ac:dyDescent="0.3">
      <c r="A185" s="42"/>
      <c r="B185" s="42"/>
      <c r="C185" s="42"/>
      <c r="D185" s="42"/>
      <c r="E185" s="42"/>
      <c r="F185" s="42"/>
      <c r="G185" s="42"/>
      <c r="H185" s="42"/>
      <c r="I185" s="42"/>
    </row>
    <row r="186" spans="1:9" x14ac:dyDescent="0.3">
      <c r="A186" s="42"/>
      <c r="B186" s="42"/>
      <c r="C186" s="42"/>
      <c r="D186" s="42"/>
      <c r="E186" s="42"/>
      <c r="F186" s="42"/>
      <c r="G186" s="42"/>
      <c r="H186" s="42"/>
      <c r="I186" s="42"/>
    </row>
    <row r="187" spans="1:9" x14ac:dyDescent="0.3">
      <c r="A187" s="42"/>
      <c r="B187" s="42"/>
      <c r="C187" s="42"/>
      <c r="D187" s="42"/>
      <c r="E187" s="42"/>
      <c r="F187" s="42"/>
      <c r="G187" s="42"/>
      <c r="H187" s="42"/>
      <c r="I187" s="42"/>
    </row>
    <row r="188" spans="1:9" x14ac:dyDescent="0.3">
      <c r="A188" s="42"/>
      <c r="B188" s="42"/>
      <c r="C188" s="42"/>
      <c r="D188" s="42"/>
      <c r="E188" s="42"/>
      <c r="F188" s="42"/>
      <c r="G188" s="42"/>
      <c r="H188" s="42"/>
      <c r="I188" s="42"/>
    </row>
    <row r="189" spans="1:9" x14ac:dyDescent="0.3">
      <c r="A189" s="42"/>
      <c r="B189" s="42"/>
      <c r="C189" s="42"/>
      <c r="D189" s="42"/>
      <c r="E189" s="42"/>
      <c r="F189" s="42"/>
      <c r="G189" s="42"/>
      <c r="H189" s="42"/>
      <c r="I189" s="42"/>
    </row>
    <row r="190" spans="1:9" x14ac:dyDescent="0.3">
      <c r="A190" s="42"/>
      <c r="B190" s="42"/>
      <c r="C190" s="42"/>
      <c r="D190" s="42"/>
      <c r="E190" s="42"/>
      <c r="F190" s="42"/>
      <c r="G190" s="42"/>
      <c r="H190" s="42"/>
      <c r="I190" s="42"/>
    </row>
    <row r="191" spans="1:9" x14ac:dyDescent="0.3">
      <c r="A191" s="42"/>
      <c r="B191" s="42"/>
      <c r="C191" s="42"/>
      <c r="D191" s="42"/>
      <c r="E191" s="42"/>
      <c r="F191" s="42"/>
      <c r="G191" s="42"/>
      <c r="H191" s="42"/>
      <c r="I191" s="42"/>
    </row>
    <row r="192" spans="1:9" x14ac:dyDescent="0.3">
      <c r="A192" s="42"/>
      <c r="B192" s="42"/>
      <c r="C192" s="42"/>
      <c r="D192" s="42"/>
      <c r="E192" s="42"/>
      <c r="F192" s="42"/>
      <c r="G192" s="42"/>
      <c r="H192" s="42"/>
      <c r="I192" s="42"/>
    </row>
    <row r="193" spans="1:9" x14ac:dyDescent="0.3">
      <c r="A193" s="42"/>
      <c r="B193" s="42"/>
      <c r="C193" s="42"/>
      <c r="D193" s="42"/>
      <c r="E193" s="42"/>
      <c r="F193" s="42"/>
      <c r="G193" s="42"/>
      <c r="H193" s="42"/>
      <c r="I193" s="42"/>
    </row>
    <row r="194" spans="1:9" x14ac:dyDescent="0.3">
      <c r="A194" s="42"/>
      <c r="B194" s="42"/>
      <c r="C194" s="42"/>
      <c r="D194" s="42"/>
      <c r="E194" s="42"/>
      <c r="F194" s="42"/>
      <c r="G194" s="42"/>
      <c r="H194" s="42"/>
      <c r="I194" s="42"/>
    </row>
    <row r="195" spans="1:9" x14ac:dyDescent="0.3">
      <c r="A195" s="42"/>
      <c r="B195" s="42"/>
      <c r="C195" s="42"/>
      <c r="D195" s="42"/>
      <c r="E195" s="42"/>
      <c r="F195" s="42"/>
      <c r="G195" s="42"/>
      <c r="H195" s="42"/>
      <c r="I195" s="42"/>
    </row>
    <row r="196" spans="1:9" x14ac:dyDescent="0.3">
      <c r="A196" s="42"/>
      <c r="B196" s="42"/>
      <c r="C196" s="42"/>
      <c r="D196" s="42"/>
      <c r="E196" s="42"/>
      <c r="F196" s="42"/>
      <c r="G196" s="42"/>
      <c r="H196" s="42"/>
      <c r="I196" s="42"/>
    </row>
    <row r="197" spans="1:9" x14ac:dyDescent="0.3">
      <c r="A197" s="42"/>
      <c r="B197" s="42"/>
      <c r="C197" s="42"/>
      <c r="D197" s="42"/>
      <c r="E197" s="42"/>
      <c r="F197" s="42"/>
      <c r="G197" s="42"/>
      <c r="H197" s="42"/>
      <c r="I197" s="42"/>
    </row>
    <row r="198" spans="1:9" x14ac:dyDescent="0.3">
      <c r="A198" s="42"/>
      <c r="B198" s="42"/>
      <c r="C198" s="42"/>
      <c r="D198" s="42"/>
      <c r="E198" s="42"/>
      <c r="F198" s="42"/>
      <c r="G198" s="42"/>
      <c r="H198" s="42"/>
      <c r="I198" s="42"/>
    </row>
    <row r="199" spans="1:9" x14ac:dyDescent="0.3">
      <c r="A199" s="42"/>
      <c r="B199" s="42"/>
      <c r="C199" s="42"/>
      <c r="D199" s="42"/>
      <c r="E199" s="42"/>
      <c r="F199" s="42"/>
      <c r="G199" s="42"/>
      <c r="H199" s="42"/>
      <c r="I199" s="42"/>
    </row>
    <row r="200" spans="1:9" x14ac:dyDescent="0.3">
      <c r="A200" s="42"/>
      <c r="B200" s="42"/>
      <c r="C200" s="42"/>
      <c r="D200" s="42"/>
      <c r="E200" s="42"/>
      <c r="F200" s="42"/>
      <c r="G200" s="42"/>
      <c r="H200" s="42"/>
      <c r="I200" s="42"/>
    </row>
    <row r="201" spans="1:9" x14ac:dyDescent="0.3">
      <c r="A201" s="42"/>
      <c r="B201" s="42"/>
      <c r="C201" s="42"/>
      <c r="D201" s="42"/>
      <c r="E201" s="42"/>
      <c r="F201" s="42"/>
      <c r="G201" s="42"/>
      <c r="H201" s="42"/>
      <c r="I201" s="42"/>
    </row>
  </sheetData>
  <dataValidations count="1">
    <dataValidation type="list" allowBlank="1" sqref="C2:C201" xr:uid="{00000000-0002-0000-0D00-000000000000}">
      <formula1>CATEGORIE</formula1>
    </dataValidation>
  </dataValidations>
  <hyperlinks>
    <hyperlink ref="E4" r:id="rId1" xr:uid="{C269EB6A-1603-4E97-B83D-FAD691B10042}"/>
    <hyperlink ref="E5" r:id="rId2" xr:uid="{EDB2FDCD-6E88-4C88-86DB-6147F5900665}"/>
  </hyperlinks>
  <pageMargins left="0.75" right="0.75" top="1" bottom="1" header="0.511811023622047" footer="0.511811023622047"/>
  <pageSetup paperSize="9" orientation="portrait" horizontalDpi="300" verticalDpi="300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5">
    <tabColor rgb="FF00B0F0"/>
  </sheetPr>
  <dimension ref="A1:N201"/>
  <sheetViews>
    <sheetView showGridLines="0" topLeftCell="B1" zoomScaleNormal="100" workbookViewId="0">
      <pane ySplit="1" topLeftCell="A2" activePane="bottomLeft" state="frozen"/>
      <selection pane="bottomLeft" activeCell="I2" sqref="I2:I201"/>
    </sheetView>
  </sheetViews>
  <sheetFormatPr defaultColWidth="8.6640625" defaultRowHeight="14.4" x14ac:dyDescent="0.3"/>
  <cols>
    <col min="1" max="1" width="13" customWidth="1"/>
    <col min="2" max="3" width="26" customWidth="1"/>
    <col min="4" max="4" width="30" customWidth="1"/>
    <col min="5" max="5" width="10" customWidth="1"/>
    <col min="6" max="7" width="14" customWidth="1"/>
    <col min="8" max="8" width="16" customWidth="1"/>
    <col min="9" max="9" width="18" customWidth="1"/>
    <col min="10" max="10" width="14" customWidth="1"/>
    <col min="11" max="11" width="18" customWidth="1"/>
    <col min="12" max="12" width="26" customWidth="1"/>
    <col min="13" max="13" width="22" customWidth="1"/>
    <col min="14" max="14" width="24" customWidth="1"/>
  </cols>
  <sheetData>
    <row r="1" spans="1:14" ht="36" customHeight="1" x14ac:dyDescent="0.3">
      <c r="A1" s="41" t="s">
        <v>461</v>
      </c>
      <c r="B1" s="41" t="s">
        <v>161</v>
      </c>
      <c r="C1" s="41" t="s">
        <v>162</v>
      </c>
      <c r="D1" s="41" t="s">
        <v>462</v>
      </c>
      <c r="E1" s="41" t="s">
        <v>463</v>
      </c>
      <c r="F1" s="41" t="s">
        <v>397</v>
      </c>
      <c r="G1" s="41" t="s">
        <v>464</v>
      </c>
      <c r="H1" s="41" t="s">
        <v>465</v>
      </c>
      <c r="I1" s="41" t="s">
        <v>107</v>
      </c>
      <c r="J1" s="41" t="s">
        <v>466</v>
      </c>
      <c r="K1" s="41" t="s">
        <v>467</v>
      </c>
      <c r="L1" s="41" t="s">
        <v>468</v>
      </c>
      <c r="M1" s="41" t="s">
        <v>469</v>
      </c>
      <c r="N1" s="41" t="s">
        <v>157</v>
      </c>
    </row>
    <row r="2" spans="1:14" x14ac:dyDescent="0.3">
      <c r="A2" s="42"/>
      <c r="B2" s="42"/>
      <c r="C2" s="42"/>
      <c r="D2" s="42"/>
      <c r="E2" s="42"/>
      <c r="F2" s="44"/>
      <c r="G2" s="49"/>
      <c r="H2" s="34" t="str">
        <f t="shared" ref="H2:H33" si="0">IF($A2="","",$F2*$G2)</f>
        <v/>
      </c>
      <c r="I2" s="42"/>
      <c r="J2" s="43"/>
      <c r="K2" s="43"/>
      <c r="L2" s="51"/>
      <c r="M2" s="42"/>
      <c r="N2" s="51"/>
    </row>
    <row r="3" spans="1:14" x14ac:dyDescent="0.3">
      <c r="A3" s="42"/>
      <c r="B3" s="42"/>
      <c r="C3" s="42"/>
      <c r="D3" s="42"/>
      <c r="E3" s="42"/>
      <c r="F3" s="44"/>
      <c r="G3" s="49"/>
      <c r="H3" s="34" t="str">
        <f t="shared" si="0"/>
        <v/>
      </c>
      <c r="I3" s="42"/>
      <c r="J3" s="43"/>
      <c r="K3" s="43"/>
      <c r="L3" s="42"/>
      <c r="M3" s="42"/>
      <c r="N3" s="42"/>
    </row>
    <row r="4" spans="1:14" x14ac:dyDescent="0.3">
      <c r="A4" s="42"/>
      <c r="B4" s="42"/>
      <c r="C4" s="42"/>
      <c r="D4" s="42"/>
      <c r="E4" s="42"/>
      <c r="F4" s="44"/>
      <c r="G4" s="49"/>
      <c r="H4" s="34" t="str">
        <f t="shared" si="0"/>
        <v/>
      </c>
      <c r="I4" s="42"/>
      <c r="J4" s="43"/>
      <c r="K4" s="43"/>
      <c r="L4" s="42"/>
      <c r="M4" s="42"/>
      <c r="N4" s="42"/>
    </row>
    <row r="5" spans="1:14" x14ac:dyDescent="0.3">
      <c r="A5" s="42"/>
      <c r="B5" s="42"/>
      <c r="C5" s="42"/>
      <c r="D5" s="42"/>
      <c r="E5" s="42"/>
      <c r="F5" s="44"/>
      <c r="G5" s="49"/>
      <c r="H5" s="34" t="str">
        <f t="shared" si="0"/>
        <v/>
      </c>
      <c r="I5" s="42"/>
      <c r="J5" s="43"/>
      <c r="K5" s="43"/>
      <c r="L5" s="42"/>
      <c r="M5" s="42"/>
      <c r="N5" s="42"/>
    </row>
    <row r="6" spans="1:14" x14ac:dyDescent="0.3">
      <c r="A6" s="42"/>
      <c r="B6" s="42"/>
      <c r="C6" s="42"/>
      <c r="D6" s="42"/>
      <c r="E6" s="42"/>
      <c r="F6" s="44"/>
      <c r="G6" s="49"/>
      <c r="H6" s="34" t="str">
        <f t="shared" si="0"/>
        <v/>
      </c>
      <c r="I6" s="42"/>
      <c r="J6" s="43"/>
      <c r="K6" s="43"/>
      <c r="L6" s="42"/>
      <c r="M6" s="42"/>
      <c r="N6" s="42"/>
    </row>
    <row r="7" spans="1:14" x14ac:dyDescent="0.3">
      <c r="A7" s="42"/>
      <c r="B7" s="42"/>
      <c r="C7" s="42"/>
      <c r="D7" s="42"/>
      <c r="E7" s="42"/>
      <c r="F7" s="44"/>
      <c r="G7" s="49"/>
      <c r="H7" s="34" t="str">
        <f t="shared" si="0"/>
        <v/>
      </c>
      <c r="I7" s="42"/>
      <c r="J7" s="43"/>
      <c r="K7" s="43"/>
      <c r="L7" s="42"/>
      <c r="M7" s="42"/>
      <c r="N7" s="42"/>
    </row>
    <row r="8" spans="1:14" x14ac:dyDescent="0.3">
      <c r="A8" s="42"/>
      <c r="B8" s="42"/>
      <c r="C8" s="42"/>
      <c r="D8" s="42"/>
      <c r="E8" s="42"/>
      <c r="F8" s="44"/>
      <c r="G8" s="49"/>
      <c r="H8" s="34" t="str">
        <f t="shared" si="0"/>
        <v/>
      </c>
      <c r="I8" s="42"/>
      <c r="J8" s="43"/>
      <c r="K8" s="43"/>
      <c r="L8" s="42"/>
      <c r="M8" s="42"/>
      <c r="N8" s="42"/>
    </row>
    <row r="9" spans="1:14" x14ac:dyDescent="0.3">
      <c r="A9" s="42"/>
      <c r="B9" s="42"/>
      <c r="C9" s="42"/>
      <c r="D9" s="42"/>
      <c r="E9" s="42"/>
      <c r="F9" s="44"/>
      <c r="G9" s="49"/>
      <c r="H9" s="34" t="str">
        <f t="shared" si="0"/>
        <v/>
      </c>
      <c r="I9" s="42"/>
      <c r="J9" s="43"/>
      <c r="K9" s="43"/>
      <c r="L9" s="42"/>
      <c r="M9" s="42"/>
      <c r="N9" s="42"/>
    </row>
    <row r="10" spans="1:14" x14ac:dyDescent="0.3">
      <c r="A10" s="42"/>
      <c r="B10" s="42"/>
      <c r="C10" s="42"/>
      <c r="D10" s="42"/>
      <c r="E10" s="42"/>
      <c r="F10" s="44"/>
      <c r="G10" s="49"/>
      <c r="H10" s="34" t="str">
        <f t="shared" si="0"/>
        <v/>
      </c>
      <c r="I10" s="42"/>
      <c r="J10" s="43"/>
      <c r="K10" s="43"/>
      <c r="L10" s="42"/>
      <c r="M10" s="42"/>
      <c r="N10" s="42"/>
    </row>
    <row r="11" spans="1:14" x14ac:dyDescent="0.3">
      <c r="A11" s="42"/>
      <c r="B11" s="42"/>
      <c r="C11" s="42"/>
      <c r="D11" s="42"/>
      <c r="E11" s="42"/>
      <c r="F11" s="44"/>
      <c r="G11" s="49"/>
      <c r="H11" s="34" t="str">
        <f t="shared" si="0"/>
        <v/>
      </c>
      <c r="I11" s="42"/>
      <c r="J11" s="43"/>
      <c r="K11" s="43"/>
      <c r="L11" s="42"/>
      <c r="M11" s="42"/>
      <c r="N11" s="42"/>
    </row>
    <row r="12" spans="1:14" x14ac:dyDescent="0.3">
      <c r="A12" s="42"/>
      <c r="B12" s="42"/>
      <c r="C12" s="42"/>
      <c r="D12" s="42"/>
      <c r="E12" s="42"/>
      <c r="F12" s="44"/>
      <c r="G12" s="49"/>
      <c r="H12" s="34" t="str">
        <f t="shared" si="0"/>
        <v/>
      </c>
      <c r="I12" s="42"/>
      <c r="J12" s="43"/>
      <c r="K12" s="43"/>
      <c r="L12" s="42"/>
      <c r="M12" s="42"/>
      <c r="N12" s="42"/>
    </row>
    <row r="13" spans="1:14" x14ac:dyDescent="0.3">
      <c r="A13" s="42"/>
      <c r="B13" s="42"/>
      <c r="C13" s="42"/>
      <c r="D13" s="42"/>
      <c r="E13" s="42"/>
      <c r="F13" s="44"/>
      <c r="G13" s="49"/>
      <c r="H13" s="34" t="str">
        <f t="shared" si="0"/>
        <v/>
      </c>
      <c r="I13" s="42"/>
      <c r="J13" s="43"/>
      <c r="K13" s="43"/>
      <c r="L13" s="42"/>
      <c r="M13" s="42"/>
      <c r="N13" s="42"/>
    </row>
    <row r="14" spans="1:14" x14ac:dyDescent="0.3">
      <c r="A14" s="42"/>
      <c r="B14" s="42"/>
      <c r="C14" s="42"/>
      <c r="D14" s="42"/>
      <c r="E14" s="42"/>
      <c r="F14" s="44"/>
      <c r="G14" s="49"/>
      <c r="H14" s="34" t="str">
        <f t="shared" si="0"/>
        <v/>
      </c>
      <c r="I14" s="42"/>
      <c r="J14" s="43"/>
      <c r="K14" s="43"/>
      <c r="L14" s="42"/>
      <c r="M14" s="42"/>
      <c r="N14" s="42"/>
    </row>
    <row r="15" spans="1:14" x14ac:dyDescent="0.3">
      <c r="A15" s="42"/>
      <c r="B15" s="42"/>
      <c r="C15" s="42"/>
      <c r="D15" s="42"/>
      <c r="E15" s="42"/>
      <c r="F15" s="44"/>
      <c r="G15" s="49"/>
      <c r="H15" s="34" t="str">
        <f t="shared" si="0"/>
        <v/>
      </c>
      <c r="I15" s="42"/>
      <c r="J15" s="43"/>
      <c r="K15" s="43"/>
      <c r="L15" s="42"/>
      <c r="M15" s="42"/>
      <c r="N15" s="42"/>
    </row>
    <row r="16" spans="1:14" x14ac:dyDescent="0.3">
      <c r="A16" s="42"/>
      <c r="B16" s="42"/>
      <c r="C16" s="42"/>
      <c r="D16" s="42"/>
      <c r="E16" s="42"/>
      <c r="F16" s="44"/>
      <c r="G16" s="49"/>
      <c r="H16" s="34" t="str">
        <f t="shared" si="0"/>
        <v/>
      </c>
      <c r="I16" s="42"/>
      <c r="J16" s="43"/>
      <c r="K16" s="43"/>
      <c r="L16" s="42"/>
      <c r="M16" s="42"/>
      <c r="N16" s="42"/>
    </row>
    <row r="17" spans="1:14" x14ac:dyDescent="0.3">
      <c r="A17" s="42"/>
      <c r="B17" s="42"/>
      <c r="C17" s="42"/>
      <c r="D17" s="42"/>
      <c r="E17" s="42"/>
      <c r="F17" s="44"/>
      <c r="G17" s="49"/>
      <c r="H17" s="34" t="str">
        <f t="shared" si="0"/>
        <v/>
      </c>
      <c r="I17" s="42"/>
      <c r="J17" s="43"/>
      <c r="K17" s="43"/>
      <c r="L17" s="42"/>
      <c r="M17" s="42"/>
      <c r="N17" s="42"/>
    </row>
    <row r="18" spans="1:14" x14ac:dyDescent="0.3">
      <c r="A18" s="42"/>
      <c r="B18" s="42"/>
      <c r="C18" s="42"/>
      <c r="D18" s="42"/>
      <c r="E18" s="42"/>
      <c r="F18" s="44"/>
      <c r="G18" s="49"/>
      <c r="H18" s="34" t="str">
        <f t="shared" si="0"/>
        <v/>
      </c>
      <c r="I18" s="42"/>
      <c r="J18" s="43"/>
      <c r="K18" s="43"/>
      <c r="L18" s="42"/>
      <c r="M18" s="42"/>
      <c r="N18" s="42"/>
    </row>
    <row r="19" spans="1:14" x14ac:dyDescent="0.3">
      <c r="A19" s="42"/>
      <c r="B19" s="42"/>
      <c r="C19" s="42"/>
      <c r="D19" s="42"/>
      <c r="E19" s="42"/>
      <c r="F19" s="44"/>
      <c r="G19" s="49"/>
      <c r="H19" s="34" t="str">
        <f t="shared" si="0"/>
        <v/>
      </c>
      <c r="I19" s="42"/>
      <c r="J19" s="43"/>
      <c r="K19" s="43"/>
      <c r="L19" s="42"/>
      <c r="M19" s="42"/>
      <c r="N19" s="42"/>
    </row>
    <row r="20" spans="1:14" x14ac:dyDescent="0.3">
      <c r="A20" s="42"/>
      <c r="B20" s="42"/>
      <c r="C20" s="42"/>
      <c r="D20" s="42"/>
      <c r="E20" s="42"/>
      <c r="F20" s="44"/>
      <c r="G20" s="49"/>
      <c r="H20" s="34" t="str">
        <f t="shared" si="0"/>
        <v/>
      </c>
      <c r="I20" s="42"/>
      <c r="J20" s="43"/>
      <c r="K20" s="43"/>
      <c r="L20" s="42"/>
      <c r="M20" s="42"/>
      <c r="N20" s="42"/>
    </row>
    <row r="21" spans="1:14" x14ac:dyDescent="0.3">
      <c r="A21" s="42"/>
      <c r="B21" s="42"/>
      <c r="C21" s="42"/>
      <c r="D21" s="42"/>
      <c r="E21" s="42"/>
      <c r="F21" s="44"/>
      <c r="G21" s="49"/>
      <c r="H21" s="34" t="str">
        <f t="shared" si="0"/>
        <v/>
      </c>
      <c r="I21" s="42"/>
      <c r="J21" s="43"/>
      <c r="K21" s="43"/>
      <c r="L21" s="42"/>
      <c r="M21" s="42"/>
      <c r="N21" s="42"/>
    </row>
    <row r="22" spans="1:14" x14ac:dyDescent="0.3">
      <c r="A22" s="42"/>
      <c r="B22" s="42"/>
      <c r="C22" s="42"/>
      <c r="D22" s="42"/>
      <c r="E22" s="42"/>
      <c r="F22" s="44"/>
      <c r="G22" s="49"/>
      <c r="H22" s="34" t="str">
        <f t="shared" si="0"/>
        <v/>
      </c>
      <c r="I22" s="42"/>
      <c r="J22" s="43"/>
      <c r="K22" s="43"/>
      <c r="L22" s="42"/>
      <c r="M22" s="42"/>
      <c r="N22" s="42"/>
    </row>
    <row r="23" spans="1:14" x14ac:dyDescent="0.3">
      <c r="A23" s="42"/>
      <c r="B23" s="42"/>
      <c r="C23" s="42"/>
      <c r="D23" s="42"/>
      <c r="E23" s="42"/>
      <c r="F23" s="44"/>
      <c r="G23" s="49"/>
      <c r="H23" s="34" t="str">
        <f t="shared" si="0"/>
        <v/>
      </c>
      <c r="I23" s="42"/>
      <c r="J23" s="43"/>
      <c r="K23" s="43"/>
      <c r="L23" s="42"/>
      <c r="M23" s="42"/>
      <c r="N23" s="42"/>
    </row>
    <row r="24" spans="1:14" x14ac:dyDescent="0.3">
      <c r="A24" s="42"/>
      <c r="B24" s="42"/>
      <c r="C24" s="42"/>
      <c r="D24" s="42"/>
      <c r="E24" s="42"/>
      <c r="F24" s="44"/>
      <c r="G24" s="49"/>
      <c r="H24" s="34" t="str">
        <f t="shared" si="0"/>
        <v/>
      </c>
      <c r="I24" s="42"/>
      <c r="J24" s="43"/>
      <c r="K24" s="43"/>
      <c r="L24" s="42"/>
      <c r="M24" s="42"/>
      <c r="N24" s="42"/>
    </row>
    <row r="25" spans="1:14" x14ac:dyDescent="0.3">
      <c r="A25" s="42"/>
      <c r="B25" s="42"/>
      <c r="C25" s="42"/>
      <c r="D25" s="42"/>
      <c r="E25" s="42"/>
      <c r="F25" s="44"/>
      <c r="G25" s="49"/>
      <c r="H25" s="34" t="str">
        <f t="shared" si="0"/>
        <v/>
      </c>
      <c r="I25" s="42"/>
      <c r="J25" s="43"/>
      <c r="K25" s="43"/>
      <c r="L25" s="42"/>
      <c r="M25" s="42"/>
      <c r="N25" s="42"/>
    </row>
    <row r="26" spans="1:14" x14ac:dyDescent="0.3">
      <c r="A26" s="42"/>
      <c r="B26" s="42"/>
      <c r="C26" s="42"/>
      <c r="D26" s="42"/>
      <c r="E26" s="42"/>
      <c r="F26" s="44"/>
      <c r="G26" s="49"/>
      <c r="H26" s="34" t="str">
        <f t="shared" si="0"/>
        <v/>
      </c>
      <c r="I26" s="42"/>
      <c r="J26" s="43"/>
      <c r="K26" s="43"/>
      <c r="L26" s="42"/>
      <c r="M26" s="42"/>
      <c r="N26" s="42"/>
    </row>
    <row r="27" spans="1:14" x14ac:dyDescent="0.3">
      <c r="A27" s="42"/>
      <c r="B27" s="42"/>
      <c r="C27" s="42"/>
      <c r="D27" s="42"/>
      <c r="E27" s="42"/>
      <c r="F27" s="44"/>
      <c r="G27" s="49"/>
      <c r="H27" s="34" t="str">
        <f t="shared" si="0"/>
        <v/>
      </c>
      <c r="I27" s="42"/>
      <c r="J27" s="43"/>
      <c r="K27" s="43"/>
      <c r="L27" s="42"/>
      <c r="M27" s="42"/>
      <c r="N27" s="42"/>
    </row>
    <row r="28" spans="1:14" x14ac:dyDescent="0.3">
      <c r="A28" s="42"/>
      <c r="B28" s="42"/>
      <c r="C28" s="42"/>
      <c r="D28" s="42"/>
      <c r="E28" s="42"/>
      <c r="F28" s="44"/>
      <c r="G28" s="49"/>
      <c r="H28" s="34" t="str">
        <f t="shared" si="0"/>
        <v/>
      </c>
      <c r="I28" s="42"/>
      <c r="J28" s="43"/>
      <c r="K28" s="43"/>
      <c r="L28" s="42"/>
      <c r="M28" s="42"/>
      <c r="N28" s="42"/>
    </row>
    <row r="29" spans="1:14" x14ac:dyDescent="0.3">
      <c r="A29" s="42"/>
      <c r="B29" s="42"/>
      <c r="C29" s="42"/>
      <c r="D29" s="42"/>
      <c r="E29" s="42"/>
      <c r="F29" s="44"/>
      <c r="G29" s="49"/>
      <c r="H29" s="34" t="str">
        <f t="shared" si="0"/>
        <v/>
      </c>
      <c r="I29" s="42"/>
      <c r="J29" s="43"/>
      <c r="K29" s="43"/>
      <c r="L29" s="42"/>
      <c r="M29" s="42"/>
      <c r="N29" s="42"/>
    </row>
    <row r="30" spans="1:14" x14ac:dyDescent="0.3">
      <c r="A30" s="42"/>
      <c r="B30" s="42"/>
      <c r="C30" s="42"/>
      <c r="D30" s="42"/>
      <c r="E30" s="42"/>
      <c r="F30" s="44"/>
      <c r="G30" s="49"/>
      <c r="H30" s="34" t="str">
        <f t="shared" si="0"/>
        <v/>
      </c>
      <c r="I30" s="42"/>
      <c r="J30" s="43"/>
      <c r="K30" s="43"/>
      <c r="L30" s="42"/>
      <c r="M30" s="42"/>
      <c r="N30" s="42"/>
    </row>
    <row r="31" spans="1:14" x14ac:dyDescent="0.3">
      <c r="A31" s="42"/>
      <c r="B31" s="42"/>
      <c r="C31" s="42"/>
      <c r="D31" s="42"/>
      <c r="E31" s="42"/>
      <c r="F31" s="44"/>
      <c r="G31" s="49"/>
      <c r="H31" s="34" t="str">
        <f t="shared" si="0"/>
        <v/>
      </c>
      <c r="I31" s="42"/>
      <c r="J31" s="43"/>
      <c r="K31" s="43"/>
      <c r="L31" s="42"/>
      <c r="M31" s="42"/>
      <c r="N31" s="42"/>
    </row>
    <row r="32" spans="1:14" x14ac:dyDescent="0.3">
      <c r="A32" s="42"/>
      <c r="B32" s="42"/>
      <c r="C32" s="42"/>
      <c r="D32" s="42"/>
      <c r="E32" s="42"/>
      <c r="F32" s="44"/>
      <c r="G32" s="49"/>
      <c r="H32" s="34" t="str">
        <f t="shared" si="0"/>
        <v/>
      </c>
      <c r="I32" s="42"/>
      <c r="J32" s="43"/>
      <c r="K32" s="43"/>
      <c r="L32" s="42"/>
      <c r="M32" s="42"/>
      <c r="N32" s="42"/>
    </row>
    <row r="33" spans="1:14" x14ac:dyDescent="0.3">
      <c r="A33" s="42"/>
      <c r="B33" s="42"/>
      <c r="C33" s="42"/>
      <c r="D33" s="42"/>
      <c r="E33" s="42"/>
      <c r="F33" s="44"/>
      <c r="G33" s="49"/>
      <c r="H33" s="34" t="str">
        <f t="shared" si="0"/>
        <v/>
      </c>
      <c r="I33" s="42"/>
      <c r="J33" s="43"/>
      <c r="K33" s="43"/>
      <c r="L33" s="42"/>
      <c r="M33" s="42"/>
      <c r="N33" s="42"/>
    </row>
    <row r="34" spans="1:14" x14ac:dyDescent="0.3">
      <c r="A34" s="42"/>
      <c r="B34" s="42"/>
      <c r="C34" s="42"/>
      <c r="D34" s="42"/>
      <c r="E34" s="42"/>
      <c r="F34" s="44"/>
      <c r="G34" s="49"/>
      <c r="H34" s="34" t="str">
        <f t="shared" ref="H34:H65" si="1">IF($A34="","",$F34*$G34)</f>
        <v/>
      </c>
      <c r="I34" s="42"/>
      <c r="J34" s="43"/>
      <c r="K34" s="43"/>
      <c r="L34" s="42"/>
      <c r="M34" s="42"/>
      <c r="N34" s="42"/>
    </row>
    <row r="35" spans="1:14" x14ac:dyDescent="0.3">
      <c r="A35" s="42"/>
      <c r="B35" s="42"/>
      <c r="C35" s="42"/>
      <c r="D35" s="42"/>
      <c r="E35" s="42"/>
      <c r="F35" s="44"/>
      <c r="G35" s="49"/>
      <c r="H35" s="34" t="str">
        <f t="shared" si="1"/>
        <v/>
      </c>
      <c r="I35" s="42"/>
      <c r="J35" s="43"/>
      <c r="K35" s="43"/>
      <c r="L35" s="42"/>
      <c r="M35" s="42"/>
      <c r="N35" s="42"/>
    </row>
    <row r="36" spans="1:14" x14ac:dyDescent="0.3">
      <c r="A36" s="42"/>
      <c r="B36" s="42"/>
      <c r="C36" s="42"/>
      <c r="D36" s="42"/>
      <c r="E36" s="42"/>
      <c r="F36" s="44"/>
      <c r="G36" s="49"/>
      <c r="H36" s="34" t="str">
        <f t="shared" si="1"/>
        <v/>
      </c>
      <c r="I36" s="42"/>
      <c r="J36" s="43"/>
      <c r="K36" s="43"/>
      <c r="L36" s="42"/>
      <c r="M36" s="42"/>
      <c r="N36" s="42"/>
    </row>
    <row r="37" spans="1:14" x14ac:dyDescent="0.3">
      <c r="A37" s="42"/>
      <c r="B37" s="42"/>
      <c r="C37" s="42"/>
      <c r="D37" s="42"/>
      <c r="E37" s="42"/>
      <c r="F37" s="44"/>
      <c r="G37" s="49"/>
      <c r="H37" s="34" t="str">
        <f t="shared" si="1"/>
        <v/>
      </c>
      <c r="I37" s="42"/>
      <c r="J37" s="43"/>
      <c r="K37" s="43"/>
      <c r="L37" s="42"/>
      <c r="M37" s="42"/>
      <c r="N37" s="42"/>
    </row>
    <row r="38" spans="1:14" x14ac:dyDescent="0.3">
      <c r="A38" s="42"/>
      <c r="B38" s="42"/>
      <c r="C38" s="42"/>
      <c r="D38" s="42"/>
      <c r="E38" s="42"/>
      <c r="F38" s="44"/>
      <c r="G38" s="49"/>
      <c r="H38" s="34" t="str">
        <f t="shared" si="1"/>
        <v/>
      </c>
      <c r="I38" s="42"/>
      <c r="J38" s="43"/>
      <c r="K38" s="43"/>
      <c r="L38" s="42"/>
      <c r="M38" s="42"/>
      <c r="N38" s="42"/>
    </row>
    <row r="39" spans="1:14" x14ac:dyDescent="0.3">
      <c r="A39" s="42"/>
      <c r="B39" s="42"/>
      <c r="C39" s="42"/>
      <c r="D39" s="42"/>
      <c r="E39" s="42"/>
      <c r="F39" s="44"/>
      <c r="G39" s="49"/>
      <c r="H39" s="34" t="str">
        <f t="shared" si="1"/>
        <v/>
      </c>
      <c r="I39" s="42"/>
      <c r="J39" s="43"/>
      <c r="K39" s="43"/>
      <c r="L39" s="42"/>
      <c r="M39" s="42"/>
      <c r="N39" s="42"/>
    </row>
    <row r="40" spans="1:14" x14ac:dyDescent="0.3">
      <c r="A40" s="42"/>
      <c r="B40" s="42"/>
      <c r="C40" s="42"/>
      <c r="D40" s="42"/>
      <c r="E40" s="42"/>
      <c r="F40" s="44"/>
      <c r="G40" s="49"/>
      <c r="H40" s="34" t="str">
        <f t="shared" si="1"/>
        <v/>
      </c>
      <c r="I40" s="42"/>
      <c r="J40" s="43"/>
      <c r="K40" s="43"/>
      <c r="L40" s="42"/>
      <c r="M40" s="42"/>
      <c r="N40" s="42"/>
    </row>
    <row r="41" spans="1:14" x14ac:dyDescent="0.3">
      <c r="A41" s="42"/>
      <c r="B41" s="42"/>
      <c r="C41" s="42"/>
      <c r="D41" s="42"/>
      <c r="E41" s="42"/>
      <c r="F41" s="44"/>
      <c r="G41" s="49"/>
      <c r="H41" s="34" t="str">
        <f t="shared" si="1"/>
        <v/>
      </c>
      <c r="I41" s="42"/>
      <c r="J41" s="43"/>
      <c r="K41" s="43"/>
      <c r="L41" s="42"/>
      <c r="M41" s="42"/>
      <c r="N41" s="42"/>
    </row>
    <row r="42" spans="1:14" x14ac:dyDescent="0.3">
      <c r="A42" s="42"/>
      <c r="B42" s="42"/>
      <c r="C42" s="42"/>
      <c r="D42" s="42"/>
      <c r="E42" s="42"/>
      <c r="F42" s="44"/>
      <c r="G42" s="49"/>
      <c r="H42" s="34" t="str">
        <f t="shared" si="1"/>
        <v/>
      </c>
      <c r="I42" s="42"/>
      <c r="J42" s="43"/>
      <c r="K42" s="43"/>
      <c r="L42" s="42"/>
      <c r="M42" s="42"/>
      <c r="N42" s="42"/>
    </row>
    <row r="43" spans="1:14" x14ac:dyDescent="0.3">
      <c r="A43" s="42"/>
      <c r="B43" s="42"/>
      <c r="C43" s="42"/>
      <c r="D43" s="42"/>
      <c r="E43" s="42"/>
      <c r="F43" s="44"/>
      <c r="G43" s="49"/>
      <c r="H43" s="34" t="str">
        <f t="shared" si="1"/>
        <v/>
      </c>
      <c r="I43" s="42"/>
      <c r="J43" s="43"/>
      <c r="K43" s="43"/>
      <c r="L43" s="42"/>
      <c r="M43" s="42"/>
      <c r="N43" s="42"/>
    </row>
    <row r="44" spans="1:14" x14ac:dyDescent="0.3">
      <c r="A44" s="42"/>
      <c r="B44" s="42"/>
      <c r="C44" s="42"/>
      <c r="D44" s="42"/>
      <c r="E44" s="42"/>
      <c r="F44" s="44"/>
      <c r="G44" s="49"/>
      <c r="H44" s="34" t="str">
        <f t="shared" si="1"/>
        <v/>
      </c>
      <c r="I44" s="42"/>
      <c r="J44" s="43"/>
      <c r="K44" s="43"/>
      <c r="L44" s="42"/>
      <c r="M44" s="42"/>
      <c r="N44" s="42"/>
    </row>
    <row r="45" spans="1:14" x14ac:dyDescent="0.3">
      <c r="A45" s="42"/>
      <c r="B45" s="42"/>
      <c r="C45" s="42"/>
      <c r="D45" s="42"/>
      <c r="E45" s="42"/>
      <c r="F45" s="44"/>
      <c r="G45" s="49"/>
      <c r="H45" s="34" t="str">
        <f t="shared" si="1"/>
        <v/>
      </c>
      <c r="I45" s="42"/>
      <c r="J45" s="43"/>
      <c r="K45" s="43"/>
      <c r="L45" s="42"/>
      <c r="M45" s="42"/>
      <c r="N45" s="42"/>
    </row>
    <row r="46" spans="1:14" x14ac:dyDescent="0.3">
      <c r="A46" s="42"/>
      <c r="B46" s="42"/>
      <c r="C46" s="42"/>
      <c r="D46" s="42"/>
      <c r="E46" s="42"/>
      <c r="F46" s="44"/>
      <c r="G46" s="49"/>
      <c r="H46" s="34" t="str">
        <f t="shared" si="1"/>
        <v/>
      </c>
      <c r="I46" s="42"/>
      <c r="J46" s="43"/>
      <c r="K46" s="43"/>
      <c r="L46" s="42"/>
      <c r="M46" s="42"/>
      <c r="N46" s="42"/>
    </row>
    <row r="47" spans="1:14" x14ac:dyDescent="0.3">
      <c r="A47" s="42"/>
      <c r="B47" s="42"/>
      <c r="C47" s="42"/>
      <c r="D47" s="42"/>
      <c r="E47" s="42"/>
      <c r="F47" s="44"/>
      <c r="G47" s="49"/>
      <c r="H47" s="34" t="str">
        <f t="shared" si="1"/>
        <v/>
      </c>
      <c r="I47" s="42"/>
      <c r="J47" s="43"/>
      <c r="K47" s="43"/>
      <c r="L47" s="42"/>
      <c r="M47" s="42"/>
      <c r="N47" s="42"/>
    </row>
    <row r="48" spans="1:14" x14ac:dyDescent="0.3">
      <c r="A48" s="42"/>
      <c r="B48" s="42"/>
      <c r="C48" s="42"/>
      <c r="D48" s="42"/>
      <c r="E48" s="42"/>
      <c r="F48" s="44"/>
      <c r="G48" s="49"/>
      <c r="H48" s="34" t="str">
        <f t="shared" si="1"/>
        <v/>
      </c>
      <c r="I48" s="42"/>
      <c r="J48" s="43"/>
      <c r="K48" s="43"/>
      <c r="L48" s="42"/>
      <c r="M48" s="42"/>
      <c r="N48" s="42"/>
    </row>
    <row r="49" spans="1:14" x14ac:dyDescent="0.3">
      <c r="A49" s="42"/>
      <c r="B49" s="42"/>
      <c r="C49" s="42"/>
      <c r="D49" s="42"/>
      <c r="E49" s="42"/>
      <c r="F49" s="44"/>
      <c r="G49" s="49"/>
      <c r="H49" s="34" t="str">
        <f t="shared" si="1"/>
        <v/>
      </c>
      <c r="I49" s="42"/>
      <c r="J49" s="43"/>
      <c r="K49" s="43"/>
      <c r="L49" s="42"/>
      <c r="M49" s="42"/>
      <c r="N49" s="42"/>
    </row>
    <row r="50" spans="1:14" x14ac:dyDescent="0.3">
      <c r="A50" s="42"/>
      <c r="B50" s="42"/>
      <c r="C50" s="42"/>
      <c r="D50" s="42"/>
      <c r="E50" s="42"/>
      <c r="F50" s="44"/>
      <c r="G50" s="49"/>
      <c r="H50" s="34" t="str">
        <f t="shared" si="1"/>
        <v/>
      </c>
      <c r="I50" s="42"/>
      <c r="J50" s="43"/>
      <c r="K50" s="43"/>
      <c r="L50" s="42"/>
      <c r="M50" s="42"/>
      <c r="N50" s="42"/>
    </row>
    <row r="51" spans="1:14" x14ac:dyDescent="0.3">
      <c r="A51" s="42"/>
      <c r="B51" s="42"/>
      <c r="C51" s="42"/>
      <c r="D51" s="42"/>
      <c r="E51" s="42"/>
      <c r="F51" s="44"/>
      <c r="G51" s="49"/>
      <c r="H51" s="34" t="str">
        <f t="shared" si="1"/>
        <v/>
      </c>
      <c r="I51" s="42"/>
      <c r="J51" s="43"/>
      <c r="K51" s="43"/>
      <c r="L51" s="42"/>
      <c r="M51" s="42"/>
      <c r="N51" s="42"/>
    </row>
    <row r="52" spans="1:14" x14ac:dyDescent="0.3">
      <c r="A52" s="42"/>
      <c r="B52" s="42"/>
      <c r="C52" s="42"/>
      <c r="D52" s="42"/>
      <c r="E52" s="42"/>
      <c r="F52" s="44"/>
      <c r="G52" s="49"/>
      <c r="H52" s="34" t="str">
        <f t="shared" si="1"/>
        <v/>
      </c>
      <c r="I52" s="42"/>
      <c r="J52" s="43"/>
      <c r="K52" s="43"/>
      <c r="L52" s="42"/>
      <c r="M52" s="42"/>
      <c r="N52" s="42"/>
    </row>
    <row r="53" spans="1:14" x14ac:dyDescent="0.3">
      <c r="A53" s="42"/>
      <c r="B53" s="42"/>
      <c r="C53" s="42"/>
      <c r="D53" s="42"/>
      <c r="E53" s="42"/>
      <c r="F53" s="44"/>
      <c r="G53" s="49"/>
      <c r="H53" s="34" t="str">
        <f t="shared" si="1"/>
        <v/>
      </c>
      <c r="I53" s="42"/>
      <c r="J53" s="43"/>
      <c r="K53" s="43"/>
      <c r="L53" s="42"/>
      <c r="M53" s="42"/>
      <c r="N53" s="42"/>
    </row>
    <row r="54" spans="1:14" x14ac:dyDescent="0.3">
      <c r="A54" s="42"/>
      <c r="B54" s="42"/>
      <c r="C54" s="42"/>
      <c r="D54" s="42"/>
      <c r="E54" s="42"/>
      <c r="F54" s="44"/>
      <c r="G54" s="49"/>
      <c r="H54" s="34" t="str">
        <f t="shared" si="1"/>
        <v/>
      </c>
      <c r="I54" s="42"/>
      <c r="J54" s="43"/>
      <c r="K54" s="43"/>
      <c r="L54" s="42"/>
      <c r="M54" s="42"/>
      <c r="N54" s="42"/>
    </row>
    <row r="55" spans="1:14" x14ac:dyDescent="0.3">
      <c r="A55" s="42"/>
      <c r="B55" s="42"/>
      <c r="C55" s="42"/>
      <c r="D55" s="42"/>
      <c r="E55" s="42"/>
      <c r="F55" s="44"/>
      <c r="G55" s="49"/>
      <c r="H55" s="34" t="str">
        <f t="shared" si="1"/>
        <v/>
      </c>
      <c r="I55" s="42"/>
      <c r="J55" s="43"/>
      <c r="K55" s="43"/>
      <c r="L55" s="42"/>
      <c r="M55" s="42"/>
      <c r="N55" s="42"/>
    </row>
    <row r="56" spans="1:14" x14ac:dyDescent="0.3">
      <c r="A56" s="42"/>
      <c r="B56" s="42"/>
      <c r="C56" s="42"/>
      <c r="D56" s="42"/>
      <c r="E56" s="42"/>
      <c r="F56" s="44"/>
      <c r="G56" s="49"/>
      <c r="H56" s="34" t="str">
        <f t="shared" si="1"/>
        <v/>
      </c>
      <c r="I56" s="42"/>
      <c r="J56" s="43"/>
      <c r="K56" s="43"/>
      <c r="L56" s="42"/>
      <c r="M56" s="42"/>
      <c r="N56" s="42"/>
    </row>
    <row r="57" spans="1:14" x14ac:dyDescent="0.3">
      <c r="A57" s="42"/>
      <c r="B57" s="42"/>
      <c r="C57" s="42"/>
      <c r="D57" s="42"/>
      <c r="E57" s="42"/>
      <c r="F57" s="44"/>
      <c r="G57" s="49"/>
      <c r="H57" s="34" t="str">
        <f t="shared" si="1"/>
        <v/>
      </c>
      <c r="I57" s="42"/>
      <c r="J57" s="43"/>
      <c r="K57" s="43"/>
      <c r="L57" s="42"/>
      <c r="M57" s="42"/>
      <c r="N57" s="42"/>
    </row>
    <row r="58" spans="1:14" x14ac:dyDescent="0.3">
      <c r="A58" s="42"/>
      <c r="B58" s="42"/>
      <c r="C58" s="42"/>
      <c r="D58" s="42"/>
      <c r="E58" s="42"/>
      <c r="F58" s="44"/>
      <c r="G58" s="49"/>
      <c r="H58" s="34" t="str">
        <f t="shared" si="1"/>
        <v/>
      </c>
      <c r="I58" s="42"/>
      <c r="J58" s="43"/>
      <c r="K58" s="43"/>
      <c r="L58" s="42"/>
      <c r="M58" s="42"/>
      <c r="N58" s="42"/>
    </row>
    <row r="59" spans="1:14" x14ac:dyDescent="0.3">
      <c r="A59" s="42"/>
      <c r="B59" s="42"/>
      <c r="C59" s="42"/>
      <c r="D59" s="42"/>
      <c r="E59" s="42"/>
      <c r="F59" s="44"/>
      <c r="G59" s="49"/>
      <c r="H59" s="34" t="str">
        <f t="shared" si="1"/>
        <v/>
      </c>
      <c r="I59" s="42"/>
      <c r="J59" s="43"/>
      <c r="K59" s="43"/>
      <c r="L59" s="42"/>
      <c r="M59" s="42"/>
      <c r="N59" s="42"/>
    </row>
    <row r="60" spans="1:14" x14ac:dyDescent="0.3">
      <c r="A60" s="42"/>
      <c r="B60" s="42"/>
      <c r="C60" s="42"/>
      <c r="D60" s="42"/>
      <c r="E60" s="42"/>
      <c r="F60" s="44"/>
      <c r="G60" s="49"/>
      <c r="H60" s="34" t="str">
        <f t="shared" si="1"/>
        <v/>
      </c>
      <c r="I60" s="42"/>
      <c r="J60" s="43"/>
      <c r="K60" s="43"/>
      <c r="L60" s="42"/>
      <c r="M60" s="42"/>
      <c r="N60" s="42"/>
    </row>
    <row r="61" spans="1:14" x14ac:dyDescent="0.3">
      <c r="A61" s="42"/>
      <c r="B61" s="42"/>
      <c r="C61" s="42"/>
      <c r="D61" s="42"/>
      <c r="E61" s="42"/>
      <c r="F61" s="44"/>
      <c r="G61" s="49"/>
      <c r="H61" s="34" t="str">
        <f t="shared" si="1"/>
        <v/>
      </c>
      <c r="I61" s="42"/>
      <c r="J61" s="43"/>
      <c r="K61" s="43"/>
      <c r="L61" s="42"/>
      <c r="M61" s="42"/>
      <c r="N61" s="42"/>
    </row>
    <row r="62" spans="1:14" x14ac:dyDescent="0.3">
      <c r="A62" s="42"/>
      <c r="B62" s="42"/>
      <c r="C62" s="42"/>
      <c r="D62" s="42"/>
      <c r="E62" s="42"/>
      <c r="F62" s="44"/>
      <c r="G62" s="49"/>
      <c r="H62" s="34" t="str">
        <f t="shared" si="1"/>
        <v/>
      </c>
      <c r="I62" s="42"/>
      <c r="J62" s="43"/>
      <c r="K62" s="43"/>
      <c r="L62" s="42"/>
      <c r="M62" s="42"/>
      <c r="N62" s="42"/>
    </row>
    <row r="63" spans="1:14" x14ac:dyDescent="0.3">
      <c r="A63" s="42"/>
      <c r="B63" s="42"/>
      <c r="C63" s="42"/>
      <c r="D63" s="42"/>
      <c r="E63" s="42"/>
      <c r="F63" s="44"/>
      <c r="G63" s="49"/>
      <c r="H63" s="34" t="str">
        <f t="shared" si="1"/>
        <v/>
      </c>
      <c r="I63" s="42"/>
      <c r="J63" s="43"/>
      <c r="K63" s="43"/>
      <c r="L63" s="42"/>
      <c r="M63" s="42"/>
      <c r="N63" s="42"/>
    </row>
    <row r="64" spans="1:14" x14ac:dyDescent="0.3">
      <c r="A64" s="42"/>
      <c r="B64" s="42"/>
      <c r="C64" s="42"/>
      <c r="D64" s="42"/>
      <c r="E64" s="42"/>
      <c r="F64" s="44"/>
      <c r="G64" s="49"/>
      <c r="H64" s="34" t="str">
        <f t="shared" si="1"/>
        <v/>
      </c>
      <c r="I64" s="42"/>
      <c r="J64" s="43"/>
      <c r="K64" s="43"/>
      <c r="L64" s="42"/>
      <c r="M64" s="42"/>
      <c r="N64" s="42"/>
    </row>
    <row r="65" spans="1:14" x14ac:dyDescent="0.3">
      <c r="A65" s="42"/>
      <c r="B65" s="42"/>
      <c r="C65" s="42"/>
      <c r="D65" s="42"/>
      <c r="E65" s="42"/>
      <c r="F65" s="44"/>
      <c r="G65" s="49"/>
      <c r="H65" s="34" t="str">
        <f t="shared" si="1"/>
        <v/>
      </c>
      <c r="I65" s="42"/>
      <c r="J65" s="43"/>
      <c r="K65" s="43"/>
      <c r="L65" s="42"/>
      <c r="M65" s="42"/>
      <c r="N65" s="42"/>
    </row>
    <row r="66" spans="1:14" x14ac:dyDescent="0.3">
      <c r="A66" s="42"/>
      <c r="B66" s="42"/>
      <c r="C66" s="42"/>
      <c r="D66" s="42"/>
      <c r="E66" s="42"/>
      <c r="F66" s="44"/>
      <c r="G66" s="49"/>
      <c r="H66" s="34" t="str">
        <f t="shared" ref="H66:H97" si="2">IF($A66="","",$F66*$G66)</f>
        <v/>
      </c>
      <c r="I66" s="42"/>
      <c r="J66" s="43"/>
      <c r="K66" s="43"/>
      <c r="L66" s="42"/>
      <c r="M66" s="42"/>
      <c r="N66" s="42"/>
    </row>
    <row r="67" spans="1:14" x14ac:dyDescent="0.3">
      <c r="A67" s="42"/>
      <c r="B67" s="42"/>
      <c r="C67" s="42"/>
      <c r="D67" s="42"/>
      <c r="E67" s="42"/>
      <c r="F67" s="44"/>
      <c r="G67" s="49"/>
      <c r="H67" s="34" t="str">
        <f t="shared" si="2"/>
        <v/>
      </c>
      <c r="I67" s="42"/>
      <c r="J67" s="43"/>
      <c r="K67" s="43"/>
      <c r="L67" s="42"/>
      <c r="M67" s="42"/>
      <c r="N67" s="42"/>
    </row>
    <row r="68" spans="1:14" x14ac:dyDescent="0.3">
      <c r="A68" s="42"/>
      <c r="B68" s="42"/>
      <c r="C68" s="42"/>
      <c r="D68" s="42"/>
      <c r="E68" s="42"/>
      <c r="F68" s="44"/>
      <c r="G68" s="49"/>
      <c r="H68" s="34" t="str">
        <f t="shared" si="2"/>
        <v/>
      </c>
      <c r="I68" s="42"/>
      <c r="J68" s="43"/>
      <c r="K68" s="43"/>
      <c r="L68" s="42"/>
      <c r="M68" s="42"/>
      <c r="N68" s="42"/>
    </row>
    <row r="69" spans="1:14" x14ac:dyDescent="0.3">
      <c r="A69" s="42"/>
      <c r="B69" s="42"/>
      <c r="C69" s="42"/>
      <c r="D69" s="42"/>
      <c r="E69" s="42"/>
      <c r="F69" s="44"/>
      <c r="G69" s="49"/>
      <c r="H69" s="34" t="str">
        <f t="shared" si="2"/>
        <v/>
      </c>
      <c r="I69" s="42"/>
      <c r="J69" s="43"/>
      <c r="K69" s="43"/>
      <c r="L69" s="42"/>
      <c r="M69" s="42"/>
      <c r="N69" s="42"/>
    </row>
    <row r="70" spans="1:14" x14ac:dyDescent="0.3">
      <c r="A70" s="42"/>
      <c r="B70" s="42"/>
      <c r="C70" s="42"/>
      <c r="D70" s="42"/>
      <c r="E70" s="42"/>
      <c r="F70" s="44"/>
      <c r="G70" s="49"/>
      <c r="H70" s="34" t="str">
        <f t="shared" si="2"/>
        <v/>
      </c>
      <c r="I70" s="42"/>
      <c r="J70" s="43"/>
      <c r="K70" s="43"/>
      <c r="L70" s="42"/>
      <c r="M70" s="42"/>
      <c r="N70" s="42"/>
    </row>
    <row r="71" spans="1:14" x14ac:dyDescent="0.3">
      <c r="A71" s="42"/>
      <c r="B71" s="42"/>
      <c r="C71" s="42"/>
      <c r="D71" s="42"/>
      <c r="E71" s="42"/>
      <c r="F71" s="44"/>
      <c r="G71" s="49"/>
      <c r="H71" s="34" t="str">
        <f t="shared" si="2"/>
        <v/>
      </c>
      <c r="I71" s="42"/>
      <c r="J71" s="43"/>
      <c r="K71" s="43"/>
      <c r="L71" s="42"/>
      <c r="M71" s="42"/>
      <c r="N71" s="42"/>
    </row>
    <row r="72" spans="1:14" x14ac:dyDescent="0.3">
      <c r="A72" s="42"/>
      <c r="B72" s="42"/>
      <c r="C72" s="42"/>
      <c r="D72" s="42"/>
      <c r="E72" s="42"/>
      <c r="F72" s="44"/>
      <c r="G72" s="49"/>
      <c r="H72" s="34" t="str">
        <f t="shared" si="2"/>
        <v/>
      </c>
      <c r="I72" s="42"/>
      <c r="J72" s="43"/>
      <c r="K72" s="43"/>
      <c r="L72" s="42"/>
      <c r="M72" s="42"/>
      <c r="N72" s="42"/>
    </row>
    <row r="73" spans="1:14" x14ac:dyDescent="0.3">
      <c r="A73" s="42"/>
      <c r="B73" s="42"/>
      <c r="C73" s="42"/>
      <c r="D73" s="42"/>
      <c r="E73" s="42"/>
      <c r="F73" s="44"/>
      <c r="G73" s="49"/>
      <c r="H73" s="34" t="str">
        <f t="shared" si="2"/>
        <v/>
      </c>
      <c r="I73" s="42"/>
      <c r="J73" s="43"/>
      <c r="K73" s="43"/>
      <c r="L73" s="42"/>
      <c r="M73" s="42"/>
      <c r="N73" s="42"/>
    </row>
    <row r="74" spans="1:14" x14ac:dyDescent="0.3">
      <c r="A74" s="42"/>
      <c r="B74" s="42"/>
      <c r="C74" s="42"/>
      <c r="D74" s="42"/>
      <c r="E74" s="42"/>
      <c r="F74" s="44"/>
      <c r="G74" s="49"/>
      <c r="H74" s="34" t="str">
        <f t="shared" si="2"/>
        <v/>
      </c>
      <c r="I74" s="42"/>
      <c r="J74" s="43"/>
      <c r="K74" s="43"/>
      <c r="L74" s="42"/>
      <c r="M74" s="42"/>
      <c r="N74" s="42"/>
    </row>
    <row r="75" spans="1:14" x14ac:dyDescent="0.3">
      <c r="A75" s="42"/>
      <c r="B75" s="42"/>
      <c r="C75" s="42"/>
      <c r="D75" s="42"/>
      <c r="E75" s="42"/>
      <c r="F75" s="44"/>
      <c r="G75" s="49"/>
      <c r="H75" s="34" t="str">
        <f t="shared" si="2"/>
        <v/>
      </c>
      <c r="I75" s="42"/>
      <c r="J75" s="43"/>
      <c r="K75" s="43"/>
      <c r="L75" s="42"/>
      <c r="M75" s="42"/>
      <c r="N75" s="42"/>
    </row>
    <row r="76" spans="1:14" x14ac:dyDescent="0.3">
      <c r="A76" s="42"/>
      <c r="B76" s="42"/>
      <c r="C76" s="42"/>
      <c r="D76" s="42"/>
      <c r="E76" s="42"/>
      <c r="F76" s="44"/>
      <c r="G76" s="49"/>
      <c r="H76" s="34" t="str">
        <f t="shared" si="2"/>
        <v/>
      </c>
      <c r="I76" s="42"/>
      <c r="J76" s="43"/>
      <c r="K76" s="43"/>
      <c r="L76" s="42"/>
      <c r="M76" s="42"/>
      <c r="N76" s="42"/>
    </row>
    <row r="77" spans="1:14" x14ac:dyDescent="0.3">
      <c r="A77" s="42"/>
      <c r="B77" s="42"/>
      <c r="C77" s="42"/>
      <c r="D77" s="42"/>
      <c r="E77" s="42"/>
      <c r="F77" s="44"/>
      <c r="G77" s="49"/>
      <c r="H77" s="34" t="str">
        <f t="shared" si="2"/>
        <v/>
      </c>
      <c r="I77" s="42"/>
      <c r="J77" s="43"/>
      <c r="K77" s="43"/>
      <c r="L77" s="42"/>
      <c r="M77" s="42"/>
      <c r="N77" s="42"/>
    </row>
    <row r="78" spans="1:14" x14ac:dyDescent="0.3">
      <c r="A78" s="42"/>
      <c r="B78" s="42"/>
      <c r="C78" s="42"/>
      <c r="D78" s="42"/>
      <c r="E78" s="42"/>
      <c r="F78" s="44"/>
      <c r="G78" s="49"/>
      <c r="H78" s="34" t="str">
        <f t="shared" si="2"/>
        <v/>
      </c>
      <c r="I78" s="42"/>
      <c r="J78" s="43"/>
      <c r="K78" s="43"/>
      <c r="L78" s="42"/>
      <c r="M78" s="42"/>
      <c r="N78" s="42"/>
    </row>
    <row r="79" spans="1:14" x14ac:dyDescent="0.3">
      <c r="A79" s="42"/>
      <c r="B79" s="42"/>
      <c r="C79" s="42"/>
      <c r="D79" s="42"/>
      <c r="E79" s="42"/>
      <c r="F79" s="44"/>
      <c r="G79" s="49"/>
      <c r="H79" s="34" t="str">
        <f t="shared" si="2"/>
        <v/>
      </c>
      <c r="I79" s="42"/>
      <c r="J79" s="43"/>
      <c r="K79" s="43"/>
      <c r="L79" s="42"/>
      <c r="M79" s="42"/>
      <c r="N79" s="42"/>
    </row>
    <row r="80" spans="1:14" x14ac:dyDescent="0.3">
      <c r="A80" s="42"/>
      <c r="B80" s="42"/>
      <c r="C80" s="42"/>
      <c r="D80" s="42"/>
      <c r="E80" s="42"/>
      <c r="F80" s="44"/>
      <c r="G80" s="49"/>
      <c r="H80" s="34" t="str">
        <f t="shared" si="2"/>
        <v/>
      </c>
      <c r="I80" s="42"/>
      <c r="J80" s="43"/>
      <c r="K80" s="43"/>
      <c r="L80" s="42"/>
      <c r="M80" s="42"/>
      <c r="N80" s="42"/>
    </row>
    <row r="81" spans="1:14" x14ac:dyDescent="0.3">
      <c r="A81" s="42"/>
      <c r="B81" s="42"/>
      <c r="C81" s="42"/>
      <c r="D81" s="42"/>
      <c r="E81" s="42"/>
      <c r="F81" s="44"/>
      <c r="G81" s="49"/>
      <c r="H81" s="34" t="str">
        <f t="shared" si="2"/>
        <v/>
      </c>
      <c r="I81" s="42"/>
      <c r="J81" s="43"/>
      <c r="K81" s="43"/>
      <c r="L81" s="42"/>
      <c r="M81" s="42"/>
      <c r="N81" s="42"/>
    </row>
    <row r="82" spans="1:14" x14ac:dyDescent="0.3">
      <c r="A82" s="42"/>
      <c r="B82" s="42"/>
      <c r="C82" s="42"/>
      <c r="D82" s="42"/>
      <c r="E82" s="42"/>
      <c r="F82" s="44"/>
      <c r="G82" s="49"/>
      <c r="H82" s="34" t="str">
        <f t="shared" si="2"/>
        <v/>
      </c>
      <c r="I82" s="42"/>
      <c r="J82" s="43"/>
      <c r="K82" s="43"/>
      <c r="L82" s="42"/>
      <c r="M82" s="42"/>
      <c r="N82" s="42"/>
    </row>
    <row r="83" spans="1:14" x14ac:dyDescent="0.3">
      <c r="A83" s="42"/>
      <c r="B83" s="42"/>
      <c r="C83" s="42"/>
      <c r="D83" s="42"/>
      <c r="E83" s="42"/>
      <c r="F83" s="44"/>
      <c r="G83" s="49"/>
      <c r="H83" s="34" t="str">
        <f t="shared" si="2"/>
        <v/>
      </c>
      <c r="I83" s="42"/>
      <c r="J83" s="43"/>
      <c r="K83" s="43"/>
      <c r="L83" s="42"/>
      <c r="M83" s="42"/>
      <c r="N83" s="42"/>
    </row>
    <row r="84" spans="1:14" x14ac:dyDescent="0.3">
      <c r="A84" s="42"/>
      <c r="B84" s="42"/>
      <c r="C84" s="42"/>
      <c r="D84" s="42"/>
      <c r="E84" s="42"/>
      <c r="F84" s="44"/>
      <c r="G84" s="49"/>
      <c r="H84" s="34" t="str">
        <f t="shared" si="2"/>
        <v/>
      </c>
      <c r="I84" s="42"/>
      <c r="J84" s="43"/>
      <c r="K84" s="43"/>
      <c r="L84" s="42"/>
      <c r="M84" s="42"/>
      <c r="N84" s="42"/>
    </row>
    <row r="85" spans="1:14" x14ac:dyDescent="0.3">
      <c r="A85" s="42"/>
      <c r="B85" s="42"/>
      <c r="C85" s="42"/>
      <c r="D85" s="42"/>
      <c r="E85" s="42"/>
      <c r="F85" s="44"/>
      <c r="G85" s="49"/>
      <c r="H85" s="34" t="str">
        <f t="shared" si="2"/>
        <v/>
      </c>
      <c r="I85" s="42"/>
      <c r="J85" s="43"/>
      <c r="K85" s="43"/>
      <c r="L85" s="42"/>
      <c r="M85" s="42"/>
      <c r="N85" s="42"/>
    </row>
    <row r="86" spans="1:14" x14ac:dyDescent="0.3">
      <c r="A86" s="42"/>
      <c r="B86" s="42"/>
      <c r="C86" s="42"/>
      <c r="D86" s="42"/>
      <c r="E86" s="42"/>
      <c r="F86" s="44"/>
      <c r="G86" s="49"/>
      <c r="H86" s="34" t="str">
        <f t="shared" si="2"/>
        <v/>
      </c>
      <c r="I86" s="42"/>
      <c r="J86" s="43"/>
      <c r="K86" s="43"/>
      <c r="L86" s="42"/>
      <c r="M86" s="42"/>
      <c r="N86" s="42"/>
    </row>
    <row r="87" spans="1:14" x14ac:dyDescent="0.3">
      <c r="A87" s="42"/>
      <c r="B87" s="42"/>
      <c r="C87" s="42"/>
      <c r="D87" s="42"/>
      <c r="E87" s="42"/>
      <c r="F87" s="44"/>
      <c r="G87" s="49"/>
      <c r="H87" s="34" t="str">
        <f t="shared" si="2"/>
        <v/>
      </c>
      <c r="I87" s="42"/>
      <c r="J87" s="43"/>
      <c r="K87" s="43"/>
      <c r="L87" s="42"/>
      <c r="M87" s="42"/>
      <c r="N87" s="42"/>
    </row>
    <row r="88" spans="1:14" x14ac:dyDescent="0.3">
      <c r="A88" s="42"/>
      <c r="B88" s="42"/>
      <c r="C88" s="42"/>
      <c r="D88" s="42"/>
      <c r="E88" s="42"/>
      <c r="F88" s="44"/>
      <c r="G88" s="49"/>
      <c r="H88" s="34" t="str">
        <f t="shared" si="2"/>
        <v/>
      </c>
      <c r="I88" s="42"/>
      <c r="J88" s="43"/>
      <c r="K88" s="43"/>
      <c r="L88" s="42"/>
      <c r="M88" s="42"/>
      <c r="N88" s="42"/>
    </row>
    <row r="89" spans="1:14" x14ac:dyDescent="0.3">
      <c r="A89" s="42"/>
      <c r="B89" s="42"/>
      <c r="C89" s="42"/>
      <c r="D89" s="42"/>
      <c r="E89" s="42"/>
      <c r="F89" s="44"/>
      <c r="G89" s="49"/>
      <c r="H89" s="34" t="str">
        <f t="shared" si="2"/>
        <v/>
      </c>
      <c r="I89" s="42"/>
      <c r="J89" s="43"/>
      <c r="K89" s="43"/>
      <c r="L89" s="42"/>
      <c r="M89" s="42"/>
      <c r="N89" s="42"/>
    </row>
    <row r="90" spans="1:14" x14ac:dyDescent="0.3">
      <c r="A90" s="42"/>
      <c r="B90" s="42"/>
      <c r="C90" s="42"/>
      <c r="D90" s="42"/>
      <c r="E90" s="42"/>
      <c r="F90" s="44"/>
      <c r="G90" s="49"/>
      <c r="H90" s="34" t="str">
        <f t="shared" si="2"/>
        <v/>
      </c>
      <c r="I90" s="42"/>
      <c r="J90" s="43"/>
      <c r="K90" s="43"/>
      <c r="L90" s="42"/>
      <c r="M90" s="42"/>
      <c r="N90" s="42"/>
    </row>
    <row r="91" spans="1:14" x14ac:dyDescent="0.3">
      <c r="A91" s="42"/>
      <c r="B91" s="42"/>
      <c r="C91" s="42"/>
      <c r="D91" s="42"/>
      <c r="E91" s="42"/>
      <c r="F91" s="44"/>
      <c r="G91" s="49"/>
      <c r="H91" s="34" t="str">
        <f t="shared" si="2"/>
        <v/>
      </c>
      <c r="I91" s="42"/>
      <c r="J91" s="43"/>
      <c r="K91" s="43"/>
      <c r="L91" s="42"/>
      <c r="M91" s="42"/>
      <c r="N91" s="42"/>
    </row>
    <row r="92" spans="1:14" x14ac:dyDescent="0.3">
      <c r="A92" s="42"/>
      <c r="B92" s="42"/>
      <c r="C92" s="42"/>
      <c r="D92" s="42"/>
      <c r="E92" s="42"/>
      <c r="F92" s="44"/>
      <c r="G92" s="49"/>
      <c r="H92" s="34" t="str">
        <f t="shared" si="2"/>
        <v/>
      </c>
      <c r="I92" s="42"/>
      <c r="J92" s="43"/>
      <c r="K92" s="43"/>
      <c r="L92" s="42"/>
      <c r="M92" s="42"/>
      <c r="N92" s="42"/>
    </row>
    <row r="93" spans="1:14" x14ac:dyDescent="0.3">
      <c r="A93" s="42"/>
      <c r="B93" s="42"/>
      <c r="C93" s="42"/>
      <c r="D93" s="42"/>
      <c r="E93" s="42"/>
      <c r="F93" s="44"/>
      <c r="G93" s="49"/>
      <c r="H93" s="34" t="str">
        <f t="shared" si="2"/>
        <v/>
      </c>
      <c r="I93" s="42"/>
      <c r="J93" s="43"/>
      <c r="K93" s="43"/>
      <c r="L93" s="42"/>
      <c r="M93" s="42"/>
      <c r="N93" s="42"/>
    </row>
    <row r="94" spans="1:14" x14ac:dyDescent="0.3">
      <c r="A94" s="42"/>
      <c r="B94" s="42"/>
      <c r="C94" s="42"/>
      <c r="D94" s="42"/>
      <c r="E94" s="42"/>
      <c r="F94" s="44"/>
      <c r="G94" s="49"/>
      <c r="H94" s="34" t="str">
        <f t="shared" si="2"/>
        <v/>
      </c>
      <c r="I94" s="42"/>
      <c r="J94" s="43"/>
      <c r="K94" s="43"/>
      <c r="L94" s="42"/>
      <c r="M94" s="42"/>
      <c r="N94" s="42"/>
    </row>
    <row r="95" spans="1:14" x14ac:dyDescent="0.3">
      <c r="A95" s="42"/>
      <c r="B95" s="42"/>
      <c r="C95" s="42"/>
      <c r="D95" s="42"/>
      <c r="E95" s="42"/>
      <c r="F95" s="44"/>
      <c r="G95" s="49"/>
      <c r="H95" s="34" t="str">
        <f t="shared" si="2"/>
        <v/>
      </c>
      <c r="I95" s="42"/>
      <c r="J95" s="43"/>
      <c r="K95" s="43"/>
      <c r="L95" s="42"/>
      <c r="M95" s="42"/>
      <c r="N95" s="42"/>
    </row>
    <row r="96" spans="1:14" x14ac:dyDescent="0.3">
      <c r="A96" s="42"/>
      <c r="B96" s="42"/>
      <c r="C96" s="42"/>
      <c r="D96" s="42"/>
      <c r="E96" s="42"/>
      <c r="F96" s="44"/>
      <c r="G96" s="49"/>
      <c r="H96" s="34" t="str">
        <f t="shared" si="2"/>
        <v/>
      </c>
      <c r="I96" s="42"/>
      <c r="J96" s="43"/>
      <c r="K96" s="43"/>
      <c r="L96" s="42"/>
      <c r="M96" s="42"/>
      <c r="N96" s="42"/>
    </row>
    <row r="97" spans="1:14" x14ac:dyDescent="0.3">
      <c r="A97" s="42"/>
      <c r="B97" s="42"/>
      <c r="C97" s="42"/>
      <c r="D97" s="42"/>
      <c r="E97" s="42"/>
      <c r="F97" s="44"/>
      <c r="G97" s="49"/>
      <c r="H97" s="34" t="str">
        <f t="shared" si="2"/>
        <v/>
      </c>
      <c r="I97" s="42"/>
      <c r="J97" s="43"/>
      <c r="K97" s="43"/>
      <c r="L97" s="42"/>
      <c r="M97" s="42"/>
      <c r="N97" s="42"/>
    </row>
    <row r="98" spans="1:14" x14ac:dyDescent="0.3">
      <c r="A98" s="42"/>
      <c r="B98" s="42"/>
      <c r="C98" s="42"/>
      <c r="D98" s="42"/>
      <c r="E98" s="42"/>
      <c r="F98" s="44"/>
      <c r="G98" s="49"/>
      <c r="H98" s="34" t="str">
        <f t="shared" ref="H98:H129" si="3">IF($A98="","",$F98*$G98)</f>
        <v/>
      </c>
      <c r="I98" s="42"/>
      <c r="J98" s="43"/>
      <c r="K98" s="43"/>
      <c r="L98" s="42"/>
      <c r="M98" s="42"/>
      <c r="N98" s="42"/>
    </row>
    <row r="99" spans="1:14" x14ac:dyDescent="0.3">
      <c r="A99" s="42"/>
      <c r="B99" s="42"/>
      <c r="C99" s="42"/>
      <c r="D99" s="42"/>
      <c r="E99" s="42"/>
      <c r="F99" s="44"/>
      <c r="G99" s="49"/>
      <c r="H99" s="34" t="str">
        <f t="shared" si="3"/>
        <v/>
      </c>
      <c r="I99" s="42"/>
      <c r="J99" s="43"/>
      <c r="K99" s="43"/>
      <c r="L99" s="42"/>
      <c r="M99" s="42"/>
      <c r="N99" s="42"/>
    </row>
    <row r="100" spans="1:14" x14ac:dyDescent="0.3">
      <c r="A100" s="42"/>
      <c r="B100" s="42"/>
      <c r="C100" s="42"/>
      <c r="D100" s="42"/>
      <c r="E100" s="42"/>
      <c r="F100" s="44"/>
      <c r="G100" s="49"/>
      <c r="H100" s="34" t="str">
        <f t="shared" si="3"/>
        <v/>
      </c>
      <c r="I100" s="42"/>
      <c r="J100" s="43"/>
      <c r="K100" s="43"/>
      <c r="L100" s="42"/>
      <c r="M100" s="42"/>
      <c r="N100" s="42"/>
    </row>
    <row r="101" spans="1:14" x14ac:dyDescent="0.3">
      <c r="A101" s="42"/>
      <c r="B101" s="42"/>
      <c r="C101" s="42"/>
      <c r="D101" s="42"/>
      <c r="E101" s="42"/>
      <c r="F101" s="44"/>
      <c r="G101" s="49"/>
      <c r="H101" s="34" t="str">
        <f t="shared" si="3"/>
        <v/>
      </c>
      <c r="I101" s="42"/>
      <c r="J101" s="43"/>
      <c r="K101" s="43"/>
      <c r="L101" s="42"/>
      <c r="M101" s="42"/>
      <c r="N101" s="42"/>
    </row>
    <row r="102" spans="1:14" x14ac:dyDescent="0.3">
      <c r="A102" s="42"/>
      <c r="B102" s="42"/>
      <c r="C102" s="42"/>
      <c r="D102" s="42"/>
      <c r="E102" s="42"/>
      <c r="F102" s="44"/>
      <c r="G102" s="49"/>
      <c r="H102" s="34" t="str">
        <f t="shared" si="3"/>
        <v/>
      </c>
      <c r="I102" s="42"/>
      <c r="J102" s="43"/>
      <c r="K102" s="43"/>
      <c r="L102" s="42"/>
      <c r="M102" s="42"/>
      <c r="N102" s="42"/>
    </row>
    <row r="103" spans="1:14" x14ac:dyDescent="0.3">
      <c r="A103" s="42"/>
      <c r="B103" s="42"/>
      <c r="C103" s="42"/>
      <c r="D103" s="42"/>
      <c r="E103" s="42"/>
      <c r="F103" s="44"/>
      <c r="G103" s="49"/>
      <c r="H103" s="34" t="str">
        <f t="shared" si="3"/>
        <v/>
      </c>
      <c r="I103" s="42"/>
      <c r="J103" s="43"/>
      <c r="K103" s="43"/>
      <c r="L103" s="42"/>
      <c r="M103" s="42"/>
      <c r="N103" s="42"/>
    </row>
    <row r="104" spans="1:14" x14ac:dyDescent="0.3">
      <c r="A104" s="42"/>
      <c r="B104" s="42"/>
      <c r="C104" s="42"/>
      <c r="D104" s="42"/>
      <c r="E104" s="42"/>
      <c r="F104" s="44"/>
      <c r="G104" s="49"/>
      <c r="H104" s="34" t="str">
        <f t="shared" si="3"/>
        <v/>
      </c>
      <c r="I104" s="42"/>
      <c r="J104" s="43"/>
      <c r="K104" s="43"/>
      <c r="L104" s="42"/>
      <c r="M104" s="42"/>
      <c r="N104" s="42"/>
    </row>
    <row r="105" spans="1:14" x14ac:dyDescent="0.3">
      <c r="A105" s="42"/>
      <c r="B105" s="42"/>
      <c r="C105" s="42"/>
      <c r="D105" s="42"/>
      <c r="E105" s="42"/>
      <c r="F105" s="44"/>
      <c r="G105" s="49"/>
      <c r="H105" s="34" t="str">
        <f t="shared" si="3"/>
        <v/>
      </c>
      <c r="I105" s="42"/>
      <c r="J105" s="43"/>
      <c r="K105" s="43"/>
      <c r="L105" s="42"/>
      <c r="M105" s="42"/>
      <c r="N105" s="42"/>
    </row>
    <row r="106" spans="1:14" x14ac:dyDescent="0.3">
      <c r="A106" s="42"/>
      <c r="B106" s="42"/>
      <c r="C106" s="42"/>
      <c r="D106" s="42"/>
      <c r="E106" s="42"/>
      <c r="F106" s="44"/>
      <c r="G106" s="49"/>
      <c r="H106" s="34" t="str">
        <f t="shared" si="3"/>
        <v/>
      </c>
      <c r="I106" s="42"/>
      <c r="J106" s="43"/>
      <c r="K106" s="43"/>
      <c r="L106" s="42"/>
      <c r="M106" s="42"/>
      <c r="N106" s="42"/>
    </row>
    <row r="107" spans="1:14" x14ac:dyDescent="0.3">
      <c r="A107" s="42"/>
      <c r="B107" s="42"/>
      <c r="C107" s="42"/>
      <c r="D107" s="42"/>
      <c r="E107" s="42"/>
      <c r="F107" s="44"/>
      <c r="G107" s="49"/>
      <c r="H107" s="34" t="str">
        <f t="shared" si="3"/>
        <v/>
      </c>
      <c r="I107" s="42"/>
      <c r="J107" s="43"/>
      <c r="K107" s="43"/>
      <c r="L107" s="42"/>
      <c r="M107" s="42"/>
      <c r="N107" s="42"/>
    </row>
    <row r="108" spans="1:14" x14ac:dyDescent="0.3">
      <c r="A108" s="42"/>
      <c r="B108" s="42"/>
      <c r="C108" s="42"/>
      <c r="D108" s="42"/>
      <c r="E108" s="42"/>
      <c r="F108" s="44"/>
      <c r="G108" s="49"/>
      <c r="H108" s="34" t="str">
        <f t="shared" si="3"/>
        <v/>
      </c>
      <c r="I108" s="42"/>
      <c r="J108" s="43"/>
      <c r="K108" s="43"/>
      <c r="L108" s="42"/>
      <c r="M108" s="42"/>
      <c r="N108" s="42"/>
    </row>
    <row r="109" spans="1:14" x14ac:dyDescent="0.3">
      <c r="A109" s="42"/>
      <c r="B109" s="42"/>
      <c r="C109" s="42"/>
      <c r="D109" s="42"/>
      <c r="E109" s="42"/>
      <c r="F109" s="44"/>
      <c r="G109" s="49"/>
      <c r="H109" s="34" t="str">
        <f t="shared" si="3"/>
        <v/>
      </c>
      <c r="I109" s="42"/>
      <c r="J109" s="43"/>
      <c r="K109" s="43"/>
      <c r="L109" s="42"/>
      <c r="M109" s="42"/>
      <c r="N109" s="42"/>
    </row>
    <row r="110" spans="1:14" x14ac:dyDescent="0.3">
      <c r="A110" s="42"/>
      <c r="B110" s="42"/>
      <c r="C110" s="42"/>
      <c r="D110" s="42"/>
      <c r="E110" s="42"/>
      <c r="F110" s="44"/>
      <c r="G110" s="49"/>
      <c r="H110" s="34" t="str">
        <f t="shared" si="3"/>
        <v/>
      </c>
      <c r="I110" s="42"/>
      <c r="J110" s="43"/>
      <c r="K110" s="43"/>
      <c r="L110" s="42"/>
      <c r="M110" s="42"/>
      <c r="N110" s="42"/>
    </row>
    <row r="111" spans="1:14" x14ac:dyDescent="0.3">
      <c r="A111" s="42"/>
      <c r="B111" s="42"/>
      <c r="C111" s="42"/>
      <c r="D111" s="42"/>
      <c r="E111" s="42"/>
      <c r="F111" s="44"/>
      <c r="G111" s="49"/>
      <c r="H111" s="34" t="str">
        <f t="shared" si="3"/>
        <v/>
      </c>
      <c r="I111" s="42"/>
      <c r="J111" s="43"/>
      <c r="K111" s="43"/>
      <c r="L111" s="42"/>
      <c r="M111" s="42"/>
      <c r="N111" s="42"/>
    </row>
    <row r="112" spans="1:14" x14ac:dyDescent="0.3">
      <c r="A112" s="42"/>
      <c r="B112" s="42"/>
      <c r="C112" s="42"/>
      <c r="D112" s="42"/>
      <c r="E112" s="42"/>
      <c r="F112" s="44"/>
      <c r="G112" s="49"/>
      <c r="H112" s="34" t="str">
        <f t="shared" si="3"/>
        <v/>
      </c>
      <c r="I112" s="42"/>
      <c r="J112" s="43"/>
      <c r="K112" s="43"/>
      <c r="L112" s="42"/>
      <c r="M112" s="42"/>
      <c r="N112" s="42"/>
    </row>
    <row r="113" spans="1:14" x14ac:dyDescent="0.3">
      <c r="A113" s="42"/>
      <c r="B113" s="42"/>
      <c r="C113" s="42"/>
      <c r="D113" s="42"/>
      <c r="E113" s="42"/>
      <c r="F113" s="44"/>
      <c r="G113" s="49"/>
      <c r="H113" s="34" t="str">
        <f t="shared" si="3"/>
        <v/>
      </c>
      <c r="I113" s="42"/>
      <c r="J113" s="43"/>
      <c r="K113" s="43"/>
      <c r="L113" s="42"/>
      <c r="M113" s="42"/>
      <c r="N113" s="42"/>
    </row>
    <row r="114" spans="1:14" x14ac:dyDescent="0.3">
      <c r="A114" s="42"/>
      <c r="B114" s="42"/>
      <c r="C114" s="42"/>
      <c r="D114" s="42"/>
      <c r="E114" s="42"/>
      <c r="F114" s="44"/>
      <c r="G114" s="49"/>
      <c r="H114" s="34" t="str">
        <f t="shared" si="3"/>
        <v/>
      </c>
      <c r="I114" s="42"/>
      <c r="J114" s="43"/>
      <c r="K114" s="43"/>
      <c r="L114" s="42"/>
      <c r="M114" s="42"/>
      <c r="N114" s="42"/>
    </row>
    <row r="115" spans="1:14" x14ac:dyDescent="0.3">
      <c r="A115" s="42"/>
      <c r="B115" s="42"/>
      <c r="C115" s="42"/>
      <c r="D115" s="42"/>
      <c r="E115" s="42"/>
      <c r="F115" s="44"/>
      <c r="G115" s="49"/>
      <c r="H115" s="34" t="str">
        <f t="shared" si="3"/>
        <v/>
      </c>
      <c r="I115" s="42"/>
      <c r="J115" s="43"/>
      <c r="K115" s="43"/>
      <c r="L115" s="42"/>
      <c r="M115" s="42"/>
      <c r="N115" s="42"/>
    </row>
    <row r="116" spans="1:14" x14ac:dyDescent="0.3">
      <c r="A116" s="42"/>
      <c r="B116" s="42"/>
      <c r="C116" s="42"/>
      <c r="D116" s="42"/>
      <c r="E116" s="42"/>
      <c r="F116" s="44"/>
      <c r="G116" s="49"/>
      <c r="H116" s="34" t="str">
        <f t="shared" si="3"/>
        <v/>
      </c>
      <c r="I116" s="42"/>
      <c r="J116" s="43"/>
      <c r="K116" s="43"/>
      <c r="L116" s="42"/>
      <c r="M116" s="42"/>
      <c r="N116" s="42"/>
    </row>
    <row r="117" spans="1:14" x14ac:dyDescent="0.3">
      <c r="A117" s="42"/>
      <c r="B117" s="42"/>
      <c r="C117" s="42"/>
      <c r="D117" s="42"/>
      <c r="E117" s="42"/>
      <c r="F117" s="44"/>
      <c r="G117" s="49"/>
      <c r="H117" s="34" t="str">
        <f t="shared" si="3"/>
        <v/>
      </c>
      <c r="I117" s="42"/>
      <c r="J117" s="43"/>
      <c r="K117" s="43"/>
      <c r="L117" s="42"/>
      <c r="M117" s="42"/>
      <c r="N117" s="42"/>
    </row>
    <row r="118" spans="1:14" x14ac:dyDescent="0.3">
      <c r="A118" s="42"/>
      <c r="B118" s="42"/>
      <c r="C118" s="42"/>
      <c r="D118" s="42"/>
      <c r="E118" s="42"/>
      <c r="F118" s="44"/>
      <c r="G118" s="49"/>
      <c r="H118" s="34" t="str">
        <f t="shared" si="3"/>
        <v/>
      </c>
      <c r="I118" s="42"/>
      <c r="J118" s="43"/>
      <c r="K118" s="43"/>
      <c r="L118" s="42"/>
      <c r="M118" s="42"/>
      <c r="N118" s="42"/>
    </row>
    <row r="119" spans="1:14" x14ac:dyDescent="0.3">
      <c r="A119" s="42"/>
      <c r="B119" s="42"/>
      <c r="C119" s="42"/>
      <c r="D119" s="42"/>
      <c r="E119" s="42"/>
      <c r="F119" s="44"/>
      <c r="G119" s="49"/>
      <c r="H119" s="34" t="str">
        <f t="shared" si="3"/>
        <v/>
      </c>
      <c r="I119" s="42"/>
      <c r="J119" s="43"/>
      <c r="K119" s="43"/>
      <c r="L119" s="42"/>
      <c r="M119" s="42"/>
      <c r="N119" s="42"/>
    </row>
    <row r="120" spans="1:14" x14ac:dyDescent="0.3">
      <c r="A120" s="42"/>
      <c r="B120" s="42"/>
      <c r="C120" s="42"/>
      <c r="D120" s="42"/>
      <c r="E120" s="42"/>
      <c r="F120" s="44"/>
      <c r="G120" s="49"/>
      <c r="H120" s="34" t="str">
        <f t="shared" si="3"/>
        <v/>
      </c>
      <c r="I120" s="42"/>
      <c r="J120" s="43"/>
      <c r="K120" s="43"/>
      <c r="L120" s="42"/>
      <c r="M120" s="42"/>
      <c r="N120" s="42"/>
    </row>
    <row r="121" spans="1:14" x14ac:dyDescent="0.3">
      <c r="A121" s="42"/>
      <c r="B121" s="42"/>
      <c r="C121" s="42"/>
      <c r="D121" s="42"/>
      <c r="E121" s="42"/>
      <c r="F121" s="44"/>
      <c r="G121" s="49"/>
      <c r="H121" s="34" t="str">
        <f t="shared" si="3"/>
        <v/>
      </c>
      <c r="I121" s="42"/>
      <c r="J121" s="43"/>
      <c r="K121" s="43"/>
      <c r="L121" s="42"/>
      <c r="M121" s="42"/>
      <c r="N121" s="42"/>
    </row>
    <row r="122" spans="1:14" x14ac:dyDescent="0.3">
      <c r="A122" s="42"/>
      <c r="B122" s="42"/>
      <c r="C122" s="42"/>
      <c r="D122" s="42"/>
      <c r="E122" s="42"/>
      <c r="F122" s="44"/>
      <c r="G122" s="49"/>
      <c r="H122" s="34" t="str">
        <f t="shared" si="3"/>
        <v/>
      </c>
      <c r="I122" s="42"/>
      <c r="J122" s="43"/>
      <c r="K122" s="43"/>
      <c r="L122" s="42"/>
      <c r="M122" s="42"/>
      <c r="N122" s="42"/>
    </row>
    <row r="123" spans="1:14" x14ac:dyDescent="0.3">
      <c r="A123" s="42"/>
      <c r="B123" s="42"/>
      <c r="C123" s="42"/>
      <c r="D123" s="42"/>
      <c r="E123" s="42"/>
      <c r="F123" s="44"/>
      <c r="G123" s="49"/>
      <c r="H123" s="34" t="str">
        <f t="shared" si="3"/>
        <v/>
      </c>
      <c r="I123" s="42"/>
      <c r="J123" s="43"/>
      <c r="K123" s="43"/>
      <c r="L123" s="42"/>
      <c r="M123" s="42"/>
      <c r="N123" s="42"/>
    </row>
    <row r="124" spans="1:14" x14ac:dyDescent="0.3">
      <c r="A124" s="42"/>
      <c r="B124" s="42"/>
      <c r="C124" s="42"/>
      <c r="D124" s="42"/>
      <c r="E124" s="42"/>
      <c r="F124" s="44"/>
      <c r="G124" s="49"/>
      <c r="H124" s="34" t="str">
        <f t="shared" si="3"/>
        <v/>
      </c>
      <c r="I124" s="42"/>
      <c r="J124" s="43"/>
      <c r="K124" s="43"/>
      <c r="L124" s="42"/>
      <c r="M124" s="42"/>
      <c r="N124" s="42"/>
    </row>
    <row r="125" spans="1:14" x14ac:dyDescent="0.3">
      <c r="A125" s="42"/>
      <c r="B125" s="42"/>
      <c r="C125" s="42"/>
      <c r="D125" s="42"/>
      <c r="E125" s="42"/>
      <c r="F125" s="44"/>
      <c r="G125" s="49"/>
      <c r="H125" s="34" t="str">
        <f t="shared" si="3"/>
        <v/>
      </c>
      <c r="I125" s="42"/>
      <c r="J125" s="43"/>
      <c r="K125" s="43"/>
      <c r="L125" s="42"/>
      <c r="M125" s="42"/>
      <c r="N125" s="42"/>
    </row>
    <row r="126" spans="1:14" x14ac:dyDescent="0.3">
      <c r="A126" s="42"/>
      <c r="B126" s="42"/>
      <c r="C126" s="42"/>
      <c r="D126" s="42"/>
      <c r="E126" s="42"/>
      <c r="F126" s="44"/>
      <c r="G126" s="49"/>
      <c r="H126" s="34" t="str">
        <f t="shared" si="3"/>
        <v/>
      </c>
      <c r="I126" s="42"/>
      <c r="J126" s="43"/>
      <c r="K126" s="43"/>
      <c r="L126" s="42"/>
      <c r="M126" s="42"/>
      <c r="N126" s="42"/>
    </row>
    <row r="127" spans="1:14" x14ac:dyDescent="0.3">
      <c r="A127" s="42"/>
      <c r="B127" s="42"/>
      <c r="C127" s="42"/>
      <c r="D127" s="42"/>
      <c r="E127" s="42"/>
      <c r="F127" s="44"/>
      <c r="G127" s="49"/>
      <c r="H127" s="34" t="str">
        <f t="shared" si="3"/>
        <v/>
      </c>
      <c r="I127" s="42"/>
      <c r="J127" s="43"/>
      <c r="K127" s="43"/>
      <c r="L127" s="42"/>
      <c r="M127" s="42"/>
      <c r="N127" s="42"/>
    </row>
    <row r="128" spans="1:14" x14ac:dyDescent="0.3">
      <c r="A128" s="42"/>
      <c r="B128" s="42"/>
      <c r="C128" s="42"/>
      <c r="D128" s="42"/>
      <c r="E128" s="42"/>
      <c r="F128" s="44"/>
      <c r="G128" s="49"/>
      <c r="H128" s="34" t="str">
        <f t="shared" si="3"/>
        <v/>
      </c>
      <c r="I128" s="42"/>
      <c r="J128" s="43"/>
      <c r="K128" s="43"/>
      <c r="L128" s="42"/>
      <c r="M128" s="42"/>
      <c r="N128" s="42"/>
    </row>
    <row r="129" spans="1:14" x14ac:dyDescent="0.3">
      <c r="A129" s="42"/>
      <c r="B129" s="42"/>
      <c r="C129" s="42"/>
      <c r="D129" s="42"/>
      <c r="E129" s="42"/>
      <c r="F129" s="44"/>
      <c r="G129" s="49"/>
      <c r="H129" s="34" t="str">
        <f t="shared" si="3"/>
        <v/>
      </c>
      <c r="I129" s="42"/>
      <c r="J129" s="43"/>
      <c r="K129" s="43"/>
      <c r="L129" s="42"/>
      <c r="M129" s="42"/>
      <c r="N129" s="42"/>
    </row>
    <row r="130" spans="1:14" x14ac:dyDescent="0.3">
      <c r="A130" s="42"/>
      <c r="B130" s="42"/>
      <c r="C130" s="42"/>
      <c r="D130" s="42"/>
      <c r="E130" s="42"/>
      <c r="F130" s="44"/>
      <c r="G130" s="49"/>
      <c r="H130" s="34" t="str">
        <f t="shared" ref="H130:H161" si="4">IF($A130="","",$F130*$G130)</f>
        <v/>
      </c>
      <c r="I130" s="42"/>
      <c r="J130" s="43"/>
      <c r="K130" s="43"/>
      <c r="L130" s="42"/>
      <c r="M130" s="42"/>
      <c r="N130" s="42"/>
    </row>
    <row r="131" spans="1:14" x14ac:dyDescent="0.3">
      <c r="A131" s="42"/>
      <c r="B131" s="42"/>
      <c r="C131" s="42"/>
      <c r="D131" s="42"/>
      <c r="E131" s="42"/>
      <c r="F131" s="44"/>
      <c r="G131" s="49"/>
      <c r="H131" s="34" t="str">
        <f t="shared" si="4"/>
        <v/>
      </c>
      <c r="I131" s="42"/>
      <c r="J131" s="43"/>
      <c r="K131" s="43"/>
      <c r="L131" s="42"/>
      <c r="M131" s="42"/>
      <c r="N131" s="42"/>
    </row>
    <row r="132" spans="1:14" x14ac:dyDescent="0.3">
      <c r="A132" s="42"/>
      <c r="B132" s="42"/>
      <c r="C132" s="42"/>
      <c r="D132" s="42"/>
      <c r="E132" s="42"/>
      <c r="F132" s="44"/>
      <c r="G132" s="49"/>
      <c r="H132" s="34" t="str">
        <f t="shared" si="4"/>
        <v/>
      </c>
      <c r="I132" s="42"/>
      <c r="J132" s="43"/>
      <c r="K132" s="43"/>
      <c r="L132" s="42"/>
      <c r="M132" s="42"/>
      <c r="N132" s="42"/>
    </row>
    <row r="133" spans="1:14" x14ac:dyDescent="0.3">
      <c r="A133" s="42"/>
      <c r="B133" s="42"/>
      <c r="C133" s="42"/>
      <c r="D133" s="42"/>
      <c r="E133" s="42"/>
      <c r="F133" s="44"/>
      <c r="G133" s="49"/>
      <c r="H133" s="34" t="str">
        <f t="shared" si="4"/>
        <v/>
      </c>
      <c r="I133" s="42"/>
      <c r="J133" s="43"/>
      <c r="K133" s="43"/>
      <c r="L133" s="42"/>
      <c r="M133" s="42"/>
      <c r="N133" s="42"/>
    </row>
    <row r="134" spans="1:14" x14ac:dyDescent="0.3">
      <c r="A134" s="42"/>
      <c r="B134" s="42"/>
      <c r="C134" s="42"/>
      <c r="D134" s="42"/>
      <c r="E134" s="42"/>
      <c r="F134" s="44"/>
      <c r="G134" s="49"/>
      <c r="H134" s="34" t="str">
        <f t="shared" si="4"/>
        <v/>
      </c>
      <c r="I134" s="42"/>
      <c r="J134" s="43"/>
      <c r="K134" s="43"/>
      <c r="L134" s="42"/>
      <c r="M134" s="42"/>
      <c r="N134" s="42"/>
    </row>
    <row r="135" spans="1:14" x14ac:dyDescent="0.3">
      <c r="A135" s="42"/>
      <c r="B135" s="42"/>
      <c r="C135" s="42"/>
      <c r="D135" s="42"/>
      <c r="E135" s="42"/>
      <c r="F135" s="44"/>
      <c r="G135" s="49"/>
      <c r="H135" s="34" t="str">
        <f t="shared" si="4"/>
        <v/>
      </c>
      <c r="I135" s="42"/>
      <c r="J135" s="43"/>
      <c r="K135" s="43"/>
      <c r="L135" s="42"/>
      <c r="M135" s="42"/>
      <c r="N135" s="42"/>
    </row>
    <row r="136" spans="1:14" x14ac:dyDescent="0.3">
      <c r="A136" s="42"/>
      <c r="B136" s="42"/>
      <c r="C136" s="42"/>
      <c r="D136" s="42"/>
      <c r="E136" s="42"/>
      <c r="F136" s="44"/>
      <c r="G136" s="49"/>
      <c r="H136" s="34" t="str">
        <f t="shared" si="4"/>
        <v/>
      </c>
      <c r="I136" s="42"/>
      <c r="J136" s="43"/>
      <c r="K136" s="43"/>
      <c r="L136" s="42"/>
      <c r="M136" s="42"/>
      <c r="N136" s="42"/>
    </row>
    <row r="137" spans="1:14" x14ac:dyDescent="0.3">
      <c r="A137" s="42"/>
      <c r="B137" s="42"/>
      <c r="C137" s="42"/>
      <c r="D137" s="42"/>
      <c r="E137" s="42"/>
      <c r="F137" s="44"/>
      <c r="G137" s="49"/>
      <c r="H137" s="34" t="str">
        <f t="shared" si="4"/>
        <v/>
      </c>
      <c r="I137" s="42"/>
      <c r="J137" s="43"/>
      <c r="K137" s="43"/>
      <c r="L137" s="42"/>
      <c r="M137" s="42"/>
      <c r="N137" s="42"/>
    </row>
    <row r="138" spans="1:14" x14ac:dyDescent="0.3">
      <c r="A138" s="42"/>
      <c r="B138" s="42"/>
      <c r="C138" s="42"/>
      <c r="D138" s="42"/>
      <c r="E138" s="42"/>
      <c r="F138" s="44"/>
      <c r="G138" s="49"/>
      <c r="H138" s="34" t="str">
        <f t="shared" si="4"/>
        <v/>
      </c>
      <c r="I138" s="42"/>
      <c r="J138" s="43"/>
      <c r="K138" s="43"/>
      <c r="L138" s="42"/>
      <c r="M138" s="42"/>
      <c r="N138" s="42"/>
    </row>
    <row r="139" spans="1:14" x14ac:dyDescent="0.3">
      <c r="A139" s="42"/>
      <c r="B139" s="42"/>
      <c r="C139" s="42"/>
      <c r="D139" s="42"/>
      <c r="E139" s="42"/>
      <c r="F139" s="44"/>
      <c r="G139" s="49"/>
      <c r="H139" s="34" t="str">
        <f t="shared" si="4"/>
        <v/>
      </c>
      <c r="I139" s="42"/>
      <c r="J139" s="43"/>
      <c r="K139" s="43"/>
      <c r="L139" s="42"/>
      <c r="M139" s="42"/>
      <c r="N139" s="42"/>
    </row>
    <row r="140" spans="1:14" x14ac:dyDescent="0.3">
      <c r="A140" s="42"/>
      <c r="B140" s="42"/>
      <c r="C140" s="42"/>
      <c r="D140" s="42"/>
      <c r="E140" s="42"/>
      <c r="F140" s="44"/>
      <c r="G140" s="49"/>
      <c r="H140" s="34" t="str">
        <f t="shared" si="4"/>
        <v/>
      </c>
      <c r="I140" s="42"/>
      <c r="J140" s="43"/>
      <c r="K140" s="43"/>
      <c r="L140" s="42"/>
      <c r="M140" s="42"/>
      <c r="N140" s="42"/>
    </row>
    <row r="141" spans="1:14" x14ac:dyDescent="0.3">
      <c r="A141" s="42"/>
      <c r="B141" s="42"/>
      <c r="C141" s="42"/>
      <c r="D141" s="42"/>
      <c r="E141" s="42"/>
      <c r="F141" s="44"/>
      <c r="G141" s="49"/>
      <c r="H141" s="34" t="str">
        <f t="shared" si="4"/>
        <v/>
      </c>
      <c r="I141" s="42"/>
      <c r="J141" s="43"/>
      <c r="K141" s="43"/>
      <c r="L141" s="42"/>
      <c r="M141" s="42"/>
      <c r="N141" s="42"/>
    </row>
    <row r="142" spans="1:14" x14ac:dyDescent="0.3">
      <c r="A142" s="42"/>
      <c r="B142" s="42"/>
      <c r="C142" s="42"/>
      <c r="D142" s="42"/>
      <c r="E142" s="42"/>
      <c r="F142" s="44"/>
      <c r="G142" s="49"/>
      <c r="H142" s="34" t="str">
        <f t="shared" si="4"/>
        <v/>
      </c>
      <c r="I142" s="42"/>
      <c r="J142" s="43"/>
      <c r="K142" s="43"/>
      <c r="L142" s="42"/>
      <c r="M142" s="42"/>
      <c r="N142" s="42"/>
    </row>
    <row r="143" spans="1:14" x14ac:dyDescent="0.3">
      <c r="A143" s="42"/>
      <c r="B143" s="42"/>
      <c r="C143" s="42"/>
      <c r="D143" s="42"/>
      <c r="E143" s="42"/>
      <c r="F143" s="44"/>
      <c r="G143" s="49"/>
      <c r="H143" s="34" t="str">
        <f t="shared" si="4"/>
        <v/>
      </c>
      <c r="I143" s="42"/>
      <c r="J143" s="43"/>
      <c r="K143" s="43"/>
      <c r="L143" s="42"/>
      <c r="M143" s="42"/>
      <c r="N143" s="42"/>
    </row>
    <row r="144" spans="1:14" x14ac:dyDescent="0.3">
      <c r="A144" s="42"/>
      <c r="B144" s="42"/>
      <c r="C144" s="42"/>
      <c r="D144" s="42"/>
      <c r="E144" s="42"/>
      <c r="F144" s="44"/>
      <c r="G144" s="49"/>
      <c r="H144" s="34" t="str">
        <f t="shared" si="4"/>
        <v/>
      </c>
      <c r="I144" s="42"/>
      <c r="J144" s="43"/>
      <c r="K144" s="43"/>
      <c r="L144" s="42"/>
      <c r="M144" s="42"/>
      <c r="N144" s="42"/>
    </row>
    <row r="145" spans="1:14" x14ac:dyDescent="0.3">
      <c r="A145" s="42"/>
      <c r="B145" s="42"/>
      <c r="C145" s="42"/>
      <c r="D145" s="42"/>
      <c r="E145" s="42"/>
      <c r="F145" s="44"/>
      <c r="G145" s="49"/>
      <c r="H145" s="34" t="str">
        <f t="shared" si="4"/>
        <v/>
      </c>
      <c r="I145" s="42"/>
      <c r="J145" s="43"/>
      <c r="K145" s="43"/>
      <c r="L145" s="42"/>
      <c r="M145" s="42"/>
      <c r="N145" s="42"/>
    </row>
    <row r="146" spans="1:14" x14ac:dyDescent="0.3">
      <c r="A146" s="42"/>
      <c r="B146" s="42"/>
      <c r="C146" s="42"/>
      <c r="D146" s="42"/>
      <c r="E146" s="42"/>
      <c r="F146" s="44"/>
      <c r="G146" s="49"/>
      <c r="H146" s="34" t="str">
        <f t="shared" si="4"/>
        <v/>
      </c>
      <c r="I146" s="42"/>
      <c r="J146" s="43"/>
      <c r="K146" s="43"/>
      <c r="L146" s="42"/>
      <c r="M146" s="42"/>
      <c r="N146" s="42"/>
    </row>
    <row r="147" spans="1:14" x14ac:dyDescent="0.3">
      <c r="A147" s="42"/>
      <c r="B147" s="42"/>
      <c r="C147" s="42"/>
      <c r="D147" s="42"/>
      <c r="E147" s="42"/>
      <c r="F147" s="44"/>
      <c r="G147" s="49"/>
      <c r="H147" s="34" t="str">
        <f t="shared" si="4"/>
        <v/>
      </c>
      <c r="I147" s="42"/>
      <c r="J147" s="43"/>
      <c r="K147" s="43"/>
      <c r="L147" s="42"/>
      <c r="M147" s="42"/>
      <c r="N147" s="42"/>
    </row>
    <row r="148" spans="1:14" x14ac:dyDescent="0.3">
      <c r="A148" s="42"/>
      <c r="B148" s="42"/>
      <c r="C148" s="42"/>
      <c r="D148" s="42"/>
      <c r="E148" s="42"/>
      <c r="F148" s="44"/>
      <c r="G148" s="49"/>
      <c r="H148" s="34" t="str">
        <f t="shared" si="4"/>
        <v/>
      </c>
      <c r="I148" s="42"/>
      <c r="J148" s="43"/>
      <c r="K148" s="43"/>
      <c r="L148" s="42"/>
      <c r="M148" s="42"/>
      <c r="N148" s="42"/>
    </row>
    <row r="149" spans="1:14" x14ac:dyDescent="0.3">
      <c r="A149" s="42"/>
      <c r="B149" s="42"/>
      <c r="C149" s="42"/>
      <c r="D149" s="42"/>
      <c r="E149" s="42"/>
      <c r="F149" s="44"/>
      <c r="G149" s="49"/>
      <c r="H149" s="34" t="str">
        <f t="shared" si="4"/>
        <v/>
      </c>
      <c r="I149" s="42"/>
      <c r="J149" s="43"/>
      <c r="K149" s="43"/>
      <c r="L149" s="42"/>
      <c r="M149" s="42"/>
      <c r="N149" s="42"/>
    </row>
    <row r="150" spans="1:14" x14ac:dyDescent="0.3">
      <c r="A150" s="42"/>
      <c r="B150" s="42"/>
      <c r="C150" s="42"/>
      <c r="D150" s="42"/>
      <c r="E150" s="42"/>
      <c r="F150" s="44"/>
      <c r="G150" s="49"/>
      <c r="H150" s="34" t="str">
        <f t="shared" si="4"/>
        <v/>
      </c>
      <c r="I150" s="42"/>
      <c r="J150" s="43"/>
      <c r="K150" s="43"/>
      <c r="L150" s="42"/>
      <c r="M150" s="42"/>
      <c r="N150" s="42"/>
    </row>
    <row r="151" spans="1:14" x14ac:dyDescent="0.3">
      <c r="A151" s="42"/>
      <c r="B151" s="42"/>
      <c r="C151" s="42"/>
      <c r="D151" s="42"/>
      <c r="E151" s="42"/>
      <c r="F151" s="44"/>
      <c r="G151" s="49"/>
      <c r="H151" s="34" t="str">
        <f t="shared" si="4"/>
        <v/>
      </c>
      <c r="I151" s="42"/>
      <c r="J151" s="43"/>
      <c r="K151" s="43"/>
      <c r="L151" s="42"/>
      <c r="M151" s="42"/>
      <c r="N151" s="42"/>
    </row>
    <row r="152" spans="1:14" x14ac:dyDescent="0.3">
      <c r="A152" s="42"/>
      <c r="B152" s="42"/>
      <c r="C152" s="42"/>
      <c r="D152" s="42"/>
      <c r="E152" s="42"/>
      <c r="F152" s="44"/>
      <c r="G152" s="49"/>
      <c r="H152" s="34" t="str">
        <f t="shared" si="4"/>
        <v/>
      </c>
      <c r="I152" s="42"/>
      <c r="J152" s="43"/>
      <c r="K152" s="43"/>
      <c r="L152" s="42"/>
      <c r="M152" s="42"/>
      <c r="N152" s="42"/>
    </row>
    <row r="153" spans="1:14" x14ac:dyDescent="0.3">
      <c r="A153" s="42"/>
      <c r="B153" s="42"/>
      <c r="C153" s="42"/>
      <c r="D153" s="42"/>
      <c r="E153" s="42"/>
      <c r="F153" s="44"/>
      <c r="G153" s="49"/>
      <c r="H153" s="34" t="str">
        <f t="shared" si="4"/>
        <v/>
      </c>
      <c r="I153" s="42"/>
      <c r="J153" s="43"/>
      <c r="K153" s="43"/>
      <c r="L153" s="42"/>
      <c r="M153" s="42"/>
      <c r="N153" s="42"/>
    </row>
    <row r="154" spans="1:14" x14ac:dyDescent="0.3">
      <c r="A154" s="42"/>
      <c r="B154" s="42"/>
      <c r="C154" s="42"/>
      <c r="D154" s="42"/>
      <c r="E154" s="42"/>
      <c r="F154" s="44"/>
      <c r="G154" s="49"/>
      <c r="H154" s="34" t="str">
        <f t="shared" si="4"/>
        <v/>
      </c>
      <c r="I154" s="42"/>
      <c r="J154" s="43"/>
      <c r="K154" s="43"/>
      <c r="L154" s="42"/>
      <c r="M154" s="42"/>
      <c r="N154" s="42"/>
    </row>
    <row r="155" spans="1:14" x14ac:dyDescent="0.3">
      <c r="A155" s="42"/>
      <c r="B155" s="42"/>
      <c r="C155" s="42"/>
      <c r="D155" s="42"/>
      <c r="E155" s="42"/>
      <c r="F155" s="44"/>
      <c r="G155" s="49"/>
      <c r="H155" s="34" t="str">
        <f t="shared" si="4"/>
        <v/>
      </c>
      <c r="I155" s="42"/>
      <c r="J155" s="43"/>
      <c r="K155" s="43"/>
      <c r="L155" s="42"/>
      <c r="M155" s="42"/>
      <c r="N155" s="42"/>
    </row>
    <row r="156" spans="1:14" x14ac:dyDescent="0.3">
      <c r="A156" s="42"/>
      <c r="B156" s="42"/>
      <c r="C156" s="42"/>
      <c r="D156" s="42"/>
      <c r="E156" s="42"/>
      <c r="F156" s="44"/>
      <c r="G156" s="49"/>
      <c r="H156" s="34" t="str">
        <f t="shared" si="4"/>
        <v/>
      </c>
      <c r="I156" s="42"/>
      <c r="J156" s="43"/>
      <c r="K156" s="43"/>
      <c r="L156" s="42"/>
      <c r="M156" s="42"/>
      <c r="N156" s="42"/>
    </row>
    <row r="157" spans="1:14" x14ac:dyDescent="0.3">
      <c r="A157" s="42"/>
      <c r="B157" s="42"/>
      <c r="C157" s="42"/>
      <c r="D157" s="42"/>
      <c r="E157" s="42"/>
      <c r="F157" s="44"/>
      <c r="G157" s="49"/>
      <c r="H157" s="34" t="str">
        <f t="shared" si="4"/>
        <v/>
      </c>
      <c r="I157" s="42"/>
      <c r="J157" s="43"/>
      <c r="K157" s="43"/>
      <c r="L157" s="42"/>
      <c r="M157" s="42"/>
      <c r="N157" s="42"/>
    </row>
    <row r="158" spans="1:14" x14ac:dyDescent="0.3">
      <c r="A158" s="42"/>
      <c r="B158" s="42"/>
      <c r="C158" s="42"/>
      <c r="D158" s="42"/>
      <c r="E158" s="42"/>
      <c r="F158" s="44"/>
      <c r="G158" s="49"/>
      <c r="H158" s="34" t="str">
        <f t="shared" si="4"/>
        <v/>
      </c>
      <c r="I158" s="42"/>
      <c r="J158" s="43"/>
      <c r="K158" s="43"/>
      <c r="L158" s="42"/>
      <c r="M158" s="42"/>
      <c r="N158" s="42"/>
    </row>
    <row r="159" spans="1:14" x14ac:dyDescent="0.3">
      <c r="A159" s="42"/>
      <c r="B159" s="42"/>
      <c r="C159" s="42"/>
      <c r="D159" s="42"/>
      <c r="E159" s="42"/>
      <c r="F159" s="44"/>
      <c r="G159" s="49"/>
      <c r="H159" s="34" t="str">
        <f t="shared" si="4"/>
        <v/>
      </c>
      <c r="I159" s="42"/>
      <c r="J159" s="43"/>
      <c r="K159" s="43"/>
      <c r="L159" s="42"/>
      <c r="M159" s="42"/>
      <c r="N159" s="42"/>
    </row>
    <row r="160" spans="1:14" x14ac:dyDescent="0.3">
      <c r="A160" s="42"/>
      <c r="B160" s="42"/>
      <c r="C160" s="42"/>
      <c r="D160" s="42"/>
      <c r="E160" s="42"/>
      <c r="F160" s="44"/>
      <c r="G160" s="49"/>
      <c r="H160" s="34" t="str">
        <f t="shared" si="4"/>
        <v/>
      </c>
      <c r="I160" s="42"/>
      <c r="J160" s="43"/>
      <c r="K160" s="43"/>
      <c r="L160" s="42"/>
      <c r="M160" s="42"/>
      <c r="N160" s="42"/>
    </row>
    <row r="161" spans="1:14" x14ac:dyDescent="0.3">
      <c r="A161" s="42"/>
      <c r="B161" s="42"/>
      <c r="C161" s="42"/>
      <c r="D161" s="42"/>
      <c r="E161" s="42"/>
      <c r="F161" s="44"/>
      <c r="G161" s="49"/>
      <c r="H161" s="34" t="str">
        <f t="shared" si="4"/>
        <v/>
      </c>
      <c r="I161" s="42"/>
      <c r="J161" s="43"/>
      <c r="K161" s="43"/>
      <c r="L161" s="42"/>
      <c r="M161" s="42"/>
      <c r="N161" s="42"/>
    </row>
    <row r="162" spans="1:14" x14ac:dyDescent="0.3">
      <c r="A162" s="42"/>
      <c r="B162" s="42"/>
      <c r="C162" s="42"/>
      <c r="D162" s="42"/>
      <c r="E162" s="42"/>
      <c r="F162" s="44"/>
      <c r="G162" s="49"/>
      <c r="H162" s="34" t="str">
        <f t="shared" ref="H162:H193" si="5">IF($A162="","",$F162*$G162)</f>
        <v/>
      </c>
      <c r="I162" s="42"/>
      <c r="J162" s="43"/>
      <c r="K162" s="43"/>
      <c r="L162" s="42"/>
      <c r="M162" s="42"/>
      <c r="N162" s="42"/>
    </row>
    <row r="163" spans="1:14" x14ac:dyDescent="0.3">
      <c r="A163" s="42"/>
      <c r="B163" s="42"/>
      <c r="C163" s="42"/>
      <c r="D163" s="42"/>
      <c r="E163" s="42"/>
      <c r="F163" s="44"/>
      <c r="G163" s="49"/>
      <c r="H163" s="34" t="str">
        <f t="shared" si="5"/>
        <v/>
      </c>
      <c r="I163" s="42"/>
      <c r="J163" s="43"/>
      <c r="K163" s="43"/>
      <c r="L163" s="42"/>
      <c r="M163" s="42"/>
      <c r="N163" s="42"/>
    </row>
    <row r="164" spans="1:14" x14ac:dyDescent="0.3">
      <c r="A164" s="42"/>
      <c r="B164" s="42"/>
      <c r="C164" s="42"/>
      <c r="D164" s="42"/>
      <c r="E164" s="42"/>
      <c r="F164" s="44"/>
      <c r="G164" s="49"/>
      <c r="H164" s="34" t="str">
        <f t="shared" si="5"/>
        <v/>
      </c>
      <c r="I164" s="42"/>
      <c r="J164" s="43"/>
      <c r="K164" s="43"/>
      <c r="L164" s="42"/>
      <c r="M164" s="42"/>
      <c r="N164" s="42"/>
    </row>
    <row r="165" spans="1:14" x14ac:dyDescent="0.3">
      <c r="A165" s="42"/>
      <c r="B165" s="42"/>
      <c r="C165" s="42"/>
      <c r="D165" s="42"/>
      <c r="E165" s="42"/>
      <c r="F165" s="44"/>
      <c r="G165" s="49"/>
      <c r="H165" s="34" t="str">
        <f t="shared" si="5"/>
        <v/>
      </c>
      <c r="I165" s="42"/>
      <c r="J165" s="43"/>
      <c r="K165" s="43"/>
      <c r="L165" s="42"/>
      <c r="M165" s="42"/>
      <c r="N165" s="42"/>
    </row>
    <row r="166" spans="1:14" x14ac:dyDescent="0.3">
      <c r="A166" s="42"/>
      <c r="B166" s="42"/>
      <c r="C166" s="42"/>
      <c r="D166" s="42"/>
      <c r="E166" s="42"/>
      <c r="F166" s="44"/>
      <c r="G166" s="49"/>
      <c r="H166" s="34" t="str">
        <f t="shared" si="5"/>
        <v/>
      </c>
      <c r="I166" s="42"/>
      <c r="J166" s="43"/>
      <c r="K166" s="43"/>
      <c r="L166" s="42"/>
      <c r="M166" s="42"/>
      <c r="N166" s="42"/>
    </row>
    <row r="167" spans="1:14" x14ac:dyDescent="0.3">
      <c r="A167" s="42"/>
      <c r="B167" s="42"/>
      <c r="C167" s="42"/>
      <c r="D167" s="42"/>
      <c r="E167" s="42"/>
      <c r="F167" s="44"/>
      <c r="G167" s="49"/>
      <c r="H167" s="34" t="str">
        <f t="shared" si="5"/>
        <v/>
      </c>
      <c r="I167" s="42"/>
      <c r="J167" s="43"/>
      <c r="K167" s="43"/>
      <c r="L167" s="42"/>
      <c r="M167" s="42"/>
      <c r="N167" s="42"/>
    </row>
    <row r="168" spans="1:14" x14ac:dyDescent="0.3">
      <c r="A168" s="42"/>
      <c r="B168" s="42"/>
      <c r="C168" s="42"/>
      <c r="D168" s="42"/>
      <c r="E168" s="42"/>
      <c r="F168" s="44"/>
      <c r="G168" s="49"/>
      <c r="H168" s="34" t="str">
        <f t="shared" si="5"/>
        <v/>
      </c>
      <c r="I168" s="42"/>
      <c r="J168" s="43"/>
      <c r="K168" s="43"/>
      <c r="L168" s="42"/>
      <c r="M168" s="42"/>
      <c r="N168" s="42"/>
    </row>
    <row r="169" spans="1:14" x14ac:dyDescent="0.3">
      <c r="A169" s="42"/>
      <c r="B169" s="42"/>
      <c r="C169" s="42"/>
      <c r="D169" s="42"/>
      <c r="E169" s="42"/>
      <c r="F169" s="44"/>
      <c r="G169" s="49"/>
      <c r="H169" s="34" t="str">
        <f t="shared" si="5"/>
        <v/>
      </c>
      <c r="I169" s="42"/>
      <c r="J169" s="43"/>
      <c r="K169" s="43"/>
      <c r="L169" s="42"/>
      <c r="M169" s="42"/>
      <c r="N169" s="42"/>
    </row>
    <row r="170" spans="1:14" x14ac:dyDescent="0.3">
      <c r="A170" s="42"/>
      <c r="B170" s="42"/>
      <c r="C170" s="42"/>
      <c r="D170" s="42"/>
      <c r="E170" s="42"/>
      <c r="F170" s="44"/>
      <c r="G170" s="49"/>
      <c r="H170" s="34" t="str">
        <f t="shared" si="5"/>
        <v/>
      </c>
      <c r="I170" s="42"/>
      <c r="J170" s="43"/>
      <c r="K170" s="43"/>
      <c r="L170" s="42"/>
      <c r="M170" s="42"/>
      <c r="N170" s="42"/>
    </row>
    <row r="171" spans="1:14" x14ac:dyDescent="0.3">
      <c r="A171" s="42"/>
      <c r="B171" s="42"/>
      <c r="C171" s="42"/>
      <c r="D171" s="42"/>
      <c r="E171" s="42"/>
      <c r="F171" s="44"/>
      <c r="G171" s="49"/>
      <c r="H171" s="34" t="str">
        <f t="shared" si="5"/>
        <v/>
      </c>
      <c r="I171" s="42"/>
      <c r="J171" s="43"/>
      <c r="K171" s="43"/>
      <c r="L171" s="42"/>
      <c r="M171" s="42"/>
      <c r="N171" s="42"/>
    </row>
    <row r="172" spans="1:14" x14ac:dyDescent="0.3">
      <c r="A172" s="42"/>
      <c r="B172" s="42"/>
      <c r="C172" s="42"/>
      <c r="D172" s="42"/>
      <c r="E172" s="42"/>
      <c r="F172" s="44"/>
      <c r="G172" s="49"/>
      <c r="H172" s="34" t="str">
        <f t="shared" si="5"/>
        <v/>
      </c>
      <c r="I172" s="42"/>
      <c r="J172" s="43"/>
      <c r="K172" s="43"/>
      <c r="L172" s="42"/>
      <c r="M172" s="42"/>
      <c r="N172" s="42"/>
    </row>
    <row r="173" spans="1:14" x14ac:dyDescent="0.3">
      <c r="A173" s="42"/>
      <c r="B173" s="42"/>
      <c r="C173" s="42"/>
      <c r="D173" s="42"/>
      <c r="E173" s="42"/>
      <c r="F173" s="44"/>
      <c r="G173" s="49"/>
      <c r="H173" s="34" t="str">
        <f t="shared" si="5"/>
        <v/>
      </c>
      <c r="I173" s="42"/>
      <c r="J173" s="43"/>
      <c r="K173" s="43"/>
      <c r="L173" s="42"/>
      <c r="M173" s="42"/>
      <c r="N173" s="42"/>
    </row>
    <row r="174" spans="1:14" x14ac:dyDescent="0.3">
      <c r="A174" s="42"/>
      <c r="B174" s="42"/>
      <c r="C174" s="42"/>
      <c r="D174" s="42"/>
      <c r="E174" s="42"/>
      <c r="F174" s="44"/>
      <c r="G174" s="49"/>
      <c r="H174" s="34" t="str">
        <f t="shared" si="5"/>
        <v/>
      </c>
      <c r="I174" s="42"/>
      <c r="J174" s="43"/>
      <c r="K174" s="43"/>
      <c r="L174" s="42"/>
      <c r="M174" s="42"/>
      <c r="N174" s="42"/>
    </row>
    <row r="175" spans="1:14" x14ac:dyDescent="0.3">
      <c r="A175" s="42"/>
      <c r="B175" s="42"/>
      <c r="C175" s="42"/>
      <c r="D175" s="42"/>
      <c r="E175" s="42"/>
      <c r="F175" s="44"/>
      <c r="G175" s="49"/>
      <c r="H175" s="34" t="str">
        <f t="shared" si="5"/>
        <v/>
      </c>
      <c r="I175" s="42"/>
      <c r="J175" s="43"/>
      <c r="K175" s="43"/>
      <c r="L175" s="42"/>
      <c r="M175" s="42"/>
      <c r="N175" s="42"/>
    </row>
    <row r="176" spans="1:14" x14ac:dyDescent="0.3">
      <c r="A176" s="42"/>
      <c r="B176" s="42"/>
      <c r="C176" s="42"/>
      <c r="D176" s="42"/>
      <c r="E176" s="42"/>
      <c r="F176" s="44"/>
      <c r="G176" s="49"/>
      <c r="H176" s="34" t="str">
        <f t="shared" si="5"/>
        <v/>
      </c>
      <c r="I176" s="42"/>
      <c r="J176" s="43"/>
      <c r="K176" s="43"/>
      <c r="L176" s="42"/>
      <c r="M176" s="42"/>
      <c r="N176" s="42"/>
    </row>
    <row r="177" spans="1:14" x14ac:dyDescent="0.3">
      <c r="A177" s="42"/>
      <c r="B177" s="42"/>
      <c r="C177" s="42"/>
      <c r="D177" s="42"/>
      <c r="E177" s="42"/>
      <c r="F177" s="44"/>
      <c r="G177" s="49"/>
      <c r="H177" s="34" t="str">
        <f t="shared" si="5"/>
        <v/>
      </c>
      <c r="I177" s="42"/>
      <c r="J177" s="43"/>
      <c r="K177" s="43"/>
      <c r="L177" s="42"/>
      <c r="M177" s="42"/>
      <c r="N177" s="42"/>
    </row>
    <row r="178" spans="1:14" x14ac:dyDescent="0.3">
      <c r="A178" s="42"/>
      <c r="B178" s="42"/>
      <c r="C178" s="42"/>
      <c r="D178" s="42"/>
      <c r="E178" s="42"/>
      <c r="F178" s="44"/>
      <c r="G178" s="49"/>
      <c r="H178" s="34" t="str">
        <f t="shared" si="5"/>
        <v/>
      </c>
      <c r="I178" s="42"/>
      <c r="J178" s="43"/>
      <c r="K178" s="43"/>
      <c r="L178" s="42"/>
      <c r="M178" s="42"/>
      <c r="N178" s="42"/>
    </row>
    <row r="179" spans="1:14" x14ac:dyDescent="0.3">
      <c r="A179" s="42"/>
      <c r="B179" s="42"/>
      <c r="C179" s="42"/>
      <c r="D179" s="42"/>
      <c r="E179" s="42"/>
      <c r="F179" s="44"/>
      <c r="G179" s="49"/>
      <c r="H179" s="34" t="str">
        <f t="shared" si="5"/>
        <v/>
      </c>
      <c r="I179" s="42"/>
      <c r="J179" s="43"/>
      <c r="K179" s="43"/>
      <c r="L179" s="42"/>
      <c r="M179" s="42"/>
      <c r="N179" s="42"/>
    </row>
    <row r="180" spans="1:14" x14ac:dyDescent="0.3">
      <c r="A180" s="42"/>
      <c r="B180" s="42"/>
      <c r="C180" s="42"/>
      <c r="D180" s="42"/>
      <c r="E180" s="42"/>
      <c r="F180" s="44"/>
      <c r="G180" s="49"/>
      <c r="H180" s="34" t="str">
        <f t="shared" si="5"/>
        <v/>
      </c>
      <c r="I180" s="42"/>
      <c r="J180" s="43"/>
      <c r="K180" s="43"/>
      <c r="L180" s="42"/>
      <c r="M180" s="42"/>
      <c r="N180" s="42"/>
    </row>
    <row r="181" spans="1:14" x14ac:dyDescent="0.3">
      <c r="A181" s="42"/>
      <c r="B181" s="42"/>
      <c r="C181" s="42"/>
      <c r="D181" s="42"/>
      <c r="E181" s="42"/>
      <c r="F181" s="44"/>
      <c r="G181" s="49"/>
      <c r="H181" s="34" t="str">
        <f t="shared" si="5"/>
        <v/>
      </c>
      <c r="I181" s="42"/>
      <c r="J181" s="43"/>
      <c r="K181" s="43"/>
      <c r="L181" s="42"/>
      <c r="M181" s="42"/>
      <c r="N181" s="42"/>
    </row>
    <row r="182" spans="1:14" x14ac:dyDescent="0.3">
      <c r="A182" s="42"/>
      <c r="B182" s="42"/>
      <c r="C182" s="42"/>
      <c r="D182" s="42"/>
      <c r="E182" s="42"/>
      <c r="F182" s="44"/>
      <c r="G182" s="49"/>
      <c r="H182" s="34" t="str">
        <f t="shared" si="5"/>
        <v/>
      </c>
      <c r="I182" s="42"/>
      <c r="J182" s="43"/>
      <c r="K182" s="43"/>
      <c r="L182" s="42"/>
      <c r="M182" s="42"/>
      <c r="N182" s="42"/>
    </row>
    <row r="183" spans="1:14" x14ac:dyDescent="0.3">
      <c r="A183" s="42"/>
      <c r="B183" s="42"/>
      <c r="C183" s="42"/>
      <c r="D183" s="42"/>
      <c r="E183" s="42"/>
      <c r="F183" s="44"/>
      <c r="G183" s="49"/>
      <c r="H183" s="34" t="str">
        <f t="shared" si="5"/>
        <v/>
      </c>
      <c r="I183" s="42"/>
      <c r="J183" s="43"/>
      <c r="K183" s="43"/>
      <c r="L183" s="42"/>
      <c r="M183" s="42"/>
      <c r="N183" s="42"/>
    </row>
    <row r="184" spans="1:14" x14ac:dyDescent="0.3">
      <c r="A184" s="42"/>
      <c r="B184" s="42"/>
      <c r="C184" s="42"/>
      <c r="D184" s="42"/>
      <c r="E184" s="42"/>
      <c r="F184" s="44"/>
      <c r="G184" s="49"/>
      <c r="H184" s="34" t="str">
        <f t="shared" si="5"/>
        <v/>
      </c>
      <c r="I184" s="42"/>
      <c r="J184" s="43"/>
      <c r="K184" s="43"/>
      <c r="L184" s="42"/>
      <c r="M184" s="42"/>
      <c r="N184" s="42"/>
    </row>
    <row r="185" spans="1:14" x14ac:dyDescent="0.3">
      <c r="A185" s="42"/>
      <c r="B185" s="42"/>
      <c r="C185" s="42"/>
      <c r="D185" s="42"/>
      <c r="E185" s="42"/>
      <c r="F185" s="44"/>
      <c r="G185" s="49"/>
      <c r="H185" s="34" t="str">
        <f t="shared" si="5"/>
        <v/>
      </c>
      <c r="I185" s="42"/>
      <c r="J185" s="43"/>
      <c r="K185" s="43"/>
      <c r="L185" s="42"/>
      <c r="M185" s="42"/>
      <c r="N185" s="42"/>
    </row>
    <row r="186" spans="1:14" x14ac:dyDescent="0.3">
      <c r="A186" s="42"/>
      <c r="B186" s="42"/>
      <c r="C186" s="42"/>
      <c r="D186" s="42"/>
      <c r="E186" s="42"/>
      <c r="F186" s="44"/>
      <c r="G186" s="49"/>
      <c r="H186" s="34" t="str">
        <f t="shared" si="5"/>
        <v/>
      </c>
      <c r="I186" s="42"/>
      <c r="J186" s="43"/>
      <c r="K186" s="43"/>
      <c r="L186" s="42"/>
      <c r="M186" s="42"/>
      <c r="N186" s="42"/>
    </row>
    <row r="187" spans="1:14" x14ac:dyDescent="0.3">
      <c r="A187" s="42"/>
      <c r="B187" s="42"/>
      <c r="C187" s="42"/>
      <c r="D187" s="42"/>
      <c r="E187" s="42"/>
      <c r="F187" s="44"/>
      <c r="G187" s="49"/>
      <c r="H187" s="34" t="str">
        <f t="shared" si="5"/>
        <v/>
      </c>
      <c r="I187" s="42"/>
      <c r="J187" s="43"/>
      <c r="K187" s="43"/>
      <c r="L187" s="42"/>
      <c r="M187" s="42"/>
      <c r="N187" s="42"/>
    </row>
    <row r="188" spans="1:14" x14ac:dyDescent="0.3">
      <c r="A188" s="42"/>
      <c r="B188" s="42"/>
      <c r="C188" s="42"/>
      <c r="D188" s="42"/>
      <c r="E188" s="42"/>
      <c r="F188" s="44"/>
      <c r="G188" s="49"/>
      <c r="H188" s="34" t="str">
        <f t="shared" si="5"/>
        <v/>
      </c>
      <c r="I188" s="42"/>
      <c r="J188" s="43"/>
      <c r="K188" s="43"/>
      <c r="L188" s="42"/>
      <c r="M188" s="42"/>
      <c r="N188" s="42"/>
    </row>
    <row r="189" spans="1:14" x14ac:dyDescent="0.3">
      <c r="A189" s="42"/>
      <c r="B189" s="42"/>
      <c r="C189" s="42"/>
      <c r="D189" s="42"/>
      <c r="E189" s="42"/>
      <c r="F189" s="44"/>
      <c r="G189" s="49"/>
      <c r="H189" s="34" t="str">
        <f t="shared" si="5"/>
        <v/>
      </c>
      <c r="I189" s="42"/>
      <c r="J189" s="43"/>
      <c r="K189" s="43"/>
      <c r="L189" s="42"/>
      <c r="M189" s="42"/>
      <c r="N189" s="42"/>
    </row>
    <row r="190" spans="1:14" x14ac:dyDescent="0.3">
      <c r="A190" s="42"/>
      <c r="B190" s="42"/>
      <c r="C190" s="42"/>
      <c r="D190" s="42"/>
      <c r="E190" s="42"/>
      <c r="F190" s="44"/>
      <c r="G190" s="49"/>
      <c r="H190" s="34" t="str">
        <f t="shared" si="5"/>
        <v/>
      </c>
      <c r="I190" s="42"/>
      <c r="J190" s="43"/>
      <c r="K190" s="43"/>
      <c r="L190" s="42"/>
      <c r="M190" s="42"/>
      <c r="N190" s="42"/>
    </row>
    <row r="191" spans="1:14" x14ac:dyDescent="0.3">
      <c r="A191" s="42"/>
      <c r="B191" s="42"/>
      <c r="C191" s="42"/>
      <c r="D191" s="42"/>
      <c r="E191" s="42"/>
      <c r="F191" s="44"/>
      <c r="G191" s="49"/>
      <c r="H191" s="34" t="str">
        <f t="shared" si="5"/>
        <v/>
      </c>
      <c r="I191" s="42"/>
      <c r="J191" s="43"/>
      <c r="K191" s="43"/>
      <c r="L191" s="42"/>
      <c r="M191" s="42"/>
      <c r="N191" s="42"/>
    </row>
    <row r="192" spans="1:14" x14ac:dyDescent="0.3">
      <c r="A192" s="42"/>
      <c r="B192" s="42"/>
      <c r="C192" s="42"/>
      <c r="D192" s="42"/>
      <c r="E192" s="42"/>
      <c r="F192" s="44"/>
      <c r="G192" s="49"/>
      <c r="H192" s="34" t="str">
        <f t="shared" si="5"/>
        <v/>
      </c>
      <c r="I192" s="42"/>
      <c r="J192" s="43"/>
      <c r="K192" s="43"/>
      <c r="L192" s="42"/>
      <c r="M192" s="42"/>
      <c r="N192" s="42"/>
    </row>
    <row r="193" spans="1:14" x14ac:dyDescent="0.3">
      <c r="A193" s="42"/>
      <c r="B193" s="42"/>
      <c r="C193" s="42"/>
      <c r="D193" s="42"/>
      <c r="E193" s="42"/>
      <c r="F193" s="44"/>
      <c r="G193" s="49"/>
      <c r="H193" s="34" t="str">
        <f t="shared" si="5"/>
        <v/>
      </c>
      <c r="I193" s="42"/>
      <c r="J193" s="43"/>
      <c r="K193" s="43"/>
      <c r="L193" s="42"/>
      <c r="M193" s="42"/>
      <c r="N193" s="42"/>
    </row>
    <row r="194" spans="1:14" x14ac:dyDescent="0.3">
      <c r="A194" s="42"/>
      <c r="B194" s="42"/>
      <c r="C194" s="42"/>
      <c r="D194" s="42"/>
      <c r="E194" s="42"/>
      <c r="F194" s="44"/>
      <c r="G194" s="49"/>
      <c r="H194" s="34" t="str">
        <f t="shared" ref="H194:H201" si="6">IF($A194="","",$F194*$G194)</f>
        <v/>
      </c>
      <c r="I194" s="42"/>
      <c r="J194" s="43"/>
      <c r="K194" s="43"/>
      <c r="L194" s="42"/>
      <c r="M194" s="42"/>
      <c r="N194" s="42"/>
    </row>
    <row r="195" spans="1:14" x14ac:dyDescent="0.3">
      <c r="A195" s="42"/>
      <c r="B195" s="42"/>
      <c r="C195" s="42"/>
      <c r="D195" s="42"/>
      <c r="E195" s="42"/>
      <c r="F195" s="44"/>
      <c r="G195" s="49"/>
      <c r="H195" s="34" t="str">
        <f t="shared" si="6"/>
        <v/>
      </c>
      <c r="I195" s="42"/>
      <c r="J195" s="43"/>
      <c r="K195" s="43"/>
      <c r="L195" s="42"/>
      <c r="M195" s="42"/>
      <c r="N195" s="42"/>
    </row>
    <row r="196" spans="1:14" x14ac:dyDescent="0.3">
      <c r="A196" s="42"/>
      <c r="B196" s="42"/>
      <c r="C196" s="42"/>
      <c r="D196" s="42"/>
      <c r="E196" s="42"/>
      <c r="F196" s="44"/>
      <c r="G196" s="49"/>
      <c r="H196" s="34" t="str">
        <f t="shared" si="6"/>
        <v/>
      </c>
      <c r="I196" s="42"/>
      <c r="J196" s="43"/>
      <c r="K196" s="43"/>
      <c r="L196" s="42"/>
      <c r="M196" s="42"/>
      <c r="N196" s="42"/>
    </row>
    <row r="197" spans="1:14" x14ac:dyDescent="0.3">
      <c r="A197" s="42"/>
      <c r="B197" s="42"/>
      <c r="C197" s="42"/>
      <c r="D197" s="42"/>
      <c r="E197" s="42"/>
      <c r="F197" s="44"/>
      <c r="G197" s="49"/>
      <c r="H197" s="34" t="str">
        <f t="shared" si="6"/>
        <v/>
      </c>
      <c r="I197" s="42"/>
      <c r="J197" s="43"/>
      <c r="K197" s="43"/>
      <c r="L197" s="42"/>
      <c r="M197" s="42"/>
      <c r="N197" s="42"/>
    </row>
    <row r="198" spans="1:14" x14ac:dyDescent="0.3">
      <c r="A198" s="42"/>
      <c r="B198" s="42"/>
      <c r="C198" s="42"/>
      <c r="D198" s="42"/>
      <c r="E198" s="42"/>
      <c r="F198" s="44"/>
      <c r="G198" s="49"/>
      <c r="H198" s="34" t="str">
        <f t="shared" si="6"/>
        <v/>
      </c>
      <c r="I198" s="42"/>
      <c r="J198" s="43"/>
      <c r="K198" s="43"/>
      <c r="L198" s="42"/>
      <c r="M198" s="42"/>
      <c r="N198" s="42"/>
    </row>
    <row r="199" spans="1:14" x14ac:dyDescent="0.3">
      <c r="A199" s="42"/>
      <c r="B199" s="42"/>
      <c r="C199" s="42"/>
      <c r="D199" s="42"/>
      <c r="E199" s="42"/>
      <c r="F199" s="44"/>
      <c r="G199" s="49"/>
      <c r="H199" s="34" t="str">
        <f t="shared" si="6"/>
        <v/>
      </c>
      <c r="I199" s="42"/>
      <c r="J199" s="43"/>
      <c r="K199" s="43"/>
      <c r="L199" s="42"/>
      <c r="M199" s="42"/>
      <c r="N199" s="42"/>
    </row>
    <row r="200" spans="1:14" x14ac:dyDescent="0.3">
      <c r="A200" s="42"/>
      <c r="B200" s="42"/>
      <c r="C200" s="42"/>
      <c r="D200" s="42"/>
      <c r="E200" s="42"/>
      <c r="F200" s="44"/>
      <c r="G200" s="49"/>
      <c r="H200" s="34" t="str">
        <f t="shared" si="6"/>
        <v/>
      </c>
      <c r="I200" s="42"/>
      <c r="J200" s="43"/>
      <c r="K200" s="43"/>
      <c r="L200" s="42"/>
      <c r="M200" s="42"/>
      <c r="N200" s="42"/>
    </row>
    <row r="201" spans="1:14" x14ac:dyDescent="0.3">
      <c r="A201" s="42"/>
      <c r="B201" s="42"/>
      <c r="C201" s="42"/>
      <c r="D201" s="42"/>
      <c r="E201" s="42"/>
      <c r="F201" s="44"/>
      <c r="G201" s="49"/>
      <c r="H201" s="34" t="str">
        <f t="shared" si="6"/>
        <v/>
      </c>
      <c r="I201" s="42"/>
      <c r="J201" s="43"/>
      <c r="K201" s="43"/>
      <c r="L201" s="42"/>
      <c r="M201" s="42"/>
      <c r="N201" s="42"/>
    </row>
  </sheetData>
  <dataValidations count="1">
    <dataValidation type="list" allowBlank="1" sqref="I2:I201" xr:uid="{00000000-0002-0000-0E00-000000000000}">
      <formula1>L_STATO_OFFERTA</formula1>
    </dataValidation>
  </dataValidations>
  <pageMargins left="0.75" right="0.75" top="1" bottom="1" header="0.511811023622047" footer="0.511811023622047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6">
    <tabColor rgb="FF548235"/>
  </sheetPr>
  <dimension ref="A1:G141"/>
  <sheetViews>
    <sheetView showGridLines="0" zoomScale="130" zoomScaleNormal="130" workbookViewId="0">
      <pane ySplit="1" topLeftCell="A119" activePane="bottomLeft" state="frozen"/>
      <selection pane="bottomLeft" activeCell="E96" sqref="E96"/>
    </sheetView>
  </sheetViews>
  <sheetFormatPr defaultColWidth="8.6640625" defaultRowHeight="14.4" x14ac:dyDescent="0.3"/>
  <cols>
    <col min="1" max="1" width="16" customWidth="1"/>
    <col min="2" max="2" width="9" customWidth="1"/>
    <col min="3" max="3" width="46" customWidth="1"/>
    <col min="4" max="4" width="48" customWidth="1"/>
    <col min="5" max="5" width="12.88671875" customWidth="1"/>
    <col min="6" max="6" width="12" customWidth="1"/>
    <col min="7" max="7" width="14.6640625" customWidth="1"/>
  </cols>
  <sheetData>
    <row r="1" spans="1:7" ht="36" customHeight="1" x14ac:dyDescent="0.3">
      <c r="A1" s="41" t="s">
        <v>367</v>
      </c>
      <c r="B1" s="41" t="s">
        <v>365</v>
      </c>
      <c r="C1" s="41" t="s">
        <v>366</v>
      </c>
      <c r="D1" s="41" t="s">
        <v>471</v>
      </c>
      <c r="E1" s="41" t="s">
        <v>373</v>
      </c>
      <c r="F1" s="41" t="s">
        <v>472</v>
      </c>
      <c r="G1" s="41" t="s">
        <v>375</v>
      </c>
    </row>
    <row r="2" spans="1:7" x14ac:dyDescent="0.3">
      <c r="A2" s="61" t="s">
        <v>344</v>
      </c>
      <c r="B2" s="61">
        <v>1</v>
      </c>
      <c r="C2" s="62" t="s">
        <v>473</v>
      </c>
      <c r="D2" s="62" t="s">
        <v>474</v>
      </c>
      <c r="E2" s="61" t="s">
        <v>475</v>
      </c>
      <c r="F2" s="63">
        <v>15</v>
      </c>
      <c r="G2" s="64">
        <v>0.03</v>
      </c>
    </row>
    <row r="3" spans="1:7" ht="26.4" x14ac:dyDescent="0.3">
      <c r="A3" s="65" t="s">
        <v>344</v>
      </c>
      <c r="B3" s="65">
        <v>2</v>
      </c>
      <c r="C3" s="66" t="s">
        <v>476</v>
      </c>
      <c r="D3" s="66" t="s">
        <v>477</v>
      </c>
      <c r="E3" s="65" t="s">
        <v>388</v>
      </c>
      <c r="F3" s="67">
        <v>5</v>
      </c>
      <c r="G3" s="68">
        <v>0.02</v>
      </c>
    </row>
    <row r="4" spans="1:7" x14ac:dyDescent="0.3">
      <c r="A4" s="65" t="s">
        <v>344</v>
      </c>
      <c r="B4" s="65">
        <v>3</v>
      </c>
      <c r="C4" s="66" t="s">
        <v>387</v>
      </c>
      <c r="D4" s="66" t="s">
        <v>478</v>
      </c>
      <c r="E4" s="65" t="s">
        <v>475</v>
      </c>
      <c r="F4" s="67">
        <v>5</v>
      </c>
      <c r="G4" s="68">
        <v>0.02</v>
      </c>
    </row>
    <row r="5" spans="1:7" x14ac:dyDescent="0.3">
      <c r="A5" s="65" t="s">
        <v>344</v>
      </c>
      <c r="B5" s="65">
        <v>4</v>
      </c>
      <c r="C5" s="66" t="s">
        <v>386</v>
      </c>
      <c r="D5" s="66" t="s">
        <v>389</v>
      </c>
      <c r="E5" s="65" t="s">
        <v>388</v>
      </c>
      <c r="F5" s="67">
        <v>45</v>
      </c>
      <c r="G5" s="68">
        <v>0.13</v>
      </c>
    </row>
    <row r="6" spans="1:7" x14ac:dyDescent="0.3">
      <c r="A6" s="65" t="s">
        <v>344</v>
      </c>
      <c r="B6" s="65">
        <v>5</v>
      </c>
      <c r="C6" s="66" t="s">
        <v>479</v>
      </c>
      <c r="D6" s="66" t="s">
        <v>480</v>
      </c>
      <c r="E6" s="65" t="s">
        <v>475</v>
      </c>
      <c r="F6" s="67">
        <v>60</v>
      </c>
      <c r="G6" s="68">
        <v>0.17</v>
      </c>
    </row>
    <row r="7" spans="1:7" x14ac:dyDescent="0.3">
      <c r="A7" s="65" t="s">
        <v>344</v>
      </c>
      <c r="B7" s="65">
        <v>6</v>
      </c>
      <c r="C7" s="66" t="s">
        <v>410</v>
      </c>
      <c r="D7" s="66" t="s">
        <v>481</v>
      </c>
      <c r="E7" s="65" t="s">
        <v>388</v>
      </c>
      <c r="F7" s="67">
        <v>5</v>
      </c>
      <c r="G7" s="68">
        <v>0.03</v>
      </c>
    </row>
    <row r="8" spans="1:7" x14ac:dyDescent="0.3">
      <c r="A8" s="65" t="s">
        <v>344</v>
      </c>
      <c r="B8" s="65">
        <v>7</v>
      </c>
      <c r="C8" s="66" t="s">
        <v>482</v>
      </c>
      <c r="D8" s="66" t="s">
        <v>483</v>
      </c>
      <c r="E8" s="65" t="s">
        <v>475</v>
      </c>
      <c r="F8" s="67">
        <v>25</v>
      </c>
      <c r="G8" s="68">
        <v>7.0000000000000007E-2</v>
      </c>
    </row>
    <row r="9" spans="1:7" x14ac:dyDescent="0.3">
      <c r="A9" s="65" t="s">
        <v>344</v>
      </c>
      <c r="B9" s="65">
        <v>8</v>
      </c>
      <c r="C9" s="66" t="s">
        <v>889</v>
      </c>
      <c r="D9" s="66" t="s">
        <v>890</v>
      </c>
      <c r="E9" s="65" t="s">
        <v>475</v>
      </c>
      <c r="F9" s="67">
        <v>25</v>
      </c>
      <c r="G9" s="68">
        <v>0.11</v>
      </c>
    </row>
    <row r="10" spans="1:7" x14ac:dyDescent="0.3">
      <c r="A10" s="65" t="s">
        <v>344</v>
      </c>
      <c r="B10" s="65">
        <v>9</v>
      </c>
      <c r="C10" s="66" t="s">
        <v>484</v>
      </c>
      <c r="D10" s="66" t="s">
        <v>485</v>
      </c>
      <c r="E10" s="65" t="s">
        <v>475</v>
      </c>
      <c r="F10" s="67">
        <v>180</v>
      </c>
      <c r="G10" s="68">
        <v>0.13</v>
      </c>
    </row>
    <row r="11" spans="1:7" x14ac:dyDescent="0.3">
      <c r="A11" s="65" t="s">
        <v>344</v>
      </c>
      <c r="B11" s="65">
        <v>10</v>
      </c>
      <c r="C11" s="66" t="s">
        <v>486</v>
      </c>
      <c r="D11" s="66" t="s">
        <v>487</v>
      </c>
      <c r="E11" s="65" t="s">
        <v>475</v>
      </c>
      <c r="F11" s="67">
        <v>60</v>
      </c>
      <c r="G11" s="68">
        <v>0.11</v>
      </c>
    </row>
    <row r="12" spans="1:7" x14ac:dyDescent="0.3">
      <c r="A12" s="65" t="s">
        <v>344</v>
      </c>
      <c r="B12" s="65">
        <v>11</v>
      </c>
      <c r="C12" s="66" t="s">
        <v>488</v>
      </c>
      <c r="D12" s="66" t="s">
        <v>489</v>
      </c>
      <c r="E12" s="65" t="s">
        <v>388</v>
      </c>
      <c r="F12" s="67">
        <v>5</v>
      </c>
      <c r="G12" s="68">
        <v>0.03</v>
      </c>
    </row>
    <row r="13" spans="1:7" x14ac:dyDescent="0.3">
      <c r="A13" s="65" t="s">
        <v>344</v>
      </c>
      <c r="B13" s="65">
        <v>12</v>
      </c>
      <c r="C13" s="66" t="s">
        <v>490</v>
      </c>
      <c r="D13" s="66" t="s">
        <v>491</v>
      </c>
      <c r="E13" s="65" t="s">
        <v>475</v>
      </c>
      <c r="F13" s="67">
        <v>25</v>
      </c>
      <c r="G13" s="68">
        <v>7.0000000000000007E-2</v>
      </c>
    </row>
    <row r="14" spans="1:7" x14ac:dyDescent="0.3">
      <c r="A14" s="65" t="s">
        <v>344</v>
      </c>
      <c r="B14" s="65">
        <v>13</v>
      </c>
      <c r="C14" s="66" t="s">
        <v>492</v>
      </c>
      <c r="D14" s="66" t="s">
        <v>493</v>
      </c>
      <c r="E14" s="65" t="s">
        <v>388</v>
      </c>
      <c r="F14" s="67">
        <v>10</v>
      </c>
      <c r="G14" s="68">
        <v>0.05</v>
      </c>
    </row>
    <row r="15" spans="1:7" x14ac:dyDescent="0.3">
      <c r="A15" s="65" t="s">
        <v>344</v>
      </c>
      <c r="B15" s="65">
        <v>14</v>
      </c>
      <c r="C15" s="66" t="s">
        <v>494</v>
      </c>
      <c r="D15" s="66" t="s">
        <v>495</v>
      </c>
      <c r="E15" s="65" t="s">
        <v>475</v>
      </c>
      <c r="F15" s="67">
        <v>5</v>
      </c>
      <c r="G15" s="68">
        <v>0.03</v>
      </c>
    </row>
    <row r="16" spans="1:7" x14ac:dyDescent="0.3">
      <c r="A16" s="61" t="s">
        <v>891</v>
      </c>
      <c r="B16" s="61">
        <v>1</v>
      </c>
      <c r="C16" s="62" t="s">
        <v>473</v>
      </c>
      <c r="D16" s="62" t="s">
        <v>474</v>
      </c>
      <c r="E16" s="61" t="s">
        <v>475</v>
      </c>
      <c r="F16" s="63">
        <v>15</v>
      </c>
      <c r="G16" s="64">
        <v>0.03</v>
      </c>
    </row>
    <row r="17" spans="1:7" ht="26.4" x14ac:dyDescent="0.3">
      <c r="A17" s="65" t="s">
        <v>891</v>
      </c>
      <c r="B17" s="65">
        <v>2</v>
      </c>
      <c r="C17" s="66" t="s">
        <v>476</v>
      </c>
      <c r="D17" s="66" t="s">
        <v>477</v>
      </c>
      <c r="E17" s="65" t="s">
        <v>388</v>
      </c>
      <c r="F17" s="67">
        <v>5</v>
      </c>
      <c r="G17" s="68">
        <v>0.02</v>
      </c>
    </row>
    <row r="18" spans="1:7" x14ac:dyDescent="0.3">
      <c r="A18" s="65" t="s">
        <v>891</v>
      </c>
      <c r="B18" s="65">
        <v>3</v>
      </c>
      <c r="C18" s="66" t="s">
        <v>387</v>
      </c>
      <c r="D18" s="66" t="s">
        <v>478</v>
      </c>
      <c r="E18" s="65" t="s">
        <v>475</v>
      </c>
      <c r="F18" s="67">
        <v>5</v>
      </c>
      <c r="G18" s="68">
        <v>0.02</v>
      </c>
    </row>
    <row r="19" spans="1:7" x14ac:dyDescent="0.3">
      <c r="A19" s="65" t="s">
        <v>891</v>
      </c>
      <c r="B19" s="65">
        <v>4</v>
      </c>
      <c r="C19" s="66" t="s">
        <v>386</v>
      </c>
      <c r="D19" s="66" t="s">
        <v>389</v>
      </c>
      <c r="E19" s="65" t="s">
        <v>388</v>
      </c>
      <c r="F19" s="67">
        <v>45</v>
      </c>
      <c r="G19" s="68">
        <v>0.13</v>
      </c>
    </row>
    <row r="20" spans="1:7" x14ac:dyDescent="0.3">
      <c r="A20" s="65" t="s">
        <v>891</v>
      </c>
      <c r="B20" s="65">
        <v>5</v>
      </c>
      <c r="C20" s="66" t="s">
        <v>479</v>
      </c>
      <c r="D20" s="66" t="s">
        <v>480</v>
      </c>
      <c r="E20" s="65" t="s">
        <v>475</v>
      </c>
      <c r="F20" s="67">
        <v>60</v>
      </c>
      <c r="G20" s="68">
        <v>0.17</v>
      </c>
    </row>
    <row r="21" spans="1:7" x14ac:dyDescent="0.3">
      <c r="A21" s="65" t="s">
        <v>891</v>
      </c>
      <c r="B21" s="65">
        <v>6</v>
      </c>
      <c r="C21" s="66" t="s">
        <v>410</v>
      </c>
      <c r="D21" s="66" t="s">
        <v>481</v>
      </c>
      <c r="E21" s="65" t="s">
        <v>388</v>
      </c>
      <c r="F21" s="67">
        <v>5</v>
      </c>
      <c r="G21" s="68">
        <v>0.03</v>
      </c>
    </row>
    <row r="22" spans="1:7" x14ac:dyDescent="0.3">
      <c r="A22" s="65" t="s">
        <v>891</v>
      </c>
      <c r="B22" s="65">
        <v>7</v>
      </c>
      <c r="C22" s="66" t="s">
        <v>482</v>
      </c>
      <c r="D22" s="66" t="s">
        <v>483</v>
      </c>
      <c r="E22" s="65" t="s">
        <v>475</v>
      </c>
      <c r="F22" s="67">
        <v>25</v>
      </c>
      <c r="G22" s="68">
        <v>7.0000000000000007E-2</v>
      </c>
    </row>
    <row r="23" spans="1:7" x14ac:dyDescent="0.3">
      <c r="A23" s="65" t="s">
        <v>891</v>
      </c>
      <c r="B23" s="65">
        <v>8</v>
      </c>
      <c r="C23" s="66" t="s">
        <v>889</v>
      </c>
      <c r="D23" s="66" t="s">
        <v>890</v>
      </c>
      <c r="E23" s="65" t="s">
        <v>475</v>
      </c>
      <c r="F23" s="67">
        <v>25</v>
      </c>
      <c r="G23" s="68">
        <v>0.11</v>
      </c>
    </row>
    <row r="24" spans="1:7" x14ac:dyDescent="0.3">
      <c r="A24" s="65" t="s">
        <v>891</v>
      </c>
      <c r="B24" s="65">
        <v>9</v>
      </c>
      <c r="C24" s="66" t="s">
        <v>484</v>
      </c>
      <c r="D24" s="66" t="s">
        <v>485</v>
      </c>
      <c r="E24" s="65" t="s">
        <v>475</v>
      </c>
      <c r="F24" s="67">
        <v>180</v>
      </c>
      <c r="G24" s="68">
        <v>0.13</v>
      </c>
    </row>
    <row r="25" spans="1:7" x14ac:dyDescent="0.3">
      <c r="A25" s="65" t="s">
        <v>891</v>
      </c>
      <c r="B25" s="65">
        <v>10</v>
      </c>
      <c r="C25" s="66" t="s">
        <v>486</v>
      </c>
      <c r="D25" s="66" t="s">
        <v>487</v>
      </c>
      <c r="E25" s="65" t="s">
        <v>475</v>
      </c>
      <c r="F25" s="67">
        <v>60</v>
      </c>
      <c r="G25" s="68">
        <v>0.11</v>
      </c>
    </row>
    <row r="26" spans="1:7" x14ac:dyDescent="0.3">
      <c r="A26" s="65" t="s">
        <v>891</v>
      </c>
      <c r="B26" s="65">
        <v>11</v>
      </c>
      <c r="C26" s="66" t="s">
        <v>488</v>
      </c>
      <c r="D26" s="66" t="s">
        <v>489</v>
      </c>
      <c r="E26" s="65" t="s">
        <v>388</v>
      </c>
      <c r="F26" s="67">
        <v>5</v>
      </c>
      <c r="G26" s="68">
        <v>0.03</v>
      </c>
    </row>
    <row r="27" spans="1:7" x14ac:dyDescent="0.3">
      <c r="A27" s="65" t="s">
        <v>891</v>
      </c>
      <c r="B27" s="65">
        <v>12</v>
      </c>
      <c r="C27" s="66" t="s">
        <v>490</v>
      </c>
      <c r="D27" s="66" t="s">
        <v>491</v>
      </c>
      <c r="E27" s="65" t="s">
        <v>475</v>
      </c>
      <c r="F27" s="67">
        <v>25</v>
      </c>
      <c r="G27" s="68">
        <v>7.0000000000000007E-2</v>
      </c>
    </row>
    <row r="28" spans="1:7" x14ac:dyDescent="0.3">
      <c r="A28" s="65" t="s">
        <v>891</v>
      </c>
      <c r="B28" s="65">
        <v>13</v>
      </c>
      <c r="C28" s="66" t="s">
        <v>492</v>
      </c>
      <c r="D28" s="66" t="s">
        <v>493</v>
      </c>
      <c r="E28" s="65" t="s">
        <v>388</v>
      </c>
      <c r="F28" s="67">
        <v>10</v>
      </c>
      <c r="G28" s="68">
        <v>0.05</v>
      </c>
    </row>
    <row r="29" spans="1:7" x14ac:dyDescent="0.3">
      <c r="A29" s="65" t="s">
        <v>891</v>
      </c>
      <c r="B29" s="65">
        <v>14</v>
      </c>
      <c r="C29" s="66" t="s">
        <v>494</v>
      </c>
      <c r="D29" s="66" t="s">
        <v>495</v>
      </c>
      <c r="E29" s="65" t="s">
        <v>475</v>
      </c>
      <c r="F29" s="67">
        <v>5</v>
      </c>
      <c r="G29" s="68">
        <v>0.03</v>
      </c>
    </row>
    <row r="30" spans="1:7" x14ac:dyDescent="0.3">
      <c r="A30" s="75" t="s">
        <v>346</v>
      </c>
      <c r="B30" s="75">
        <v>1</v>
      </c>
      <c r="C30" s="76" t="s">
        <v>473</v>
      </c>
      <c r="D30" s="76" t="s">
        <v>496</v>
      </c>
      <c r="E30" s="75" t="s">
        <v>475</v>
      </c>
      <c r="F30" s="75">
        <v>15</v>
      </c>
      <c r="G30" s="77">
        <v>0.03</v>
      </c>
    </row>
    <row r="31" spans="1:7" x14ac:dyDescent="0.3">
      <c r="A31" s="78" t="s">
        <v>346</v>
      </c>
      <c r="B31" s="78">
        <v>2</v>
      </c>
      <c r="C31" s="79" t="s">
        <v>476</v>
      </c>
      <c r="D31" s="79" t="s">
        <v>497</v>
      </c>
      <c r="E31" s="78" t="s">
        <v>388</v>
      </c>
      <c r="F31" s="78">
        <v>5</v>
      </c>
      <c r="G31" s="80">
        <v>0.02</v>
      </c>
    </row>
    <row r="32" spans="1:7" x14ac:dyDescent="0.3">
      <c r="A32" s="78" t="s">
        <v>346</v>
      </c>
      <c r="B32" s="78">
        <v>3</v>
      </c>
      <c r="C32" s="79" t="s">
        <v>498</v>
      </c>
      <c r="D32" s="79" t="s">
        <v>499</v>
      </c>
      <c r="E32" s="78" t="s">
        <v>475</v>
      </c>
      <c r="F32" s="78">
        <v>5</v>
      </c>
      <c r="G32" s="80">
        <v>0.02</v>
      </c>
    </row>
    <row r="33" spans="1:7" x14ac:dyDescent="0.3">
      <c r="A33" s="78" t="s">
        <v>346</v>
      </c>
      <c r="B33" s="78">
        <v>4</v>
      </c>
      <c r="C33" s="79" t="s">
        <v>500</v>
      </c>
      <c r="D33" s="79" t="s">
        <v>501</v>
      </c>
      <c r="E33" s="78" t="s">
        <v>388</v>
      </c>
      <c r="F33" s="78">
        <v>40</v>
      </c>
      <c r="G33" s="80">
        <v>0.13</v>
      </c>
    </row>
    <row r="34" spans="1:7" x14ac:dyDescent="0.3">
      <c r="A34" s="78" t="s">
        <v>346</v>
      </c>
      <c r="B34" s="78">
        <v>5</v>
      </c>
      <c r="C34" s="79" t="s">
        <v>502</v>
      </c>
      <c r="D34" s="79" t="s">
        <v>503</v>
      </c>
      <c r="E34" s="78" t="s">
        <v>475</v>
      </c>
      <c r="F34" s="78">
        <v>60</v>
      </c>
      <c r="G34" s="80">
        <v>0.18</v>
      </c>
    </row>
    <row r="35" spans="1:7" x14ac:dyDescent="0.3">
      <c r="A35" s="78" t="s">
        <v>346</v>
      </c>
      <c r="B35" s="78">
        <v>6</v>
      </c>
      <c r="C35" s="79" t="s">
        <v>892</v>
      </c>
      <c r="D35" s="79" t="s">
        <v>893</v>
      </c>
      <c r="E35" s="78" t="s">
        <v>475</v>
      </c>
      <c r="F35" s="78">
        <v>25</v>
      </c>
      <c r="G35" s="80">
        <v>0.09</v>
      </c>
    </row>
    <row r="36" spans="1:7" x14ac:dyDescent="0.3">
      <c r="A36" s="78" t="s">
        <v>346</v>
      </c>
      <c r="B36" s="78">
        <v>7</v>
      </c>
      <c r="C36" s="79" t="s">
        <v>484</v>
      </c>
      <c r="D36" s="79" t="s">
        <v>485</v>
      </c>
      <c r="E36" s="78" t="s">
        <v>475</v>
      </c>
      <c r="F36" s="78">
        <v>120</v>
      </c>
      <c r="G36" s="80">
        <v>0.12</v>
      </c>
    </row>
    <row r="37" spans="1:7" x14ac:dyDescent="0.3">
      <c r="A37" s="78" t="s">
        <v>346</v>
      </c>
      <c r="B37" s="78">
        <v>8</v>
      </c>
      <c r="C37" s="79" t="s">
        <v>488</v>
      </c>
      <c r="D37" s="79" t="s">
        <v>489</v>
      </c>
      <c r="E37" s="78" t="s">
        <v>475</v>
      </c>
      <c r="F37" s="78">
        <v>15</v>
      </c>
      <c r="G37" s="80">
        <v>0.06</v>
      </c>
    </row>
    <row r="38" spans="1:7" x14ac:dyDescent="0.3">
      <c r="A38" s="78" t="s">
        <v>346</v>
      </c>
      <c r="B38" s="78">
        <v>9</v>
      </c>
      <c r="C38" s="79" t="s">
        <v>507</v>
      </c>
      <c r="D38" s="79" t="s">
        <v>508</v>
      </c>
      <c r="E38" s="78" t="s">
        <v>475</v>
      </c>
      <c r="F38" s="78">
        <v>20</v>
      </c>
      <c r="G38" s="80">
        <v>0.08</v>
      </c>
    </row>
    <row r="39" spans="1:7" x14ac:dyDescent="0.3">
      <c r="A39" s="78" t="s">
        <v>346</v>
      </c>
      <c r="B39" s="78">
        <v>10</v>
      </c>
      <c r="C39" s="79" t="s">
        <v>509</v>
      </c>
      <c r="D39" s="79" t="s">
        <v>510</v>
      </c>
      <c r="E39" s="78" t="s">
        <v>388</v>
      </c>
      <c r="F39" s="78">
        <v>10</v>
      </c>
      <c r="G39" s="80">
        <v>0.11</v>
      </c>
    </row>
    <row r="40" spans="1:7" x14ac:dyDescent="0.3">
      <c r="A40" s="78" t="s">
        <v>346</v>
      </c>
      <c r="B40" s="78">
        <v>11</v>
      </c>
      <c r="C40" s="79" t="s">
        <v>511</v>
      </c>
      <c r="D40" s="79" t="s">
        <v>512</v>
      </c>
      <c r="E40" s="78" t="s">
        <v>475</v>
      </c>
      <c r="F40" s="78">
        <v>20</v>
      </c>
      <c r="G40" s="80">
        <v>0.09</v>
      </c>
    </row>
    <row r="41" spans="1:7" x14ac:dyDescent="0.3">
      <c r="A41" s="78" t="s">
        <v>346</v>
      </c>
      <c r="B41" s="78">
        <v>12</v>
      </c>
      <c r="C41" s="79" t="s">
        <v>492</v>
      </c>
      <c r="D41" s="79" t="s">
        <v>513</v>
      </c>
      <c r="E41" s="78" t="s">
        <v>388</v>
      </c>
      <c r="F41" s="78">
        <v>10</v>
      </c>
      <c r="G41" s="80">
        <v>0.04</v>
      </c>
    </row>
    <row r="42" spans="1:7" x14ac:dyDescent="0.3">
      <c r="A42" s="78" t="s">
        <v>346</v>
      </c>
      <c r="B42" s="78">
        <v>13</v>
      </c>
      <c r="C42" s="79" t="s">
        <v>514</v>
      </c>
      <c r="D42" s="79" t="s">
        <v>515</v>
      </c>
      <c r="E42" s="78" t="s">
        <v>475</v>
      </c>
      <c r="F42" s="78">
        <v>5</v>
      </c>
      <c r="G42" s="80">
        <v>0.03</v>
      </c>
    </row>
    <row r="43" spans="1:7" x14ac:dyDescent="0.3">
      <c r="A43" s="75" t="s">
        <v>919</v>
      </c>
      <c r="B43" s="75">
        <v>1</v>
      </c>
      <c r="C43" s="76" t="s">
        <v>473</v>
      </c>
      <c r="D43" s="76" t="s">
        <v>496</v>
      </c>
      <c r="E43" s="75" t="s">
        <v>475</v>
      </c>
      <c r="F43" s="75">
        <v>15</v>
      </c>
      <c r="G43" s="77">
        <v>0.03</v>
      </c>
    </row>
    <row r="44" spans="1:7" x14ac:dyDescent="0.3">
      <c r="A44" s="78" t="s">
        <v>919</v>
      </c>
      <c r="B44" s="78">
        <v>2</v>
      </c>
      <c r="C44" s="79" t="s">
        <v>476</v>
      </c>
      <c r="D44" s="79" t="s">
        <v>497</v>
      </c>
      <c r="E44" s="78" t="s">
        <v>388</v>
      </c>
      <c r="F44" s="78">
        <v>5</v>
      </c>
      <c r="G44" s="80">
        <v>0.02</v>
      </c>
    </row>
    <row r="45" spans="1:7" x14ac:dyDescent="0.3">
      <c r="A45" s="78" t="s">
        <v>919</v>
      </c>
      <c r="B45" s="78">
        <v>3</v>
      </c>
      <c r="C45" s="79" t="s">
        <v>498</v>
      </c>
      <c r="D45" s="79" t="s">
        <v>499</v>
      </c>
      <c r="E45" s="78" t="s">
        <v>475</v>
      </c>
      <c r="F45" s="78">
        <v>5</v>
      </c>
      <c r="G45" s="80">
        <v>0.02</v>
      </c>
    </row>
    <row r="46" spans="1:7" x14ac:dyDescent="0.3">
      <c r="A46" s="78" t="s">
        <v>919</v>
      </c>
      <c r="B46" s="78">
        <v>4</v>
      </c>
      <c r="C46" s="79" t="s">
        <v>500</v>
      </c>
      <c r="D46" s="79" t="s">
        <v>501</v>
      </c>
      <c r="E46" s="78" t="s">
        <v>388</v>
      </c>
      <c r="F46" s="78">
        <v>40</v>
      </c>
      <c r="G46" s="80">
        <v>0.13</v>
      </c>
    </row>
    <row r="47" spans="1:7" x14ac:dyDescent="0.3">
      <c r="A47" s="78" t="s">
        <v>919</v>
      </c>
      <c r="B47" s="78">
        <v>5</v>
      </c>
      <c r="C47" s="79" t="s">
        <v>502</v>
      </c>
      <c r="D47" s="79" t="s">
        <v>503</v>
      </c>
      <c r="E47" s="78" t="s">
        <v>475</v>
      </c>
      <c r="F47" s="78">
        <v>60</v>
      </c>
      <c r="G47" s="80">
        <v>0.18</v>
      </c>
    </row>
    <row r="48" spans="1:7" x14ac:dyDescent="0.3">
      <c r="A48" s="78" t="s">
        <v>919</v>
      </c>
      <c r="B48" s="78">
        <v>6</v>
      </c>
      <c r="C48" s="79" t="s">
        <v>504</v>
      </c>
      <c r="D48" s="79" t="s">
        <v>505</v>
      </c>
      <c r="E48" s="78" t="s">
        <v>388</v>
      </c>
      <c r="F48" s="78">
        <v>10</v>
      </c>
      <c r="G48" s="80">
        <v>0.03</v>
      </c>
    </row>
    <row r="49" spans="1:7" x14ac:dyDescent="0.3">
      <c r="A49" s="78" t="s">
        <v>919</v>
      </c>
      <c r="B49" s="78">
        <v>7</v>
      </c>
      <c r="C49" s="79" t="s">
        <v>506</v>
      </c>
      <c r="D49" s="79" t="s">
        <v>483</v>
      </c>
      <c r="E49" s="78" t="s">
        <v>475</v>
      </c>
      <c r="F49" s="78">
        <v>25</v>
      </c>
      <c r="G49" s="80">
        <v>0.1</v>
      </c>
    </row>
    <row r="50" spans="1:7" x14ac:dyDescent="0.3">
      <c r="A50" s="78" t="s">
        <v>919</v>
      </c>
      <c r="B50" s="78">
        <v>8</v>
      </c>
      <c r="C50" s="79" t="s">
        <v>892</v>
      </c>
      <c r="D50" s="79" t="s">
        <v>893</v>
      </c>
      <c r="E50" s="78" t="s">
        <v>475</v>
      </c>
      <c r="F50" s="78">
        <v>25</v>
      </c>
      <c r="G50" s="80">
        <v>0.09</v>
      </c>
    </row>
    <row r="51" spans="1:7" x14ac:dyDescent="0.3">
      <c r="A51" s="78" t="s">
        <v>919</v>
      </c>
      <c r="B51" s="78">
        <v>9</v>
      </c>
      <c r="C51" s="79" t="s">
        <v>484</v>
      </c>
      <c r="D51" s="79" t="s">
        <v>485</v>
      </c>
      <c r="E51" s="78" t="s">
        <v>475</v>
      </c>
      <c r="F51" s="78">
        <v>120</v>
      </c>
      <c r="G51" s="80">
        <v>0.12</v>
      </c>
    </row>
    <row r="52" spans="1:7" x14ac:dyDescent="0.3">
      <c r="A52" s="78" t="s">
        <v>919</v>
      </c>
      <c r="B52" s="78">
        <v>10</v>
      </c>
      <c r="C52" s="79" t="s">
        <v>509</v>
      </c>
      <c r="D52" s="79" t="s">
        <v>510</v>
      </c>
      <c r="E52" s="78" t="s">
        <v>388</v>
      </c>
      <c r="F52" s="78">
        <v>10</v>
      </c>
      <c r="G52" s="80">
        <v>0.12</v>
      </c>
    </row>
    <row r="53" spans="1:7" x14ac:dyDescent="0.3">
      <c r="A53" s="78" t="s">
        <v>919</v>
      </c>
      <c r="B53" s="78">
        <v>11</v>
      </c>
      <c r="C53" s="79" t="s">
        <v>511</v>
      </c>
      <c r="D53" s="79" t="s">
        <v>512</v>
      </c>
      <c r="E53" s="78" t="s">
        <v>475</v>
      </c>
      <c r="F53" s="78">
        <v>20</v>
      </c>
      <c r="G53" s="80">
        <v>0.09</v>
      </c>
    </row>
    <row r="54" spans="1:7" x14ac:dyDescent="0.3">
      <c r="A54" s="78" t="s">
        <v>919</v>
      </c>
      <c r="B54" s="78">
        <v>12</v>
      </c>
      <c r="C54" s="79" t="s">
        <v>492</v>
      </c>
      <c r="D54" s="79" t="s">
        <v>513</v>
      </c>
      <c r="E54" s="78" t="s">
        <v>388</v>
      </c>
      <c r="F54" s="78">
        <v>10</v>
      </c>
      <c r="G54" s="80">
        <v>0.04</v>
      </c>
    </row>
    <row r="55" spans="1:7" x14ac:dyDescent="0.3">
      <c r="A55" s="78" t="s">
        <v>919</v>
      </c>
      <c r="B55" s="78">
        <v>13</v>
      </c>
      <c r="C55" s="79" t="s">
        <v>514</v>
      </c>
      <c r="D55" s="79" t="s">
        <v>515</v>
      </c>
      <c r="E55" s="78" t="s">
        <v>475</v>
      </c>
      <c r="F55" s="78">
        <v>5</v>
      </c>
      <c r="G55" s="80">
        <v>0.03</v>
      </c>
    </row>
    <row r="56" spans="1:7" x14ac:dyDescent="0.3">
      <c r="A56" s="82" t="s">
        <v>981</v>
      </c>
      <c r="B56" s="82">
        <v>1</v>
      </c>
      <c r="C56" s="83" t="s">
        <v>516</v>
      </c>
      <c r="D56" s="83" t="s">
        <v>982</v>
      </c>
      <c r="E56" s="82" t="s">
        <v>475</v>
      </c>
      <c r="F56" s="82">
        <v>15</v>
      </c>
      <c r="G56" s="84">
        <v>0.06</v>
      </c>
    </row>
    <row r="57" spans="1:7" x14ac:dyDescent="0.3">
      <c r="A57" s="65" t="s">
        <v>981</v>
      </c>
      <c r="B57" s="65">
        <v>2</v>
      </c>
      <c r="C57" s="66" t="s">
        <v>983</v>
      </c>
      <c r="D57" s="66" t="s">
        <v>984</v>
      </c>
      <c r="E57" s="65" t="s">
        <v>388</v>
      </c>
      <c r="F57" s="65">
        <v>10</v>
      </c>
      <c r="G57" s="70">
        <v>0.1</v>
      </c>
    </row>
    <row r="58" spans="1:7" x14ac:dyDescent="0.3">
      <c r="A58" s="65" t="s">
        <v>981</v>
      </c>
      <c r="B58" s="65">
        <v>3</v>
      </c>
      <c r="C58" s="66" t="s">
        <v>985</v>
      </c>
      <c r="D58" s="66" t="s">
        <v>499</v>
      </c>
      <c r="E58" s="65" t="s">
        <v>475</v>
      </c>
      <c r="F58" s="65">
        <v>5</v>
      </c>
      <c r="G58" s="70">
        <v>0.03</v>
      </c>
    </row>
    <row r="59" spans="1:7" x14ac:dyDescent="0.3">
      <c r="A59" s="65" t="s">
        <v>981</v>
      </c>
      <c r="B59" s="65">
        <v>4</v>
      </c>
      <c r="C59" s="66" t="s">
        <v>986</v>
      </c>
      <c r="D59" s="66" t="s">
        <v>987</v>
      </c>
      <c r="E59" s="65" t="s">
        <v>388</v>
      </c>
      <c r="F59" s="65">
        <v>20</v>
      </c>
      <c r="G59" s="70">
        <v>0.15</v>
      </c>
    </row>
    <row r="60" spans="1:7" x14ac:dyDescent="0.3">
      <c r="A60" s="65" t="s">
        <v>981</v>
      </c>
      <c r="B60" s="65">
        <v>5</v>
      </c>
      <c r="C60" s="66" t="s">
        <v>988</v>
      </c>
      <c r="D60" s="66" t="s">
        <v>989</v>
      </c>
      <c r="E60" s="65" t="s">
        <v>475</v>
      </c>
      <c r="F60" s="65">
        <v>30</v>
      </c>
      <c r="G60" s="70">
        <v>0.22</v>
      </c>
    </row>
    <row r="61" spans="1:7" x14ac:dyDescent="0.3">
      <c r="A61" s="65" t="s">
        <v>981</v>
      </c>
      <c r="B61" s="65">
        <v>6</v>
      </c>
      <c r="C61" s="66" t="s">
        <v>990</v>
      </c>
      <c r="D61" s="66" t="s">
        <v>991</v>
      </c>
      <c r="E61" s="65" t="s">
        <v>475</v>
      </c>
      <c r="F61" s="65">
        <v>15</v>
      </c>
      <c r="G61" s="70">
        <v>0.12</v>
      </c>
    </row>
    <row r="62" spans="1:7" x14ac:dyDescent="0.3">
      <c r="A62" s="65" t="s">
        <v>981</v>
      </c>
      <c r="B62" s="65">
        <v>7</v>
      </c>
      <c r="C62" s="66" t="s">
        <v>504</v>
      </c>
      <c r="D62" s="66" t="s">
        <v>505</v>
      </c>
      <c r="E62" s="65" t="s">
        <v>388</v>
      </c>
      <c r="F62" s="65">
        <v>10</v>
      </c>
      <c r="G62" s="70">
        <v>0.05</v>
      </c>
    </row>
    <row r="63" spans="1:7" x14ac:dyDescent="0.3">
      <c r="A63" s="65" t="s">
        <v>981</v>
      </c>
      <c r="B63" s="65">
        <v>8</v>
      </c>
      <c r="C63" s="66" t="s">
        <v>992</v>
      </c>
      <c r="D63" s="66" t="s">
        <v>483</v>
      </c>
      <c r="E63" s="65" t="s">
        <v>475</v>
      </c>
      <c r="F63" s="65">
        <v>20</v>
      </c>
      <c r="G63" s="70">
        <v>0.12</v>
      </c>
    </row>
    <row r="64" spans="1:7" x14ac:dyDescent="0.3">
      <c r="A64" s="65" t="s">
        <v>981</v>
      </c>
      <c r="B64" s="65">
        <v>9</v>
      </c>
      <c r="C64" s="66" t="s">
        <v>993</v>
      </c>
      <c r="D64" s="66" t="s">
        <v>994</v>
      </c>
      <c r="E64" s="65" t="s">
        <v>388</v>
      </c>
      <c r="F64" s="65">
        <v>10</v>
      </c>
      <c r="G64" s="70">
        <v>7.0000000000000007E-2</v>
      </c>
    </row>
    <row r="65" spans="1:7" x14ac:dyDescent="0.3">
      <c r="A65" s="65" t="s">
        <v>981</v>
      </c>
      <c r="B65" s="65">
        <v>10</v>
      </c>
      <c r="C65" s="66" t="s">
        <v>995</v>
      </c>
      <c r="D65" s="66" t="s">
        <v>996</v>
      </c>
      <c r="E65" s="65" t="s">
        <v>475</v>
      </c>
      <c r="F65" s="65">
        <v>5</v>
      </c>
      <c r="G65" s="70">
        <v>0.08</v>
      </c>
    </row>
    <row r="66" spans="1:7" x14ac:dyDescent="0.3">
      <c r="A66" s="61" t="s">
        <v>269</v>
      </c>
      <c r="B66" s="61">
        <v>1</v>
      </c>
      <c r="C66" s="62" t="s">
        <v>516</v>
      </c>
      <c r="D66" s="62" t="s">
        <v>517</v>
      </c>
      <c r="E66" s="61" t="s">
        <v>475</v>
      </c>
      <c r="F66" s="61">
        <v>10</v>
      </c>
      <c r="G66" s="69">
        <v>0.08</v>
      </c>
    </row>
    <row r="67" spans="1:7" x14ac:dyDescent="0.3">
      <c r="A67" s="65" t="s">
        <v>269</v>
      </c>
      <c r="B67" s="65">
        <v>2</v>
      </c>
      <c r="C67" s="66" t="s">
        <v>518</v>
      </c>
      <c r="D67" s="66" t="s">
        <v>519</v>
      </c>
      <c r="E67" s="65" t="s">
        <v>388</v>
      </c>
      <c r="F67" s="65">
        <v>10</v>
      </c>
      <c r="G67" s="70">
        <v>0.12</v>
      </c>
    </row>
    <row r="68" spans="1:7" x14ac:dyDescent="0.3">
      <c r="A68" s="65" t="s">
        <v>269</v>
      </c>
      <c r="B68" s="65">
        <v>3</v>
      </c>
      <c r="C68" s="66" t="s">
        <v>520</v>
      </c>
      <c r="D68" s="66" t="s">
        <v>521</v>
      </c>
      <c r="E68" s="65" t="s">
        <v>388</v>
      </c>
      <c r="F68" s="65">
        <v>10</v>
      </c>
      <c r="G68" s="70">
        <v>0.15</v>
      </c>
    </row>
    <row r="69" spans="1:7" x14ac:dyDescent="0.3">
      <c r="A69" s="65" t="s">
        <v>269</v>
      </c>
      <c r="B69" s="65">
        <v>4</v>
      </c>
      <c r="C69" s="66" t="s">
        <v>522</v>
      </c>
      <c r="D69" s="66" t="s">
        <v>523</v>
      </c>
      <c r="E69" s="65" t="s">
        <v>475</v>
      </c>
      <c r="F69" s="65">
        <v>20</v>
      </c>
      <c r="G69" s="70">
        <v>0.3</v>
      </c>
    </row>
    <row r="70" spans="1:7" x14ac:dyDescent="0.3">
      <c r="A70" s="65" t="s">
        <v>269</v>
      </c>
      <c r="B70" s="65">
        <v>5</v>
      </c>
      <c r="C70" s="66" t="s">
        <v>524</v>
      </c>
      <c r="D70" s="66" t="s">
        <v>525</v>
      </c>
      <c r="E70" s="65" t="s">
        <v>388</v>
      </c>
      <c r="F70" s="65">
        <v>5</v>
      </c>
      <c r="G70" s="70">
        <v>0.05</v>
      </c>
    </row>
    <row r="71" spans="1:7" x14ac:dyDescent="0.3">
      <c r="A71" s="65" t="s">
        <v>269</v>
      </c>
      <c r="B71" s="65">
        <v>6</v>
      </c>
      <c r="C71" s="66" t="s">
        <v>526</v>
      </c>
      <c r="D71" s="66" t="s">
        <v>483</v>
      </c>
      <c r="E71" s="65" t="s">
        <v>475</v>
      </c>
      <c r="F71" s="65">
        <v>15</v>
      </c>
      <c r="G71" s="70">
        <v>0.2</v>
      </c>
    </row>
    <row r="72" spans="1:7" x14ac:dyDescent="0.3">
      <c r="A72" s="65" t="s">
        <v>269</v>
      </c>
      <c r="B72" s="65">
        <v>7</v>
      </c>
      <c r="C72" s="66" t="s">
        <v>527</v>
      </c>
      <c r="D72" s="66" t="s">
        <v>528</v>
      </c>
      <c r="E72" s="65" t="s">
        <v>388</v>
      </c>
      <c r="F72" s="65">
        <v>10</v>
      </c>
      <c r="G72" s="70">
        <v>0.1</v>
      </c>
    </row>
    <row r="73" spans="1:7" x14ac:dyDescent="0.3">
      <c r="A73" s="61" t="s">
        <v>920</v>
      </c>
      <c r="B73" s="61">
        <v>1</v>
      </c>
      <c r="C73" s="62" t="s">
        <v>516</v>
      </c>
      <c r="D73" s="62" t="s">
        <v>529</v>
      </c>
      <c r="E73" s="61" t="s">
        <v>475</v>
      </c>
      <c r="F73" s="61">
        <v>15</v>
      </c>
      <c r="G73" s="69">
        <v>0.05</v>
      </c>
    </row>
    <row r="74" spans="1:7" x14ac:dyDescent="0.3">
      <c r="A74" s="65" t="s">
        <v>920</v>
      </c>
      <c r="B74" s="65">
        <v>2</v>
      </c>
      <c r="C74" s="66" t="s">
        <v>530</v>
      </c>
      <c r="D74" s="66" t="s">
        <v>531</v>
      </c>
      <c r="E74" s="65" t="s">
        <v>388</v>
      </c>
      <c r="F74" s="65">
        <v>10</v>
      </c>
      <c r="G74" s="70">
        <v>0.05</v>
      </c>
    </row>
    <row r="75" spans="1:7" x14ac:dyDescent="0.3">
      <c r="A75" s="65" t="s">
        <v>920</v>
      </c>
      <c r="B75" s="65">
        <v>3</v>
      </c>
      <c r="C75" s="66" t="s">
        <v>532</v>
      </c>
      <c r="D75" s="66" t="s">
        <v>533</v>
      </c>
      <c r="E75" s="65" t="s">
        <v>388</v>
      </c>
      <c r="F75" s="65">
        <v>30</v>
      </c>
      <c r="G75" s="70">
        <v>0.15</v>
      </c>
    </row>
    <row r="76" spans="1:7" x14ac:dyDescent="0.3">
      <c r="A76" s="65" t="s">
        <v>920</v>
      </c>
      <c r="B76" s="65">
        <v>4</v>
      </c>
      <c r="C76" s="66" t="s">
        <v>534</v>
      </c>
      <c r="D76" s="66" t="s">
        <v>535</v>
      </c>
      <c r="E76" s="65" t="s">
        <v>475</v>
      </c>
      <c r="F76" s="65">
        <v>60</v>
      </c>
      <c r="G76" s="70">
        <v>0.25</v>
      </c>
    </row>
    <row r="77" spans="1:7" x14ac:dyDescent="0.3">
      <c r="A77" s="65" t="s">
        <v>920</v>
      </c>
      <c r="B77" s="65">
        <v>5</v>
      </c>
      <c r="C77" s="66" t="s">
        <v>536</v>
      </c>
      <c r="D77" s="66" t="s">
        <v>537</v>
      </c>
      <c r="E77" s="65" t="s">
        <v>388</v>
      </c>
      <c r="F77" s="65">
        <v>10</v>
      </c>
      <c r="G77" s="70">
        <v>0.05</v>
      </c>
    </row>
    <row r="78" spans="1:7" x14ac:dyDescent="0.3">
      <c r="A78" s="65" t="s">
        <v>920</v>
      </c>
      <c r="B78" s="65">
        <v>6</v>
      </c>
      <c r="C78" s="66" t="s">
        <v>538</v>
      </c>
      <c r="D78" s="66" t="s">
        <v>539</v>
      </c>
      <c r="E78" s="65" t="s">
        <v>475</v>
      </c>
      <c r="F78" s="65">
        <v>150</v>
      </c>
      <c r="G78" s="70">
        <v>0.2</v>
      </c>
    </row>
    <row r="79" spans="1:7" x14ac:dyDescent="0.3">
      <c r="A79" s="65" t="s">
        <v>920</v>
      </c>
      <c r="B79" s="65">
        <v>7</v>
      </c>
      <c r="C79" s="66" t="s">
        <v>540</v>
      </c>
      <c r="D79" s="66" t="s">
        <v>541</v>
      </c>
      <c r="E79" s="65" t="s">
        <v>388</v>
      </c>
      <c r="F79" s="65">
        <v>20</v>
      </c>
      <c r="G79" s="70">
        <v>0.2</v>
      </c>
    </row>
    <row r="80" spans="1:7" x14ac:dyDescent="0.3">
      <c r="A80" s="65" t="s">
        <v>920</v>
      </c>
      <c r="B80" s="65">
        <v>8</v>
      </c>
      <c r="C80" s="66" t="s">
        <v>542</v>
      </c>
      <c r="D80" s="66" t="s">
        <v>543</v>
      </c>
      <c r="E80" s="65" t="s">
        <v>388</v>
      </c>
      <c r="F80" s="65">
        <v>10</v>
      </c>
      <c r="G80" s="70">
        <v>0.05</v>
      </c>
    </row>
    <row r="81" spans="1:7" x14ac:dyDescent="0.3">
      <c r="A81" s="61" t="s">
        <v>271</v>
      </c>
      <c r="B81" s="61">
        <v>1</v>
      </c>
      <c r="C81" s="62" t="s">
        <v>516</v>
      </c>
      <c r="D81" s="62" t="s">
        <v>517</v>
      </c>
      <c r="E81" s="61" t="s">
        <v>475</v>
      </c>
      <c r="F81" s="61">
        <v>10</v>
      </c>
      <c r="G81" s="69">
        <v>0.08</v>
      </c>
    </row>
    <row r="82" spans="1:7" x14ac:dyDescent="0.3">
      <c r="A82" s="65" t="s">
        <v>271</v>
      </c>
      <c r="B82" s="65">
        <v>2</v>
      </c>
      <c r="C82" s="66" t="s">
        <v>544</v>
      </c>
      <c r="D82" s="66" t="s">
        <v>545</v>
      </c>
      <c r="E82" s="65" t="s">
        <v>388</v>
      </c>
      <c r="F82" s="65">
        <v>15</v>
      </c>
      <c r="G82" s="70">
        <v>0.15</v>
      </c>
    </row>
    <row r="83" spans="1:7" x14ac:dyDescent="0.3">
      <c r="A83" s="65" t="s">
        <v>271</v>
      </c>
      <c r="B83" s="65">
        <v>3</v>
      </c>
      <c r="C83" s="66" t="s">
        <v>546</v>
      </c>
      <c r="D83" s="66" t="s">
        <v>547</v>
      </c>
      <c r="E83" s="65" t="s">
        <v>475</v>
      </c>
      <c r="F83" s="65">
        <v>40</v>
      </c>
      <c r="G83" s="70">
        <v>0.35</v>
      </c>
    </row>
    <row r="84" spans="1:7" x14ac:dyDescent="0.3">
      <c r="A84" s="65" t="s">
        <v>271</v>
      </c>
      <c r="B84" s="65">
        <v>4</v>
      </c>
      <c r="C84" s="66" t="s">
        <v>548</v>
      </c>
      <c r="D84" s="66" t="s">
        <v>549</v>
      </c>
      <c r="E84" s="65" t="s">
        <v>388</v>
      </c>
      <c r="F84" s="65">
        <v>5</v>
      </c>
      <c r="G84" s="70">
        <v>0.05</v>
      </c>
    </row>
    <row r="85" spans="1:7" x14ac:dyDescent="0.3">
      <c r="A85" s="65" t="s">
        <v>271</v>
      </c>
      <c r="B85" s="65">
        <v>5</v>
      </c>
      <c r="C85" s="66" t="s">
        <v>526</v>
      </c>
      <c r="D85" s="66" t="s">
        <v>483</v>
      </c>
      <c r="E85" s="65" t="s">
        <v>475</v>
      </c>
      <c r="F85" s="65">
        <v>20</v>
      </c>
      <c r="G85" s="70">
        <v>0.27</v>
      </c>
    </row>
    <row r="86" spans="1:7" x14ac:dyDescent="0.3">
      <c r="A86" s="65" t="s">
        <v>271</v>
      </c>
      <c r="B86" s="65">
        <v>6</v>
      </c>
      <c r="C86" s="66" t="s">
        <v>542</v>
      </c>
      <c r="D86" s="66" t="s">
        <v>550</v>
      </c>
      <c r="E86" s="65" t="s">
        <v>388</v>
      </c>
      <c r="F86" s="65">
        <v>10</v>
      </c>
      <c r="G86" s="70">
        <v>0.1</v>
      </c>
    </row>
    <row r="87" spans="1:7" x14ac:dyDescent="0.3">
      <c r="A87" s="61" t="s">
        <v>272</v>
      </c>
      <c r="B87" s="61">
        <v>1</v>
      </c>
      <c r="C87" s="62" t="s">
        <v>516</v>
      </c>
      <c r="D87" s="62" t="s">
        <v>517</v>
      </c>
      <c r="E87" s="61" t="s">
        <v>475</v>
      </c>
      <c r="F87" s="61">
        <v>10</v>
      </c>
      <c r="G87" s="69">
        <v>0.08</v>
      </c>
    </row>
    <row r="88" spans="1:7" x14ac:dyDescent="0.3">
      <c r="A88" s="65" t="s">
        <v>272</v>
      </c>
      <c r="B88" s="65">
        <v>2</v>
      </c>
      <c r="C88" s="66" t="s">
        <v>551</v>
      </c>
      <c r="D88" s="66" t="s">
        <v>552</v>
      </c>
      <c r="E88" s="65" t="s">
        <v>388</v>
      </c>
      <c r="F88" s="65">
        <v>15</v>
      </c>
      <c r="G88" s="70">
        <v>0.2</v>
      </c>
    </row>
    <row r="89" spans="1:7" x14ac:dyDescent="0.3">
      <c r="A89" s="65" t="s">
        <v>272</v>
      </c>
      <c r="B89" s="65">
        <v>3</v>
      </c>
      <c r="C89" s="66" t="s">
        <v>553</v>
      </c>
      <c r="D89" s="66" t="s">
        <v>554</v>
      </c>
      <c r="E89" s="65" t="s">
        <v>475</v>
      </c>
      <c r="F89" s="65">
        <v>20</v>
      </c>
      <c r="G89" s="70">
        <v>0.25</v>
      </c>
    </row>
    <row r="90" spans="1:7" x14ac:dyDescent="0.3">
      <c r="A90" s="65" t="s">
        <v>272</v>
      </c>
      <c r="B90" s="65">
        <v>4</v>
      </c>
      <c r="C90" s="66" t="s">
        <v>555</v>
      </c>
      <c r="D90" s="66" t="s">
        <v>556</v>
      </c>
      <c r="E90" s="65" t="s">
        <v>388</v>
      </c>
      <c r="F90" s="65">
        <v>20</v>
      </c>
      <c r="G90" s="70">
        <v>0.25</v>
      </c>
    </row>
    <row r="91" spans="1:7" x14ac:dyDescent="0.3">
      <c r="A91" s="65" t="s">
        <v>272</v>
      </c>
      <c r="B91" s="65">
        <v>5</v>
      </c>
      <c r="C91" s="66" t="s">
        <v>557</v>
      </c>
      <c r="D91" s="66" t="s">
        <v>558</v>
      </c>
      <c r="E91" s="65" t="s">
        <v>388</v>
      </c>
      <c r="F91" s="65">
        <v>15</v>
      </c>
      <c r="G91" s="70">
        <v>0.15</v>
      </c>
    </row>
    <row r="92" spans="1:7" x14ac:dyDescent="0.3">
      <c r="A92" s="65" t="s">
        <v>272</v>
      </c>
      <c r="B92" s="65">
        <v>6</v>
      </c>
      <c r="C92" s="66" t="s">
        <v>559</v>
      </c>
      <c r="D92" s="66" t="s">
        <v>560</v>
      </c>
      <c r="E92" s="65" t="s">
        <v>388</v>
      </c>
      <c r="F92" s="65">
        <v>10</v>
      </c>
      <c r="G92" s="70">
        <v>7.0000000000000007E-2</v>
      </c>
    </row>
    <row r="93" spans="1:7" x14ac:dyDescent="0.3">
      <c r="A93" s="82" t="s">
        <v>614</v>
      </c>
      <c r="B93" s="82">
        <v>1</v>
      </c>
      <c r="C93" s="83" t="s">
        <v>997</v>
      </c>
      <c r="D93" s="83" t="s">
        <v>998</v>
      </c>
      <c r="E93" s="82" t="s">
        <v>475</v>
      </c>
      <c r="F93" s="82">
        <v>15</v>
      </c>
      <c r="G93" s="84">
        <v>0.06</v>
      </c>
    </row>
    <row r="94" spans="1:7" ht="16.2" customHeight="1" x14ac:dyDescent="0.3">
      <c r="A94" s="65" t="s">
        <v>614</v>
      </c>
      <c r="B94" s="65">
        <v>2</v>
      </c>
      <c r="C94" s="66" t="s">
        <v>999</v>
      </c>
      <c r="D94" s="66" t="s">
        <v>1000</v>
      </c>
      <c r="E94" s="65" t="s">
        <v>388</v>
      </c>
      <c r="F94" s="65">
        <v>10</v>
      </c>
      <c r="G94" s="70">
        <v>0.08</v>
      </c>
    </row>
    <row r="95" spans="1:7" ht="16.2" customHeight="1" x14ac:dyDescent="0.3">
      <c r="A95" s="65" t="s">
        <v>614</v>
      </c>
      <c r="B95" s="65">
        <v>3</v>
      </c>
      <c r="C95" s="66" t="s">
        <v>1001</v>
      </c>
      <c r="D95" s="66" t="s">
        <v>1002</v>
      </c>
      <c r="E95" s="65" t="s">
        <v>388</v>
      </c>
      <c r="F95" s="65">
        <v>15</v>
      </c>
      <c r="G95" s="70">
        <v>0.1</v>
      </c>
    </row>
    <row r="96" spans="1:7" ht="16.2" customHeight="1" x14ac:dyDescent="0.3">
      <c r="A96" s="65" t="s">
        <v>614</v>
      </c>
      <c r="B96" s="65">
        <v>4</v>
      </c>
      <c r="C96" s="66" t="s">
        <v>1003</v>
      </c>
      <c r="D96" s="66" t="s">
        <v>1004</v>
      </c>
      <c r="E96" s="65" t="s">
        <v>475</v>
      </c>
      <c r="F96" s="65">
        <v>25</v>
      </c>
      <c r="G96" s="70">
        <v>0.2</v>
      </c>
    </row>
    <row r="97" spans="1:7" ht="16.2" customHeight="1" x14ac:dyDescent="0.3">
      <c r="A97" s="65" t="s">
        <v>614</v>
      </c>
      <c r="B97" s="65">
        <v>5</v>
      </c>
      <c r="C97" s="66" t="s">
        <v>1005</v>
      </c>
      <c r="D97" s="66" t="s">
        <v>1006</v>
      </c>
      <c r="E97" s="65" t="s">
        <v>388</v>
      </c>
      <c r="F97" s="65">
        <v>20</v>
      </c>
      <c r="G97" s="70">
        <v>0.18</v>
      </c>
    </row>
    <row r="98" spans="1:7" ht="16.2" customHeight="1" x14ac:dyDescent="0.3">
      <c r="A98" s="65" t="s">
        <v>614</v>
      </c>
      <c r="B98" s="65">
        <v>6</v>
      </c>
      <c r="C98" s="66" t="s">
        <v>1007</v>
      </c>
      <c r="D98" s="66" t="s">
        <v>1008</v>
      </c>
      <c r="E98" s="65" t="s">
        <v>475</v>
      </c>
      <c r="F98" s="65">
        <v>10</v>
      </c>
      <c r="G98" s="70">
        <v>0.08</v>
      </c>
    </row>
    <row r="99" spans="1:7" ht="16.2" customHeight="1" x14ac:dyDescent="0.3">
      <c r="A99" s="65" t="s">
        <v>614</v>
      </c>
      <c r="B99" s="65">
        <v>7</v>
      </c>
      <c r="C99" s="66" t="s">
        <v>1009</v>
      </c>
      <c r="D99" s="66" t="s">
        <v>1010</v>
      </c>
      <c r="E99" s="65" t="s">
        <v>388</v>
      </c>
      <c r="F99" s="65">
        <v>15</v>
      </c>
      <c r="G99" s="70">
        <v>0.12</v>
      </c>
    </row>
    <row r="100" spans="1:7" ht="16.2" customHeight="1" x14ac:dyDescent="0.3">
      <c r="A100" s="65" t="s">
        <v>614</v>
      </c>
      <c r="B100" s="65">
        <v>8</v>
      </c>
      <c r="C100" s="66" t="s">
        <v>1011</v>
      </c>
      <c r="D100" s="66" t="s">
        <v>1012</v>
      </c>
      <c r="E100" s="65" t="s">
        <v>388</v>
      </c>
      <c r="F100" s="65">
        <v>15</v>
      </c>
      <c r="G100" s="70">
        <v>0.12</v>
      </c>
    </row>
    <row r="101" spans="1:7" ht="16.2" customHeight="1" x14ac:dyDescent="0.3">
      <c r="A101" s="65" t="s">
        <v>614</v>
      </c>
      <c r="B101" s="65">
        <v>9</v>
      </c>
      <c r="C101" s="66" t="s">
        <v>1013</v>
      </c>
      <c r="D101" s="66" t="s">
        <v>1014</v>
      </c>
      <c r="E101" s="65" t="s">
        <v>475</v>
      </c>
      <c r="F101" s="65">
        <v>10</v>
      </c>
      <c r="G101" s="70">
        <v>0.06</v>
      </c>
    </row>
    <row r="102" spans="1:7" x14ac:dyDescent="0.3">
      <c r="A102" s="82" t="s">
        <v>980</v>
      </c>
      <c r="B102" s="82">
        <v>1</v>
      </c>
      <c r="C102" s="83" t="s">
        <v>1015</v>
      </c>
      <c r="D102" s="83" t="s">
        <v>1016</v>
      </c>
      <c r="E102" s="82" t="s">
        <v>475</v>
      </c>
      <c r="F102" s="82">
        <v>15</v>
      </c>
      <c r="G102" s="84">
        <v>0.06</v>
      </c>
    </row>
    <row r="103" spans="1:7" ht="16.2" customHeight="1" x14ac:dyDescent="0.3">
      <c r="A103" s="65" t="s">
        <v>980</v>
      </c>
      <c r="B103" s="65">
        <v>2</v>
      </c>
      <c r="C103" s="66" t="s">
        <v>1017</v>
      </c>
      <c r="D103" s="66" t="s">
        <v>1018</v>
      </c>
      <c r="E103" s="65" t="s">
        <v>388</v>
      </c>
      <c r="F103" s="65">
        <v>10</v>
      </c>
      <c r="G103" s="70">
        <v>0.08</v>
      </c>
    </row>
    <row r="104" spans="1:7" ht="16.2" customHeight="1" x14ac:dyDescent="0.3">
      <c r="A104" s="65" t="s">
        <v>980</v>
      </c>
      <c r="B104" s="65">
        <v>3</v>
      </c>
      <c r="C104" s="66" t="s">
        <v>1019</v>
      </c>
      <c r="D104" s="66" t="s">
        <v>1020</v>
      </c>
      <c r="E104" s="65" t="s">
        <v>475</v>
      </c>
      <c r="F104" s="65">
        <v>15</v>
      </c>
      <c r="G104" s="70">
        <v>0.12</v>
      </c>
    </row>
    <row r="105" spans="1:7" ht="16.2" customHeight="1" x14ac:dyDescent="0.3">
      <c r="A105" s="65" t="s">
        <v>980</v>
      </c>
      <c r="B105" s="65">
        <v>4</v>
      </c>
      <c r="C105" s="66" t="s">
        <v>1021</v>
      </c>
      <c r="D105" s="66" t="s">
        <v>1022</v>
      </c>
      <c r="E105" s="65" t="s">
        <v>388</v>
      </c>
      <c r="F105" s="65">
        <v>25</v>
      </c>
      <c r="G105" s="70">
        <v>0.22</v>
      </c>
    </row>
    <row r="106" spans="1:7" ht="16.2" customHeight="1" x14ac:dyDescent="0.3">
      <c r="A106" s="65" t="s">
        <v>980</v>
      </c>
      <c r="B106" s="65">
        <v>5</v>
      </c>
      <c r="C106" s="66" t="s">
        <v>1023</v>
      </c>
      <c r="D106" s="66" t="s">
        <v>1024</v>
      </c>
      <c r="E106" s="65" t="s">
        <v>388</v>
      </c>
      <c r="F106" s="65">
        <v>20</v>
      </c>
      <c r="G106" s="70">
        <v>0.18</v>
      </c>
    </row>
    <row r="107" spans="1:7" ht="16.2" customHeight="1" x14ac:dyDescent="0.3">
      <c r="A107" s="65" t="s">
        <v>980</v>
      </c>
      <c r="B107" s="65">
        <v>6</v>
      </c>
      <c r="C107" s="66" t="s">
        <v>1025</v>
      </c>
      <c r="D107" s="66" t="s">
        <v>1026</v>
      </c>
      <c r="E107" s="65" t="s">
        <v>475</v>
      </c>
      <c r="F107" s="65">
        <v>15</v>
      </c>
      <c r="G107" s="70">
        <v>0.12</v>
      </c>
    </row>
    <row r="108" spans="1:7" ht="16.2" customHeight="1" x14ac:dyDescent="0.3">
      <c r="A108" s="65" t="s">
        <v>980</v>
      </c>
      <c r="B108" s="65">
        <v>7</v>
      </c>
      <c r="C108" s="66" t="s">
        <v>1027</v>
      </c>
      <c r="D108" s="66" t="s">
        <v>1028</v>
      </c>
      <c r="E108" s="65" t="s">
        <v>388</v>
      </c>
      <c r="F108" s="65">
        <v>15</v>
      </c>
      <c r="G108" s="70">
        <v>0.14000000000000001</v>
      </c>
    </row>
    <row r="109" spans="1:7" ht="16.2" customHeight="1" x14ac:dyDescent="0.3">
      <c r="A109" s="65" t="s">
        <v>980</v>
      </c>
      <c r="B109" s="65">
        <v>8</v>
      </c>
      <c r="C109" s="66" t="s">
        <v>1029</v>
      </c>
      <c r="D109" s="66" t="s">
        <v>1030</v>
      </c>
      <c r="E109" s="65" t="s">
        <v>388</v>
      </c>
      <c r="F109" s="65">
        <v>10</v>
      </c>
      <c r="G109" s="70">
        <v>0.08</v>
      </c>
    </row>
    <row r="110" spans="1:7" x14ac:dyDescent="0.3">
      <c r="A110" s="82" t="s">
        <v>979</v>
      </c>
      <c r="B110" s="82">
        <v>1</v>
      </c>
      <c r="C110" s="83" t="s">
        <v>516</v>
      </c>
      <c r="D110" s="83" t="s">
        <v>1031</v>
      </c>
      <c r="E110" s="82" t="s">
        <v>475</v>
      </c>
      <c r="F110" s="82">
        <v>15</v>
      </c>
      <c r="G110" s="84">
        <v>0.05</v>
      </c>
    </row>
    <row r="111" spans="1:7" ht="16.2" customHeight="1" x14ac:dyDescent="0.3">
      <c r="A111" s="65" t="s">
        <v>979</v>
      </c>
      <c r="B111" s="65">
        <v>2</v>
      </c>
      <c r="C111" s="66" t="s">
        <v>518</v>
      </c>
      <c r="D111" s="66" t="s">
        <v>1032</v>
      </c>
      <c r="E111" s="65" t="s">
        <v>388</v>
      </c>
      <c r="F111" s="65">
        <v>10</v>
      </c>
      <c r="G111" s="70">
        <v>7.0000000000000007E-2</v>
      </c>
    </row>
    <row r="112" spans="1:7" ht="16.2" customHeight="1" x14ac:dyDescent="0.3">
      <c r="A112" s="65" t="s">
        <v>979</v>
      </c>
      <c r="B112" s="65">
        <v>3</v>
      </c>
      <c r="C112" s="66" t="s">
        <v>1033</v>
      </c>
      <c r="D112" s="66" t="s">
        <v>1034</v>
      </c>
      <c r="E112" s="65" t="s">
        <v>475</v>
      </c>
      <c r="F112" s="65">
        <v>5</v>
      </c>
      <c r="G112" s="70">
        <v>0.03</v>
      </c>
    </row>
    <row r="113" spans="1:7" ht="16.2" customHeight="1" x14ac:dyDescent="0.3">
      <c r="A113" s="65" t="s">
        <v>979</v>
      </c>
      <c r="B113" s="65">
        <v>4</v>
      </c>
      <c r="C113" s="66" t="s">
        <v>1035</v>
      </c>
      <c r="D113" s="66" t="s">
        <v>1036</v>
      </c>
      <c r="E113" s="65" t="s">
        <v>388</v>
      </c>
      <c r="F113" s="65">
        <v>25</v>
      </c>
      <c r="G113" s="70">
        <v>0.18</v>
      </c>
    </row>
    <row r="114" spans="1:7" ht="16.2" customHeight="1" x14ac:dyDescent="0.3">
      <c r="A114" s="65" t="s">
        <v>979</v>
      </c>
      <c r="B114" s="65">
        <v>5</v>
      </c>
      <c r="C114" s="66" t="s">
        <v>1037</v>
      </c>
      <c r="D114" s="66" t="s">
        <v>1038</v>
      </c>
      <c r="E114" s="65" t="s">
        <v>388</v>
      </c>
      <c r="F114" s="65">
        <v>20</v>
      </c>
      <c r="G114" s="70">
        <v>0.13</v>
      </c>
    </row>
    <row r="115" spans="1:7" ht="16.2" customHeight="1" x14ac:dyDescent="0.3">
      <c r="A115" s="65" t="s">
        <v>979</v>
      </c>
      <c r="B115" s="65">
        <v>6</v>
      </c>
      <c r="C115" s="66" t="s">
        <v>1039</v>
      </c>
      <c r="D115" s="66" t="s">
        <v>1040</v>
      </c>
      <c r="E115" s="65" t="s">
        <v>475</v>
      </c>
      <c r="F115" s="65">
        <v>30</v>
      </c>
      <c r="G115" s="70">
        <v>0.17</v>
      </c>
    </row>
    <row r="116" spans="1:7" ht="16.2" customHeight="1" x14ac:dyDescent="0.3">
      <c r="A116" s="65" t="s">
        <v>979</v>
      </c>
      <c r="B116" s="65">
        <v>7</v>
      </c>
      <c r="C116" s="66" t="s">
        <v>1041</v>
      </c>
      <c r="D116" s="66" t="s">
        <v>525</v>
      </c>
      <c r="E116" s="65" t="s">
        <v>388</v>
      </c>
      <c r="F116" s="65">
        <v>10</v>
      </c>
      <c r="G116" s="70">
        <v>0.05</v>
      </c>
    </row>
    <row r="117" spans="1:7" ht="16.2" customHeight="1" x14ac:dyDescent="0.3">
      <c r="A117" s="65" t="s">
        <v>979</v>
      </c>
      <c r="B117" s="65">
        <v>8</v>
      </c>
      <c r="C117" s="66" t="s">
        <v>1042</v>
      </c>
      <c r="D117" s="66" t="s">
        <v>483</v>
      </c>
      <c r="E117" s="65" t="s">
        <v>475</v>
      </c>
      <c r="F117" s="65">
        <v>20</v>
      </c>
      <c r="G117" s="70">
        <v>0.1</v>
      </c>
    </row>
    <row r="118" spans="1:7" ht="16.2" customHeight="1" x14ac:dyDescent="0.3">
      <c r="A118" s="65" t="s">
        <v>979</v>
      </c>
      <c r="B118" s="65">
        <v>9</v>
      </c>
      <c r="C118" s="66" t="s">
        <v>1043</v>
      </c>
      <c r="D118" s="66" t="s">
        <v>1044</v>
      </c>
      <c r="E118" s="65" t="s">
        <v>475</v>
      </c>
      <c r="F118" s="65">
        <v>45</v>
      </c>
      <c r="G118" s="70">
        <v>0.12</v>
      </c>
    </row>
    <row r="119" spans="1:7" ht="16.2" customHeight="1" x14ac:dyDescent="0.3">
      <c r="A119" s="65" t="s">
        <v>979</v>
      </c>
      <c r="B119" s="65">
        <v>10</v>
      </c>
      <c r="C119" s="66" t="s">
        <v>1045</v>
      </c>
      <c r="D119" s="66" t="s">
        <v>1046</v>
      </c>
      <c r="E119" s="65" t="s">
        <v>388</v>
      </c>
      <c r="F119" s="65">
        <v>15</v>
      </c>
      <c r="G119" s="70">
        <v>0.06</v>
      </c>
    </row>
    <row r="120" spans="1:7" ht="16.2" customHeight="1" x14ac:dyDescent="0.3">
      <c r="A120" s="65" t="s">
        <v>979</v>
      </c>
      <c r="B120" s="65">
        <v>11</v>
      </c>
      <c r="C120" s="66" t="s">
        <v>1047</v>
      </c>
      <c r="D120" s="66" t="s">
        <v>1048</v>
      </c>
      <c r="E120" s="65" t="s">
        <v>475</v>
      </c>
      <c r="F120" s="65">
        <v>5</v>
      </c>
      <c r="G120" s="70">
        <v>0.04</v>
      </c>
    </row>
    <row r="121" spans="1:7" x14ac:dyDescent="0.3">
      <c r="A121" s="61" t="s">
        <v>274</v>
      </c>
      <c r="B121" s="61">
        <v>1</v>
      </c>
      <c r="C121" s="62" t="s">
        <v>561</v>
      </c>
      <c r="D121" s="62" t="s">
        <v>562</v>
      </c>
      <c r="E121" s="61" t="s">
        <v>475</v>
      </c>
      <c r="F121" s="61">
        <v>15</v>
      </c>
      <c r="G121" s="69">
        <v>0.1</v>
      </c>
    </row>
    <row r="122" spans="1:7" x14ac:dyDescent="0.3">
      <c r="A122" s="65" t="s">
        <v>274</v>
      </c>
      <c r="B122" s="65">
        <v>2</v>
      </c>
      <c r="C122" s="66" t="s">
        <v>563</v>
      </c>
      <c r="D122" s="66" t="s">
        <v>552</v>
      </c>
      <c r="E122" s="65" t="s">
        <v>388</v>
      </c>
      <c r="F122" s="65">
        <v>15</v>
      </c>
      <c r="G122" s="70">
        <v>0.15</v>
      </c>
    </row>
    <row r="123" spans="1:7" x14ac:dyDescent="0.3">
      <c r="A123" s="65" t="s">
        <v>274</v>
      </c>
      <c r="B123" s="65">
        <v>3</v>
      </c>
      <c r="C123" s="66" t="s">
        <v>564</v>
      </c>
      <c r="D123" s="66" t="s">
        <v>565</v>
      </c>
      <c r="E123" s="65" t="s">
        <v>475</v>
      </c>
      <c r="F123" s="65">
        <v>30</v>
      </c>
      <c r="G123" s="70">
        <v>0.25</v>
      </c>
    </row>
    <row r="124" spans="1:7" x14ac:dyDescent="0.3">
      <c r="A124" s="65" t="s">
        <v>274</v>
      </c>
      <c r="B124" s="65">
        <v>4</v>
      </c>
      <c r="C124" s="66" t="s">
        <v>566</v>
      </c>
      <c r="D124" s="66" t="s">
        <v>567</v>
      </c>
      <c r="E124" s="65" t="s">
        <v>388</v>
      </c>
      <c r="F124" s="65">
        <v>40</v>
      </c>
      <c r="G124" s="70">
        <v>0.3</v>
      </c>
    </row>
    <row r="125" spans="1:7" x14ac:dyDescent="0.3">
      <c r="A125" s="65" t="s">
        <v>274</v>
      </c>
      <c r="B125" s="65">
        <v>5</v>
      </c>
      <c r="C125" s="66" t="s">
        <v>568</v>
      </c>
      <c r="D125" s="66" t="s">
        <v>569</v>
      </c>
      <c r="E125" s="65" t="s">
        <v>388</v>
      </c>
      <c r="F125" s="65">
        <v>10</v>
      </c>
      <c r="G125" s="70">
        <v>0.15</v>
      </c>
    </row>
    <row r="126" spans="1:7" x14ac:dyDescent="0.3">
      <c r="A126" s="65" t="s">
        <v>274</v>
      </c>
      <c r="B126" s="65">
        <v>6</v>
      </c>
      <c r="C126" s="66" t="s">
        <v>570</v>
      </c>
      <c r="D126" s="66" t="s">
        <v>571</v>
      </c>
      <c r="E126" s="65" t="s">
        <v>475</v>
      </c>
      <c r="F126" s="65">
        <v>5</v>
      </c>
      <c r="G126" s="70">
        <v>0.05</v>
      </c>
    </row>
    <row r="127" spans="1:7" x14ac:dyDescent="0.3">
      <c r="A127" s="61" t="s">
        <v>273</v>
      </c>
      <c r="B127" s="61">
        <v>1</v>
      </c>
      <c r="C127" s="62" t="s">
        <v>473</v>
      </c>
      <c r="D127" s="62" t="s">
        <v>894</v>
      </c>
      <c r="E127" s="61" t="s">
        <v>475</v>
      </c>
      <c r="F127" s="61">
        <v>15</v>
      </c>
      <c r="G127" s="69">
        <v>0.05</v>
      </c>
    </row>
    <row r="128" spans="1:7" ht="16.8" customHeight="1" x14ac:dyDescent="0.3">
      <c r="A128" s="65" t="s">
        <v>273</v>
      </c>
      <c r="B128" s="65">
        <v>2</v>
      </c>
      <c r="C128" s="66" t="s">
        <v>518</v>
      </c>
      <c r="D128" s="66" t="s">
        <v>895</v>
      </c>
      <c r="E128" s="65" t="s">
        <v>388</v>
      </c>
      <c r="F128" s="65">
        <v>10</v>
      </c>
      <c r="G128" s="70">
        <v>0.06</v>
      </c>
    </row>
    <row r="129" spans="1:7" ht="16.8" customHeight="1" x14ac:dyDescent="0.3">
      <c r="A129" s="65" t="s">
        <v>273</v>
      </c>
      <c r="B129" s="65">
        <v>3</v>
      </c>
      <c r="C129" s="66" t="s">
        <v>896</v>
      </c>
      <c r="D129" s="66" t="s">
        <v>897</v>
      </c>
      <c r="E129" s="65" t="s">
        <v>475</v>
      </c>
      <c r="F129" s="65">
        <v>5</v>
      </c>
      <c r="G129" s="70">
        <v>0.02</v>
      </c>
    </row>
    <row r="130" spans="1:7" ht="16.8" customHeight="1" x14ac:dyDescent="0.3">
      <c r="A130" s="65" t="s">
        <v>273</v>
      </c>
      <c r="B130" s="65">
        <v>4</v>
      </c>
      <c r="C130" s="66" t="s">
        <v>898</v>
      </c>
      <c r="D130" s="66" t="s">
        <v>899</v>
      </c>
      <c r="E130" s="65" t="s">
        <v>388</v>
      </c>
      <c r="F130" s="65">
        <v>20</v>
      </c>
      <c r="G130" s="70">
        <v>0.12</v>
      </c>
    </row>
    <row r="131" spans="1:7" ht="16.8" customHeight="1" x14ac:dyDescent="0.3">
      <c r="A131" s="65" t="s">
        <v>273</v>
      </c>
      <c r="B131" s="65">
        <v>5</v>
      </c>
      <c r="C131" s="66" t="s">
        <v>900</v>
      </c>
      <c r="D131" s="66" t="s">
        <v>901</v>
      </c>
      <c r="E131" s="65" t="s">
        <v>475</v>
      </c>
      <c r="F131" s="65">
        <v>10</v>
      </c>
      <c r="G131" s="70">
        <v>0.06</v>
      </c>
    </row>
    <row r="132" spans="1:7" ht="16.8" customHeight="1" x14ac:dyDescent="0.3">
      <c r="A132" s="65" t="s">
        <v>273</v>
      </c>
      <c r="B132" s="65">
        <v>6</v>
      </c>
      <c r="C132" s="66" t="s">
        <v>902</v>
      </c>
      <c r="D132" s="66" t="s">
        <v>903</v>
      </c>
      <c r="E132" s="65" t="s">
        <v>388</v>
      </c>
      <c r="F132" s="65">
        <v>10</v>
      </c>
      <c r="G132" s="70">
        <v>0.18</v>
      </c>
    </row>
    <row r="133" spans="1:7" ht="16.8" customHeight="1" x14ac:dyDescent="0.3">
      <c r="A133" s="65" t="s">
        <v>273</v>
      </c>
      <c r="B133" s="65">
        <v>7</v>
      </c>
      <c r="C133" s="66" t="s">
        <v>904</v>
      </c>
      <c r="D133" s="66" t="s">
        <v>905</v>
      </c>
      <c r="E133" s="65" t="s">
        <v>475</v>
      </c>
      <c r="F133" s="65">
        <v>20</v>
      </c>
      <c r="G133" s="70">
        <v>0.15</v>
      </c>
    </row>
    <row r="134" spans="1:7" ht="16.8" customHeight="1" x14ac:dyDescent="0.3">
      <c r="A134" s="65" t="s">
        <v>273</v>
      </c>
      <c r="B134" s="65">
        <v>8</v>
      </c>
      <c r="C134" s="66" t="s">
        <v>906</v>
      </c>
      <c r="D134" s="66" t="s">
        <v>525</v>
      </c>
      <c r="E134" s="65" t="s">
        <v>388</v>
      </c>
      <c r="F134" s="65">
        <v>5</v>
      </c>
      <c r="G134" s="70">
        <v>0.04</v>
      </c>
    </row>
    <row r="135" spans="1:7" ht="16.8" customHeight="1" x14ac:dyDescent="0.3">
      <c r="A135" s="65" t="s">
        <v>273</v>
      </c>
      <c r="B135" s="65">
        <v>9</v>
      </c>
      <c r="C135" s="66" t="s">
        <v>907</v>
      </c>
      <c r="D135" s="66" t="s">
        <v>483</v>
      </c>
      <c r="E135" s="65" t="s">
        <v>475</v>
      </c>
      <c r="F135" s="65">
        <v>20</v>
      </c>
      <c r="G135" s="70">
        <v>0.1</v>
      </c>
    </row>
    <row r="136" spans="1:7" ht="16.8" customHeight="1" x14ac:dyDescent="0.3">
      <c r="A136" s="65" t="s">
        <v>273</v>
      </c>
      <c r="B136" s="65">
        <v>10</v>
      </c>
      <c r="C136" s="66" t="s">
        <v>908</v>
      </c>
      <c r="D136" s="66" t="s">
        <v>909</v>
      </c>
      <c r="E136" s="65" t="s">
        <v>475</v>
      </c>
      <c r="F136" s="65">
        <v>20</v>
      </c>
      <c r="G136" s="70">
        <v>0.12</v>
      </c>
    </row>
    <row r="137" spans="1:7" ht="16.8" customHeight="1" x14ac:dyDescent="0.3">
      <c r="A137" s="65" t="s">
        <v>273</v>
      </c>
      <c r="B137" s="65">
        <v>11</v>
      </c>
      <c r="C137" s="66" t="s">
        <v>910</v>
      </c>
      <c r="D137" s="66" t="s">
        <v>911</v>
      </c>
      <c r="E137" s="65" t="s">
        <v>388</v>
      </c>
      <c r="F137" s="65">
        <v>10</v>
      </c>
      <c r="G137" s="70">
        <v>0.06</v>
      </c>
    </row>
    <row r="138" spans="1:7" ht="16.8" customHeight="1" x14ac:dyDescent="0.3">
      <c r="A138" s="65" t="s">
        <v>273</v>
      </c>
      <c r="B138" s="65">
        <v>12</v>
      </c>
      <c r="C138" s="66" t="s">
        <v>912</v>
      </c>
      <c r="D138" s="66" t="s">
        <v>913</v>
      </c>
      <c r="E138" s="65" t="s">
        <v>475</v>
      </c>
      <c r="F138" s="65">
        <v>5</v>
      </c>
      <c r="G138" s="70">
        <v>0.04</v>
      </c>
    </row>
    <row r="139" spans="1:7" x14ac:dyDescent="0.3">
      <c r="A139" s="81"/>
      <c r="B139" s="81"/>
      <c r="C139" s="85"/>
      <c r="D139" s="85"/>
      <c r="E139" s="81"/>
      <c r="F139" s="81"/>
      <c r="G139" s="86"/>
    </row>
    <row r="141" spans="1:7" x14ac:dyDescent="0.3">
      <c r="A141" s="2" t="s">
        <v>572</v>
      </c>
    </row>
  </sheetData>
  <phoneticPr fontId="15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7">
    <tabColor rgb="FF808080"/>
  </sheetPr>
  <dimension ref="A1:Q25"/>
  <sheetViews>
    <sheetView showGridLines="0" zoomScaleNormal="100" workbookViewId="0">
      <selection activeCell="E20" sqref="E20"/>
    </sheetView>
  </sheetViews>
  <sheetFormatPr defaultColWidth="8.6640625" defaultRowHeight="14.4" x14ac:dyDescent="0.3"/>
  <cols>
    <col min="1" max="11" width="23" customWidth="1"/>
    <col min="13" max="13" width="46" customWidth="1"/>
    <col min="14" max="17" width="17" customWidth="1"/>
  </cols>
  <sheetData>
    <row r="1" spans="1:17" ht="31.5" customHeight="1" x14ac:dyDescent="0.3">
      <c r="A1" s="72" t="s">
        <v>107</v>
      </c>
      <c r="B1" s="52" t="s">
        <v>98</v>
      </c>
      <c r="C1" s="72" t="s">
        <v>573</v>
      </c>
      <c r="D1" s="52" t="s">
        <v>574</v>
      </c>
      <c r="E1" s="52" t="s">
        <v>320</v>
      </c>
      <c r="F1" s="52" t="s">
        <v>575</v>
      </c>
      <c r="G1" s="52" t="s">
        <v>404</v>
      </c>
      <c r="H1" s="52" t="s">
        <v>576</v>
      </c>
      <c r="I1" s="52" t="s">
        <v>577</v>
      </c>
      <c r="J1" s="52" t="s">
        <v>578</v>
      </c>
      <c r="K1" s="52" t="s">
        <v>579</v>
      </c>
      <c r="M1" s="24" t="s">
        <v>17</v>
      </c>
    </row>
    <row r="2" spans="1:17" ht="19.8" customHeight="1" x14ac:dyDescent="0.3">
      <c r="A2" s="53" t="s">
        <v>580</v>
      </c>
      <c r="B2" s="71" t="s">
        <v>344</v>
      </c>
      <c r="C2" s="53" t="s">
        <v>581</v>
      </c>
      <c r="D2" s="53" t="s">
        <v>425</v>
      </c>
      <c r="E2" s="71" t="s">
        <v>344</v>
      </c>
      <c r="F2" s="53" t="s">
        <v>582</v>
      </c>
      <c r="G2" s="53" t="s">
        <v>411</v>
      </c>
      <c r="H2" s="53" t="s">
        <v>388</v>
      </c>
      <c r="I2" s="53" t="s">
        <v>407</v>
      </c>
      <c r="J2" s="53" t="s">
        <v>395</v>
      </c>
      <c r="K2" s="53" t="s">
        <v>104</v>
      </c>
      <c r="M2" s="31" t="s">
        <v>293</v>
      </c>
      <c r="N2" s="31" t="s">
        <v>583</v>
      </c>
      <c r="O2" s="31" t="s">
        <v>584</v>
      </c>
      <c r="P2" s="31" t="s">
        <v>444</v>
      </c>
      <c r="Q2" s="31" t="s">
        <v>316</v>
      </c>
    </row>
    <row r="3" spans="1:17" ht="19.8" customHeight="1" x14ac:dyDescent="0.3">
      <c r="A3" s="53" t="s">
        <v>318</v>
      </c>
      <c r="B3" s="71" t="s">
        <v>891</v>
      </c>
      <c r="C3" s="53" t="s">
        <v>585</v>
      </c>
      <c r="D3" s="53" t="s">
        <v>586</v>
      </c>
      <c r="E3" s="71" t="s">
        <v>891</v>
      </c>
      <c r="F3" s="53" t="s">
        <v>587</v>
      </c>
      <c r="G3" s="53" t="s">
        <v>588</v>
      </c>
      <c r="H3" s="53" t="s">
        <v>475</v>
      </c>
      <c r="I3" s="53" t="s">
        <v>409</v>
      </c>
      <c r="J3" s="53" t="s">
        <v>589</v>
      </c>
      <c r="K3" s="53" t="s">
        <v>361</v>
      </c>
      <c r="M3" s="7" t="s">
        <v>360</v>
      </c>
      <c r="N3" s="54">
        <v>38</v>
      </c>
      <c r="O3" s="54">
        <v>61.88</v>
      </c>
      <c r="P3" s="47">
        <f t="shared" ref="P3:P12" si="0">IF($M3="","",$O3-$N3)</f>
        <v>23.880000000000003</v>
      </c>
      <c r="Q3" s="35">
        <f t="shared" ref="Q3:Q12" si="1">IF($M3="","",IFERROR(($O3-$N3)/$O3,0))</f>
        <v>0.38590820943762122</v>
      </c>
    </row>
    <row r="4" spans="1:17" ht="19.8" customHeight="1" x14ac:dyDescent="0.3">
      <c r="A4" s="53" t="s">
        <v>590</v>
      </c>
      <c r="B4" s="71" t="s">
        <v>919</v>
      </c>
      <c r="C4" s="53" t="s">
        <v>426</v>
      </c>
      <c r="D4" s="53" t="s">
        <v>591</v>
      </c>
      <c r="E4" s="71" t="s">
        <v>919</v>
      </c>
      <c r="F4" s="53" t="s">
        <v>592</v>
      </c>
      <c r="G4" s="53" t="s">
        <v>408</v>
      </c>
      <c r="I4" s="53" t="s">
        <v>593</v>
      </c>
      <c r="K4" s="53" t="s">
        <v>362</v>
      </c>
      <c r="M4" s="7" t="s">
        <v>449</v>
      </c>
      <c r="N4" s="54">
        <v>38</v>
      </c>
      <c r="O4" s="54">
        <v>61.88</v>
      </c>
      <c r="P4" s="47">
        <f t="shared" si="0"/>
        <v>23.880000000000003</v>
      </c>
      <c r="Q4" s="35">
        <f t="shared" si="1"/>
        <v>0.38590820943762122</v>
      </c>
    </row>
    <row r="5" spans="1:17" ht="19.8" customHeight="1" x14ac:dyDescent="0.3">
      <c r="A5" s="53" t="s">
        <v>594</v>
      </c>
      <c r="B5" s="71" t="s">
        <v>346</v>
      </c>
      <c r="C5" s="53" t="s">
        <v>596</v>
      </c>
      <c r="D5" s="53" t="s">
        <v>597</v>
      </c>
      <c r="E5" s="71" t="s">
        <v>346</v>
      </c>
      <c r="F5" s="53" t="s">
        <v>470</v>
      </c>
      <c r="G5" s="53" t="s">
        <v>598</v>
      </c>
      <c r="I5" s="53" t="s">
        <v>599</v>
      </c>
      <c r="K5" s="53" t="s">
        <v>600</v>
      </c>
      <c r="M5" s="7" t="s">
        <v>450</v>
      </c>
      <c r="N5" s="54">
        <v>38</v>
      </c>
      <c r="O5" s="54">
        <v>61.88</v>
      </c>
      <c r="P5" s="47">
        <f t="shared" si="0"/>
        <v>23.880000000000003</v>
      </c>
      <c r="Q5" s="35">
        <f t="shared" si="1"/>
        <v>0.38590820943762122</v>
      </c>
    </row>
    <row r="6" spans="1:17" ht="19.8" customHeight="1" x14ac:dyDescent="0.3">
      <c r="A6" s="53" t="s">
        <v>601</v>
      </c>
      <c r="B6" s="71" t="s">
        <v>981</v>
      </c>
      <c r="C6" s="53" t="s">
        <v>602</v>
      </c>
      <c r="D6" s="53" t="s">
        <v>603</v>
      </c>
      <c r="E6" s="71" t="s">
        <v>981</v>
      </c>
      <c r="F6" s="53" t="s">
        <v>604</v>
      </c>
      <c r="G6" s="53" t="s">
        <v>605</v>
      </c>
      <c r="K6" s="53" t="s">
        <v>363</v>
      </c>
      <c r="M6" s="7" t="s">
        <v>451</v>
      </c>
      <c r="N6" s="54">
        <v>38</v>
      </c>
      <c r="O6" s="54">
        <v>61.88</v>
      </c>
      <c r="P6" s="47">
        <f t="shared" si="0"/>
        <v>23.880000000000003</v>
      </c>
      <c r="Q6" s="35">
        <f t="shared" si="1"/>
        <v>0.38590820943762122</v>
      </c>
    </row>
    <row r="7" spans="1:17" ht="19.8" customHeight="1" x14ac:dyDescent="0.3">
      <c r="A7" s="53" t="s">
        <v>604</v>
      </c>
      <c r="B7" s="53" t="s">
        <v>269</v>
      </c>
      <c r="C7" s="53" t="s">
        <v>606</v>
      </c>
      <c r="D7" s="53" t="s">
        <v>607</v>
      </c>
      <c r="E7" s="53" t="s">
        <v>269</v>
      </c>
      <c r="F7" s="53" t="s">
        <v>608</v>
      </c>
      <c r="K7" s="53" t="s">
        <v>609</v>
      </c>
      <c r="M7" s="7"/>
      <c r="N7" s="54"/>
      <c r="O7" s="54"/>
      <c r="P7" s="47" t="str">
        <f t="shared" si="0"/>
        <v/>
      </c>
      <c r="Q7" s="35" t="str">
        <f t="shared" si="1"/>
        <v/>
      </c>
    </row>
    <row r="8" spans="1:17" ht="19.8" customHeight="1" x14ac:dyDescent="0.3">
      <c r="B8" s="53" t="s">
        <v>595</v>
      </c>
      <c r="C8" s="53" t="s">
        <v>610</v>
      </c>
      <c r="D8" s="53" t="s">
        <v>611</v>
      </c>
      <c r="E8" s="53" t="s">
        <v>595</v>
      </c>
      <c r="M8" s="7"/>
      <c r="N8" s="54"/>
      <c r="O8" s="54"/>
      <c r="P8" s="47" t="str">
        <f t="shared" si="0"/>
        <v/>
      </c>
      <c r="Q8" s="35" t="str">
        <f t="shared" si="1"/>
        <v/>
      </c>
    </row>
    <row r="9" spans="1:17" ht="19.8" customHeight="1" x14ac:dyDescent="0.3">
      <c r="B9" s="71" t="s">
        <v>920</v>
      </c>
      <c r="D9" s="53" t="s">
        <v>612</v>
      </c>
      <c r="E9" s="71" t="s">
        <v>920</v>
      </c>
      <c r="M9" s="7"/>
      <c r="N9" s="54"/>
      <c r="O9" s="54"/>
      <c r="P9" s="47" t="str">
        <f t="shared" si="0"/>
        <v/>
      </c>
      <c r="Q9" s="35" t="str">
        <f t="shared" si="1"/>
        <v/>
      </c>
    </row>
    <row r="10" spans="1:17" ht="19.8" customHeight="1" x14ac:dyDescent="0.3">
      <c r="B10" s="53" t="s">
        <v>271</v>
      </c>
      <c r="D10" s="53" t="s">
        <v>613</v>
      </c>
      <c r="E10" s="53" t="s">
        <v>271</v>
      </c>
      <c r="M10" s="7"/>
      <c r="N10" s="54"/>
      <c r="O10" s="54"/>
      <c r="P10" s="47" t="str">
        <f t="shared" si="0"/>
        <v/>
      </c>
      <c r="Q10" s="35" t="str">
        <f t="shared" si="1"/>
        <v/>
      </c>
    </row>
    <row r="11" spans="1:17" ht="19.8" customHeight="1" x14ac:dyDescent="0.3">
      <c r="B11" s="71" t="s">
        <v>272</v>
      </c>
      <c r="D11" s="71" t="s">
        <v>918</v>
      </c>
      <c r="E11" s="71" t="s">
        <v>272</v>
      </c>
      <c r="M11" s="7"/>
      <c r="N11" s="54"/>
      <c r="O11" s="54"/>
      <c r="P11" s="47" t="str">
        <f t="shared" si="0"/>
        <v/>
      </c>
      <c r="Q11" s="35" t="str">
        <f t="shared" si="1"/>
        <v/>
      </c>
    </row>
    <row r="12" spans="1:17" ht="19.8" customHeight="1" x14ac:dyDescent="0.3">
      <c r="B12" s="53" t="s">
        <v>273</v>
      </c>
      <c r="D12" s="53" t="s">
        <v>615</v>
      </c>
      <c r="E12" s="53" t="s">
        <v>273</v>
      </c>
      <c r="M12" s="7"/>
      <c r="N12" s="54"/>
      <c r="O12" s="54"/>
      <c r="P12" s="47" t="str">
        <f t="shared" si="0"/>
        <v/>
      </c>
      <c r="Q12" s="35" t="str">
        <f t="shared" si="1"/>
        <v/>
      </c>
    </row>
    <row r="13" spans="1:17" ht="19.8" customHeight="1" x14ac:dyDescent="0.3">
      <c r="B13" s="53" t="s">
        <v>614</v>
      </c>
      <c r="E13" s="71" t="s">
        <v>614</v>
      </c>
    </row>
    <row r="14" spans="1:17" ht="19.8" customHeight="1" x14ac:dyDescent="0.3">
      <c r="B14" s="53" t="s">
        <v>274</v>
      </c>
      <c r="E14" s="71" t="s">
        <v>980</v>
      </c>
      <c r="M14" s="2" t="s">
        <v>616</v>
      </c>
    </row>
    <row r="15" spans="1:17" ht="19.8" customHeight="1" x14ac:dyDescent="0.3">
      <c r="B15" s="71" t="s">
        <v>980</v>
      </c>
      <c r="E15" s="71" t="s">
        <v>979</v>
      </c>
    </row>
    <row r="16" spans="1:17" ht="19.8" customHeight="1" x14ac:dyDescent="0.3">
      <c r="B16" s="71" t="s">
        <v>979</v>
      </c>
      <c r="E16" s="53" t="s">
        <v>274</v>
      </c>
      <c r="M16" s="24" t="s">
        <v>617</v>
      </c>
    </row>
    <row r="17" spans="2:16" ht="19.8" customHeight="1" x14ac:dyDescent="0.3">
      <c r="B17" s="53" t="s">
        <v>615</v>
      </c>
      <c r="M17" s="37" t="s">
        <v>618</v>
      </c>
      <c r="P17" s="55">
        <v>1.3</v>
      </c>
    </row>
    <row r="18" spans="2:16" ht="19.8" customHeight="1" x14ac:dyDescent="0.3">
      <c r="M18" s="37" t="s">
        <v>619</v>
      </c>
      <c r="P18" s="56">
        <v>5000</v>
      </c>
    </row>
    <row r="19" spans="2:16" ht="19.8" customHeight="1" x14ac:dyDescent="0.3">
      <c r="M19" s="37" t="s">
        <v>620</v>
      </c>
      <c r="P19" s="56">
        <v>50000</v>
      </c>
    </row>
    <row r="20" spans="2:16" ht="19.8" customHeight="1" x14ac:dyDescent="0.3">
      <c r="M20" s="37" t="s">
        <v>621</v>
      </c>
      <c r="P20" s="57">
        <v>0.85</v>
      </c>
    </row>
    <row r="21" spans="2:16" ht="19.8" customHeight="1" x14ac:dyDescent="0.3">
      <c r="M21" s="37" t="s">
        <v>622</v>
      </c>
      <c r="P21" s="57">
        <v>0.05</v>
      </c>
    </row>
    <row r="22" spans="2:16" ht="19.8" customHeight="1" x14ac:dyDescent="0.3">
      <c r="M22" s="37" t="s">
        <v>623</v>
      </c>
      <c r="P22" s="58">
        <v>60</v>
      </c>
    </row>
    <row r="23" spans="2:16" ht="19.8" customHeight="1" x14ac:dyDescent="0.3"/>
    <row r="24" spans="2:16" x14ac:dyDescent="0.3">
      <c r="M24" s="2" t="s">
        <v>624</v>
      </c>
    </row>
    <row r="25" spans="2:16" x14ac:dyDescent="0.3">
      <c r="M25" s="2" t="s">
        <v>625</v>
      </c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8">
    <tabColor rgb="FF808080"/>
  </sheetPr>
  <dimension ref="A1:A355"/>
  <sheetViews>
    <sheetView showGridLines="0" zoomScaleNormal="100" workbookViewId="0">
      <selection activeCell="A10" sqref="A10"/>
    </sheetView>
  </sheetViews>
  <sheetFormatPr defaultColWidth="8.6640625" defaultRowHeight="14.4" x14ac:dyDescent="0.3"/>
  <cols>
    <col min="1" max="1" width="124" customWidth="1"/>
  </cols>
  <sheetData>
    <row r="1" spans="1:1" ht="21" x14ac:dyDescent="0.4">
      <c r="A1" s="1" t="s">
        <v>626</v>
      </c>
    </row>
    <row r="2" spans="1:1" x14ac:dyDescent="0.3">
      <c r="A2" s="53"/>
    </row>
    <row r="3" spans="1:1" x14ac:dyDescent="0.3">
      <c r="A3" s="37" t="s">
        <v>627</v>
      </c>
    </row>
    <row r="4" spans="1:1" x14ac:dyDescent="0.3">
      <c r="A4" s="53" t="s">
        <v>628</v>
      </c>
    </row>
    <row r="5" spans="1:1" x14ac:dyDescent="0.3">
      <c r="A5" s="53" t="s">
        <v>629</v>
      </c>
    </row>
    <row r="6" spans="1:1" x14ac:dyDescent="0.3">
      <c r="A6" s="53" t="s">
        <v>630</v>
      </c>
    </row>
    <row r="7" spans="1:1" x14ac:dyDescent="0.3">
      <c r="A7" s="53" t="s">
        <v>631</v>
      </c>
    </row>
    <row r="8" spans="1:1" x14ac:dyDescent="0.3">
      <c r="A8" s="53" t="s">
        <v>632</v>
      </c>
    </row>
    <row r="9" spans="1:1" x14ac:dyDescent="0.3">
      <c r="A9" s="37" t="s">
        <v>633</v>
      </c>
    </row>
    <row r="10" spans="1:1" x14ac:dyDescent="0.3">
      <c r="A10" s="53" t="s">
        <v>634</v>
      </c>
    </row>
    <row r="11" spans="1:1" x14ac:dyDescent="0.3">
      <c r="A11" s="53" t="s">
        <v>635</v>
      </c>
    </row>
    <row r="12" spans="1:1" x14ac:dyDescent="0.3">
      <c r="A12" s="53" t="s">
        <v>636</v>
      </c>
    </row>
    <row r="13" spans="1:1" x14ac:dyDescent="0.3">
      <c r="A13" s="53" t="s">
        <v>637</v>
      </c>
    </row>
    <row r="14" spans="1:1" x14ac:dyDescent="0.3">
      <c r="A14" s="53" t="s">
        <v>638</v>
      </c>
    </row>
    <row r="15" spans="1:1" x14ac:dyDescent="0.3">
      <c r="A15" s="53" t="s">
        <v>639</v>
      </c>
    </row>
    <row r="16" spans="1:1" x14ac:dyDescent="0.3">
      <c r="A16" s="53"/>
    </row>
    <row r="17" spans="1:1" x14ac:dyDescent="0.3">
      <c r="A17" s="53" t="s">
        <v>640</v>
      </c>
    </row>
    <row r="18" spans="1:1" x14ac:dyDescent="0.3">
      <c r="A18" s="53" t="s">
        <v>641</v>
      </c>
    </row>
    <row r="19" spans="1:1" x14ac:dyDescent="0.3">
      <c r="A19" s="53"/>
    </row>
    <row r="20" spans="1:1" x14ac:dyDescent="0.3">
      <c r="A20" s="53" t="s">
        <v>642</v>
      </c>
    </row>
    <row r="21" spans="1:1" x14ac:dyDescent="0.3">
      <c r="A21" s="53"/>
    </row>
    <row r="22" spans="1:1" x14ac:dyDescent="0.3">
      <c r="A22" s="53" t="s">
        <v>643</v>
      </c>
    </row>
    <row r="23" spans="1:1" x14ac:dyDescent="0.3">
      <c r="A23" s="53"/>
    </row>
    <row r="24" spans="1:1" x14ac:dyDescent="0.3">
      <c r="A24" s="59" t="s">
        <v>644</v>
      </c>
    </row>
    <row r="25" spans="1:1" x14ac:dyDescent="0.3">
      <c r="A25" s="59"/>
    </row>
    <row r="26" spans="1:1" x14ac:dyDescent="0.3">
      <c r="A26" s="59" t="s">
        <v>645</v>
      </c>
    </row>
    <row r="27" spans="1:1" x14ac:dyDescent="0.3">
      <c r="A27" s="59" t="s">
        <v>646</v>
      </c>
    </row>
    <row r="28" spans="1:1" x14ac:dyDescent="0.3">
      <c r="A28" s="59" t="s">
        <v>645</v>
      </c>
    </row>
    <row r="29" spans="1:1" x14ac:dyDescent="0.3">
      <c r="A29" s="59"/>
    </row>
    <row r="30" spans="1:1" x14ac:dyDescent="0.3">
      <c r="A30" s="59" t="s">
        <v>647</v>
      </c>
    </row>
    <row r="31" spans="1:1" x14ac:dyDescent="0.3">
      <c r="A31" s="59" t="s">
        <v>648</v>
      </c>
    </row>
    <row r="32" spans="1:1" x14ac:dyDescent="0.3">
      <c r="A32" s="59" t="s">
        <v>649</v>
      </c>
    </row>
    <row r="33" spans="1:1" x14ac:dyDescent="0.3">
      <c r="A33" s="59" t="s">
        <v>650</v>
      </c>
    </row>
    <row r="34" spans="1:1" x14ac:dyDescent="0.3">
      <c r="A34" s="59" t="s">
        <v>651</v>
      </c>
    </row>
    <row r="35" spans="1:1" x14ac:dyDescent="0.3">
      <c r="A35" s="59"/>
    </row>
    <row r="36" spans="1:1" x14ac:dyDescent="0.3">
      <c r="A36" s="59" t="s">
        <v>652</v>
      </c>
    </row>
    <row r="37" spans="1:1" x14ac:dyDescent="0.3">
      <c r="A37" s="59" t="s">
        <v>653</v>
      </c>
    </row>
    <row r="38" spans="1:1" x14ac:dyDescent="0.3">
      <c r="A38" s="59" t="s">
        <v>654</v>
      </c>
    </row>
    <row r="39" spans="1:1" x14ac:dyDescent="0.3">
      <c r="A39" s="59" t="s">
        <v>655</v>
      </c>
    </row>
    <row r="40" spans="1:1" x14ac:dyDescent="0.3">
      <c r="A40" s="59" t="s">
        <v>656</v>
      </c>
    </row>
    <row r="41" spans="1:1" x14ac:dyDescent="0.3">
      <c r="A41" s="59" t="s">
        <v>657</v>
      </c>
    </row>
    <row r="42" spans="1:1" x14ac:dyDescent="0.3">
      <c r="A42" s="59"/>
    </row>
    <row r="43" spans="1:1" x14ac:dyDescent="0.3">
      <c r="A43" s="59" t="s">
        <v>658</v>
      </c>
    </row>
    <row r="44" spans="1:1" x14ac:dyDescent="0.3">
      <c r="A44" s="59" t="s">
        <v>659</v>
      </c>
    </row>
    <row r="45" spans="1:1" x14ac:dyDescent="0.3">
      <c r="A45" s="59" t="s">
        <v>660</v>
      </c>
    </row>
    <row r="46" spans="1:1" x14ac:dyDescent="0.3">
      <c r="A46" s="59" t="s">
        <v>661</v>
      </c>
    </row>
    <row r="47" spans="1:1" x14ac:dyDescent="0.3">
      <c r="A47" s="59" t="s">
        <v>662</v>
      </c>
    </row>
    <row r="48" spans="1:1" x14ac:dyDescent="0.3">
      <c r="A48" s="59" t="s">
        <v>663</v>
      </c>
    </row>
    <row r="49" spans="1:1" x14ac:dyDescent="0.3">
      <c r="A49" s="59"/>
    </row>
    <row r="50" spans="1:1" x14ac:dyDescent="0.3">
      <c r="A50" s="59" t="s">
        <v>664</v>
      </c>
    </row>
    <row r="51" spans="1:1" x14ac:dyDescent="0.3">
      <c r="A51" s="59" t="s">
        <v>665</v>
      </c>
    </row>
    <row r="52" spans="1:1" x14ac:dyDescent="0.3">
      <c r="A52" s="59" t="s">
        <v>656</v>
      </c>
    </row>
    <row r="53" spans="1:1" x14ac:dyDescent="0.3">
      <c r="A53" s="59" t="s">
        <v>666</v>
      </c>
    </row>
    <row r="54" spans="1:1" x14ac:dyDescent="0.3">
      <c r="A54" s="59" t="s">
        <v>667</v>
      </c>
    </row>
    <row r="55" spans="1:1" x14ac:dyDescent="0.3">
      <c r="A55" s="59" t="s">
        <v>656</v>
      </c>
    </row>
    <row r="56" spans="1:1" x14ac:dyDescent="0.3">
      <c r="A56" s="59" t="s">
        <v>668</v>
      </c>
    </row>
    <row r="57" spans="1:1" x14ac:dyDescent="0.3">
      <c r="A57" s="59" t="s">
        <v>669</v>
      </c>
    </row>
    <row r="58" spans="1:1" x14ac:dyDescent="0.3">
      <c r="A58" s="59" t="s">
        <v>656</v>
      </c>
    </row>
    <row r="59" spans="1:1" x14ac:dyDescent="0.3">
      <c r="A59" s="59" t="s">
        <v>670</v>
      </c>
    </row>
    <row r="60" spans="1:1" x14ac:dyDescent="0.3">
      <c r="A60" s="59" t="s">
        <v>671</v>
      </c>
    </row>
    <row r="61" spans="1:1" x14ac:dyDescent="0.3">
      <c r="A61" s="59" t="s">
        <v>656</v>
      </c>
    </row>
    <row r="62" spans="1:1" x14ac:dyDescent="0.3">
      <c r="A62" s="59"/>
    </row>
    <row r="63" spans="1:1" x14ac:dyDescent="0.3">
      <c r="A63" s="59" t="s">
        <v>672</v>
      </c>
    </row>
    <row r="64" spans="1:1" x14ac:dyDescent="0.3">
      <c r="A64" s="59" t="s">
        <v>673</v>
      </c>
    </row>
    <row r="65" spans="1:1" x14ac:dyDescent="0.3">
      <c r="A65" s="59" t="s">
        <v>674</v>
      </c>
    </row>
    <row r="66" spans="1:1" x14ac:dyDescent="0.3">
      <c r="A66" s="59" t="s">
        <v>656</v>
      </c>
    </row>
    <row r="67" spans="1:1" x14ac:dyDescent="0.3">
      <c r="A67" s="59"/>
    </row>
    <row r="68" spans="1:1" x14ac:dyDescent="0.3">
      <c r="A68" s="59" t="s">
        <v>675</v>
      </c>
    </row>
    <row r="69" spans="1:1" x14ac:dyDescent="0.3">
      <c r="A69" s="59" t="s">
        <v>676</v>
      </c>
    </row>
    <row r="70" spans="1:1" x14ac:dyDescent="0.3">
      <c r="A70" s="59" t="s">
        <v>674</v>
      </c>
    </row>
    <row r="71" spans="1:1" x14ac:dyDescent="0.3">
      <c r="A71" s="59" t="s">
        <v>656</v>
      </c>
    </row>
    <row r="72" spans="1:1" x14ac:dyDescent="0.3">
      <c r="A72" s="59"/>
    </row>
    <row r="73" spans="1:1" x14ac:dyDescent="0.3">
      <c r="A73" s="59" t="s">
        <v>677</v>
      </c>
    </row>
    <row r="74" spans="1:1" x14ac:dyDescent="0.3">
      <c r="A74" s="59" t="s">
        <v>678</v>
      </c>
    </row>
    <row r="75" spans="1:1" x14ac:dyDescent="0.3">
      <c r="A75" s="59" t="s">
        <v>679</v>
      </c>
    </row>
    <row r="76" spans="1:1" x14ac:dyDescent="0.3">
      <c r="A76" s="59" t="s">
        <v>680</v>
      </c>
    </row>
    <row r="77" spans="1:1" x14ac:dyDescent="0.3">
      <c r="A77" s="59" t="s">
        <v>681</v>
      </c>
    </row>
    <row r="78" spans="1:1" x14ac:dyDescent="0.3">
      <c r="A78" s="59" t="s">
        <v>682</v>
      </c>
    </row>
    <row r="79" spans="1:1" x14ac:dyDescent="0.3">
      <c r="A79" s="59" t="s">
        <v>683</v>
      </c>
    </row>
    <row r="80" spans="1:1" x14ac:dyDescent="0.3">
      <c r="A80" s="59" t="s">
        <v>684</v>
      </c>
    </row>
    <row r="81" spans="1:1" x14ac:dyDescent="0.3">
      <c r="A81" s="59" t="s">
        <v>685</v>
      </c>
    </row>
    <row r="82" spans="1:1" x14ac:dyDescent="0.3">
      <c r="A82" s="59" t="s">
        <v>686</v>
      </c>
    </row>
    <row r="83" spans="1:1" x14ac:dyDescent="0.3">
      <c r="A83" s="59" t="s">
        <v>687</v>
      </c>
    </row>
    <row r="84" spans="1:1" x14ac:dyDescent="0.3">
      <c r="A84" s="59" t="s">
        <v>688</v>
      </c>
    </row>
    <row r="85" spans="1:1" x14ac:dyDescent="0.3">
      <c r="A85" s="59" t="s">
        <v>689</v>
      </c>
    </row>
    <row r="86" spans="1:1" x14ac:dyDescent="0.3">
      <c r="A86" s="59" t="s">
        <v>690</v>
      </c>
    </row>
    <row r="87" spans="1:1" x14ac:dyDescent="0.3">
      <c r="A87" s="59" t="s">
        <v>691</v>
      </c>
    </row>
    <row r="88" spans="1:1" x14ac:dyDescent="0.3">
      <c r="A88" s="59" t="s">
        <v>692</v>
      </c>
    </row>
    <row r="89" spans="1:1" x14ac:dyDescent="0.3">
      <c r="A89" s="59" t="s">
        <v>693</v>
      </c>
    </row>
    <row r="90" spans="1:1" x14ac:dyDescent="0.3">
      <c r="A90" s="59" t="s">
        <v>694</v>
      </c>
    </row>
    <row r="91" spans="1:1" x14ac:dyDescent="0.3">
      <c r="A91" s="59"/>
    </row>
    <row r="92" spans="1:1" x14ac:dyDescent="0.3">
      <c r="A92" s="59" t="s">
        <v>695</v>
      </c>
    </row>
    <row r="93" spans="1:1" x14ac:dyDescent="0.3">
      <c r="A93" s="59" t="s">
        <v>696</v>
      </c>
    </row>
    <row r="94" spans="1:1" x14ac:dyDescent="0.3">
      <c r="A94" s="59" t="s">
        <v>657</v>
      </c>
    </row>
    <row r="95" spans="1:1" x14ac:dyDescent="0.3">
      <c r="A95" s="59"/>
    </row>
    <row r="96" spans="1:1" x14ac:dyDescent="0.3">
      <c r="A96" s="59" t="s">
        <v>658</v>
      </c>
    </row>
    <row r="97" spans="1:1" x14ac:dyDescent="0.3">
      <c r="A97" s="59" t="s">
        <v>697</v>
      </c>
    </row>
    <row r="98" spans="1:1" x14ac:dyDescent="0.3">
      <c r="A98" s="59" t="s">
        <v>698</v>
      </c>
    </row>
    <row r="99" spans="1:1" x14ac:dyDescent="0.3">
      <c r="A99" s="59" t="s">
        <v>699</v>
      </c>
    </row>
    <row r="100" spans="1:1" x14ac:dyDescent="0.3">
      <c r="A100" s="59"/>
    </row>
    <row r="101" spans="1:1" x14ac:dyDescent="0.3">
      <c r="A101" s="59" t="s">
        <v>662</v>
      </c>
    </row>
    <row r="102" spans="1:1" x14ac:dyDescent="0.3">
      <c r="A102" s="59" t="s">
        <v>700</v>
      </c>
    </row>
    <row r="103" spans="1:1" x14ac:dyDescent="0.3">
      <c r="A103" s="59"/>
    </row>
    <row r="104" spans="1:1" x14ac:dyDescent="0.3">
      <c r="A104" s="59" t="s">
        <v>701</v>
      </c>
    </row>
    <row r="105" spans="1:1" x14ac:dyDescent="0.3">
      <c r="A105" s="59" t="s">
        <v>702</v>
      </c>
    </row>
    <row r="106" spans="1:1" x14ac:dyDescent="0.3">
      <c r="A106" s="59" t="s">
        <v>703</v>
      </c>
    </row>
    <row r="107" spans="1:1" x14ac:dyDescent="0.3">
      <c r="A107" s="59"/>
    </row>
    <row r="108" spans="1:1" x14ac:dyDescent="0.3">
      <c r="A108" s="59" t="s">
        <v>704</v>
      </c>
    </row>
    <row r="109" spans="1:1" x14ac:dyDescent="0.3">
      <c r="A109" s="59" t="s">
        <v>705</v>
      </c>
    </row>
    <row r="110" spans="1:1" x14ac:dyDescent="0.3">
      <c r="A110" s="59" t="s">
        <v>656</v>
      </c>
    </row>
    <row r="111" spans="1:1" x14ac:dyDescent="0.3">
      <c r="A111" s="59"/>
    </row>
    <row r="112" spans="1:1" x14ac:dyDescent="0.3">
      <c r="A112" s="59" t="s">
        <v>706</v>
      </c>
    </row>
    <row r="113" spans="1:1" x14ac:dyDescent="0.3">
      <c r="A113" s="59" t="s">
        <v>707</v>
      </c>
    </row>
    <row r="114" spans="1:1" x14ac:dyDescent="0.3">
      <c r="A114" s="59" t="s">
        <v>708</v>
      </c>
    </row>
    <row r="115" spans="1:1" x14ac:dyDescent="0.3">
      <c r="A115" s="59" t="s">
        <v>709</v>
      </c>
    </row>
    <row r="116" spans="1:1" x14ac:dyDescent="0.3">
      <c r="A116" s="59" t="s">
        <v>710</v>
      </c>
    </row>
    <row r="117" spans="1:1" x14ac:dyDescent="0.3">
      <c r="A117" s="59" t="s">
        <v>711</v>
      </c>
    </row>
    <row r="118" spans="1:1" x14ac:dyDescent="0.3">
      <c r="A118" s="59" t="s">
        <v>712</v>
      </c>
    </row>
    <row r="119" spans="1:1" x14ac:dyDescent="0.3">
      <c r="A119" s="59" t="s">
        <v>713</v>
      </c>
    </row>
    <row r="120" spans="1:1" x14ac:dyDescent="0.3">
      <c r="A120" s="59" t="s">
        <v>714</v>
      </c>
    </row>
    <row r="121" spans="1:1" x14ac:dyDescent="0.3">
      <c r="A121" s="59" t="s">
        <v>715</v>
      </c>
    </row>
    <row r="122" spans="1:1" x14ac:dyDescent="0.3">
      <c r="A122" s="59"/>
    </row>
    <row r="123" spans="1:1" x14ac:dyDescent="0.3">
      <c r="A123" s="59" t="s">
        <v>716</v>
      </c>
    </row>
    <row r="124" spans="1:1" x14ac:dyDescent="0.3">
      <c r="A124" s="59" t="s">
        <v>717</v>
      </c>
    </row>
    <row r="125" spans="1:1" x14ac:dyDescent="0.3">
      <c r="A125" s="59" t="s">
        <v>718</v>
      </c>
    </row>
    <row r="126" spans="1:1" x14ac:dyDescent="0.3">
      <c r="A126" s="59" t="s">
        <v>719</v>
      </c>
    </row>
    <row r="127" spans="1:1" x14ac:dyDescent="0.3">
      <c r="A127" s="59" t="s">
        <v>657</v>
      </c>
    </row>
    <row r="128" spans="1:1" x14ac:dyDescent="0.3">
      <c r="A128" s="59"/>
    </row>
    <row r="129" spans="1:1" x14ac:dyDescent="0.3">
      <c r="A129" s="59" t="s">
        <v>658</v>
      </c>
    </row>
    <row r="130" spans="1:1" x14ac:dyDescent="0.3">
      <c r="A130" s="59" t="s">
        <v>720</v>
      </c>
    </row>
    <row r="131" spans="1:1" x14ac:dyDescent="0.3">
      <c r="A131" s="59" t="s">
        <v>721</v>
      </c>
    </row>
    <row r="132" spans="1:1" x14ac:dyDescent="0.3">
      <c r="A132" s="59" t="s">
        <v>722</v>
      </c>
    </row>
    <row r="133" spans="1:1" x14ac:dyDescent="0.3">
      <c r="A133" s="59" t="s">
        <v>723</v>
      </c>
    </row>
    <row r="134" spans="1:1" x14ac:dyDescent="0.3">
      <c r="A134" s="59" t="s">
        <v>724</v>
      </c>
    </row>
    <row r="135" spans="1:1" x14ac:dyDescent="0.3">
      <c r="A135" s="59" t="s">
        <v>725</v>
      </c>
    </row>
    <row r="136" spans="1:1" x14ac:dyDescent="0.3">
      <c r="A136" s="59"/>
    </row>
    <row r="137" spans="1:1" x14ac:dyDescent="0.3">
      <c r="A137" s="59" t="s">
        <v>662</v>
      </c>
    </row>
    <row r="138" spans="1:1" x14ac:dyDescent="0.3">
      <c r="A138" s="59" t="s">
        <v>726</v>
      </c>
    </row>
    <row r="139" spans="1:1" x14ac:dyDescent="0.3">
      <c r="A139" s="59" t="s">
        <v>727</v>
      </c>
    </row>
    <row r="140" spans="1:1" x14ac:dyDescent="0.3">
      <c r="A140" s="59" t="s">
        <v>728</v>
      </c>
    </row>
    <row r="141" spans="1:1" x14ac:dyDescent="0.3">
      <c r="A141" s="59"/>
    </row>
    <row r="142" spans="1:1" x14ac:dyDescent="0.3">
      <c r="A142" s="59" t="s">
        <v>729</v>
      </c>
    </row>
    <row r="143" spans="1:1" x14ac:dyDescent="0.3">
      <c r="A143" s="59" t="s">
        <v>730</v>
      </c>
    </row>
    <row r="144" spans="1:1" x14ac:dyDescent="0.3">
      <c r="A144" s="59"/>
    </row>
    <row r="145" spans="1:1" x14ac:dyDescent="0.3">
      <c r="A145" s="59" t="s">
        <v>731</v>
      </c>
    </row>
    <row r="146" spans="1:1" x14ac:dyDescent="0.3">
      <c r="A146" s="59" t="s">
        <v>732</v>
      </c>
    </row>
    <row r="147" spans="1:1" x14ac:dyDescent="0.3">
      <c r="A147" s="59" t="s">
        <v>733</v>
      </c>
    </row>
    <row r="148" spans="1:1" x14ac:dyDescent="0.3">
      <c r="A148" s="59" t="s">
        <v>734</v>
      </c>
    </row>
    <row r="149" spans="1:1" x14ac:dyDescent="0.3">
      <c r="A149" s="59" t="s">
        <v>656</v>
      </c>
    </row>
    <row r="150" spans="1:1" x14ac:dyDescent="0.3">
      <c r="A150" s="59"/>
    </row>
    <row r="151" spans="1:1" x14ac:dyDescent="0.3">
      <c r="A151" s="59" t="s">
        <v>735</v>
      </c>
    </row>
    <row r="152" spans="1:1" x14ac:dyDescent="0.3">
      <c r="A152" s="59" t="s">
        <v>736</v>
      </c>
    </row>
    <row r="153" spans="1:1" x14ac:dyDescent="0.3">
      <c r="A153" s="59" t="s">
        <v>737</v>
      </c>
    </row>
    <row r="154" spans="1:1" x14ac:dyDescent="0.3">
      <c r="A154" s="59" t="s">
        <v>674</v>
      </c>
    </row>
    <row r="155" spans="1:1" x14ac:dyDescent="0.3">
      <c r="A155" s="59" t="s">
        <v>656</v>
      </c>
    </row>
    <row r="156" spans="1:1" x14ac:dyDescent="0.3">
      <c r="A156" s="59"/>
    </row>
    <row r="157" spans="1:1" x14ac:dyDescent="0.3">
      <c r="A157" s="59" t="s">
        <v>738</v>
      </c>
    </row>
    <row r="158" spans="1:1" x14ac:dyDescent="0.3">
      <c r="A158" s="59" t="s">
        <v>739</v>
      </c>
    </row>
    <row r="159" spans="1:1" x14ac:dyDescent="0.3">
      <c r="A159" s="59" t="s">
        <v>740</v>
      </c>
    </row>
    <row r="160" spans="1:1" x14ac:dyDescent="0.3">
      <c r="A160" s="59" t="s">
        <v>741</v>
      </c>
    </row>
    <row r="161" spans="1:1" x14ac:dyDescent="0.3">
      <c r="A161" s="59" t="s">
        <v>742</v>
      </c>
    </row>
    <row r="162" spans="1:1" x14ac:dyDescent="0.3">
      <c r="A162" s="59" t="s">
        <v>743</v>
      </c>
    </row>
    <row r="163" spans="1:1" x14ac:dyDescent="0.3">
      <c r="A163" s="59" t="s">
        <v>744</v>
      </c>
    </row>
    <row r="164" spans="1:1" x14ac:dyDescent="0.3">
      <c r="A164" s="59" t="s">
        <v>745</v>
      </c>
    </row>
    <row r="165" spans="1:1" x14ac:dyDescent="0.3">
      <c r="A165" s="59" t="s">
        <v>746</v>
      </c>
    </row>
    <row r="166" spans="1:1" x14ac:dyDescent="0.3">
      <c r="A166" s="59" t="s">
        <v>747</v>
      </c>
    </row>
    <row r="167" spans="1:1" x14ac:dyDescent="0.3">
      <c r="A167" s="59" t="s">
        <v>748</v>
      </c>
    </row>
    <row r="168" spans="1:1" x14ac:dyDescent="0.3">
      <c r="A168" s="59" t="s">
        <v>749</v>
      </c>
    </row>
    <row r="169" spans="1:1" x14ac:dyDescent="0.3">
      <c r="A169" s="59" t="s">
        <v>750</v>
      </c>
    </row>
    <row r="170" spans="1:1" x14ac:dyDescent="0.3">
      <c r="A170" s="59" t="s">
        <v>751</v>
      </c>
    </row>
    <row r="171" spans="1:1" x14ac:dyDescent="0.3">
      <c r="A171" s="59" t="s">
        <v>752</v>
      </c>
    </row>
    <row r="172" spans="1:1" x14ac:dyDescent="0.3">
      <c r="A172" s="59" t="s">
        <v>753</v>
      </c>
    </row>
    <row r="173" spans="1:1" x14ac:dyDescent="0.3">
      <c r="A173" s="59" t="s">
        <v>754</v>
      </c>
    </row>
    <row r="174" spans="1:1" x14ac:dyDescent="0.3">
      <c r="A174" s="59"/>
    </row>
    <row r="175" spans="1:1" x14ac:dyDescent="0.3">
      <c r="A175" s="59" t="s">
        <v>755</v>
      </c>
    </row>
    <row r="176" spans="1:1" x14ac:dyDescent="0.3">
      <c r="A176" s="59" t="s">
        <v>756</v>
      </c>
    </row>
    <row r="177" spans="1:1" x14ac:dyDescent="0.3">
      <c r="A177" s="59" t="s">
        <v>757</v>
      </c>
    </row>
    <row r="178" spans="1:1" x14ac:dyDescent="0.3">
      <c r="A178" s="59"/>
    </row>
    <row r="179" spans="1:1" x14ac:dyDescent="0.3">
      <c r="A179" s="59" t="s">
        <v>758</v>
      </c>
    </row>
    <row r="180" spans="1:1" x14ac:dyDescent="0.3">
      <c r="A180" s="59" t="s">
        <v>759</v>
      </c>
    </row>
    <row r="181" spans="1:1" x14ac:dyDescent="0.3">
      <c r="A181" s="59" t="s">
        <v>760</v>
      </c>
    </row>
    <row r="182" spans="1:1" x14ac:dyDescent="0.3">
      <c r="A182" s="59" t="s">
        <v>761</v>
      </c>
    </row>
    <row r="183" spans="1:1" x14ac:dyDescent="0.3">
      <c r="A183" s="59" t="s">
        <v>762</v>
      </c>
    </row>
    <row r="184" spans="1:1" x14ac:dyDescent="0.3">
      <c r="A184" s="59" t="s">
        <v>763</v>
      </c>
    </row>
    <row r="185" spans="1:1" x14ac:dyDescent="0.3">
      <c r="A185" s="59" t="s">
        <v>764</v>
      </c>
    </row>
    <row r="186" spans="1:1" x14ac:dyDescent="0.3">
      <c r="A186" s="59" t="s">
        <v>765</v>
      </c>
    </row>
    <row r="187" spans="1:1" x14ac:dyDescent="0.3">
      <c r="A187" s="59" t="s">
        <v>766</v>
      </c>
    </row>
    <row r="188" spans="1:1" x14ac:dyDescent="0.3">
      <c r="A188" s="59" t="s">
        <v>767</v>
      </c>
    </row>
    <row r="189" spans="1:1" x14ac:dyDescent="0.3">
      <c r="A189" s="59" t="s">
        <v>768</v>
      </c>
    </row>
    <row r="190" spans="1:1" x14ac:dyDescent="0.3">
      <c r="A190" s="59" t="s">
        <v>769</v>
      </c>
    </row>
    <row r="191" spans="1:1" x14ac:dyDescent="0.3">
      <c r="A191" s="59" t="s">
        <v>770</v>
      </c>
    </row>
    <row r="192" spans="1:1" x14ac:dyDescent="0.3">
      <c r="A192" s="59" t="s">
        <v>771</v>
      </c>
    </row>
    <row r="193" spans="1:1" x14ac:dyDescent="0.3">
      <c r="A193" s="59"/>
    </row>
    <row r="194" spans="1:1" x14ac:dyDescent="0.3">
      <c r="A194" s="59" t="s">
        <v>772</v>
      </c>
    </row>
    <row r="195" spans="1:1" x14ac:dyDescent="0.3">
      <c r="A195" s="59" t="s">
        <v>773</v>
      </c>
    </row>
    <row r="196" spans="1:1" x14ac:dyDescent="0.3">
      <c r="A196" s="59" t="s">
        <v>774</v>
      </c>
    </row>
    <row r="197" spans="1:1" x14ac:dyDescent="0.3">
      <c r="A197" s="59" t="s">
        <v>775</v>
      </c>
    </row>
    <row r="198" spans="1:1" x14ac:dyDescent="0.3">
      <c r="A198" s="59" t="s">
        <v>776</v>
      </c>
    </row>
    <row r="199" spans="1:1" x14ac:dyDescent="0.3">
      <c r="A199" s="59" t="s">
        <v>777</v>
      </c>
    </row>
    <row r="200" spans="1:1" x14ac:dyDescent="0.3">
      <c r="A200" s="59" t="s">
        <v>778</v>
      </c>
    </row>
    <row r="201" spans="1:1" x14ac:dyDescent="0.3">
      <c r="A201" s="59" t="s">
        <v>779</v>
      </c>
    </row>
    <row r="202" spans="1:1" x14ac:dyDescent="0.3">
      <c r="A202" s="59" t="s">
        <v>780</v>
      </c>
    </row>
    <row r="203" spans="1:1" x14ac:dyDescent="0.3">
      <c r="A203" s="59" t="s">
        <v>781</v>
      </c>
    </row>
    <row r="204" spans="1:1" x14ac:dyDescent="0.3">
      <c r="A204" s="59" t="s">
        <v>782</v>
      </c>
    </row>
    <row r="205" spans="1:1" x14ac:dyDescent="0.3">
      <c r="A205" s="59" t="s">
        <v>783</v>
      </c>
    </row>
    <row r="206" spans="1:1" x14ac:dyDescent="0.3">
      <c r="A206" s="59" t="s">
        <v>784</v>
      </c>
    </row>
    <row r="207" spans="1:1" x14ac:dyDescent="0.3">
      <c r="A207" s="59" t="s">
        <v>785</v>
      </c>
    </row>
    <row r="208" spans="1:1" x14ac:dyDescent="0.3">
      <c r="A208" s="59" t="s">
        <v>786</v>
      </c>
    </row>
    <row r="209" spans="1:1" x14ac:dyDescent="0.3">
      <c r="A209" s="59" t="s">
        <v>787</v>
      </c>
    </row>
    <row r="210" spans="1:1" x14ac:dyDescent="0.3">
      <c r="A210" s="59" t="s">
        <v>788</v>
      </c>
    </row>
    <row r="211" spans="1:1" x14ac:dyDescent="0.3">
      <c r="A211" s="59" t="s">
        <v>789</v>
      </c>
    </row>
    <row r="212" spans="1:1" x14ac:dyDescent="0.3">
      <c r="A212" s="59" t="s">
        <v>790</v>
      </c>
    </row>
    <row r="213" spans="1:1" x14ac:dyDescent="0.3">
      <c r="A213" s="59" t="s">
        <v>791</v>
      </c>
    </row>
    <row r="214" spans="1:1" x14ac:dyDescent="0.3">
      <c r="A214" s="59" t="s">
        <v>792</v>
      </c>
    </row>
    <row r="215" spans="1:1" x14ac:dyDescent="0.3">
      <c r="A215" s="59" t="s">
        <v>793</v>
      </c>
    </row>
    <row r="216" spans="1:1" x14ac:dyDescent="0.3">
      <c r="A216" s="59" t="s">
        <v>656</v>
      </c>
    </row>
    <row r="217" spans="1:1" x14ac:dyDescent="0.3">
      <c r="A217" s="59"/>
    </row>
    <row r="218" spans="1:1" x14ac:dyDescent="0.3">
      <c r="A218" s="59" t="s">
        <v>794</v>
      </c>
    </row>
    <row r="219" spans="1:1" x14ac:dyDescent="0.3">
      <c r="A219" s="59" t="s">
        <v>795</v>
      </c>
    </row>
    <row r="220" spans="1:1" x14ac:dyDescent="0.3">
      <c r="A220" s="59" t="s">
        <v>796</v>
      </c>
    </row>
    <row r="221" spans="1:1" x14ac:dyDescent="0.3">
      <c r="A221" s="59" t="s">
        <v>797</v>
      </c>
    </row>
    <row r="222" spans="1:1" x14ac:dyDescent="0.3">
      <c r="A222" s="59" t="s">
        <v>798</v>
      </c>
    </row>
    <row r="223" spans="1:1" x14ac:dyDescent="0.3">
      <c r="A223" s="59" t="s">
        <v>799</v>
      </c>
    </row>
    <row r="224" spans="1:1" x14ac:dyDescent="0.3">
      <c r="A224" s="59" t="s">
        <v>657</v>
      </c>
    </row>
    <row r="225" spans="1:1" x14ac:dyDescent="0.3">
      <c r="A225" s="59"/>
    </row>
    <row r="226" spans="1:1" x14ac:dyDescent="0.3">
      <c r="A226" s="59" t="s">
        <v>658</v>
      </c>
    </row>
    <row r="227" spans="1:1" x14ac:dyDescent="0.3">
      <c r="A227" s="59" t="s">
        <v>800</v>
      </c>
    </row>
    <row r="228" spans="1:1" x14ac:dyDescent="0.3">
      <c r="A228" s="59" t="s">
        <v>801</v>
      </c>
    </row>
    <row r="229" spans="1:1" x14ac:dyDescent="0.3">
      <c r="A229" s="59" t="s">
        <v>802</v>
      </c>
    </row>
    <row r="230" spans="1:1" x14ac:dyDescent="0.3">
      <c r="A230" s="59"/>
    </row>
    <row r="231" spans="1:1" x14ac:dyDescent="0.3">
      <c r="A231" s="59" t="s">
        <v>662</v>
      </c>
    </row>
    <row r="232" spans="1:1" x14ac:dyDescent="0.3">
      <c r="A232" s="59" t="s">
        <v>803</v>
      </c>
    </row>
    <row r="233" spans="1:1" x14ac:dyDescent="0.3">
      <c r="A233" s="59"/>
    </row>
    <row r="234" spans="1:1" x14ac:dyDescent="0.3">
      <c r="A234" s="59" t="s">
        <v>804</v>
      </c>
    </row>
    <row r="235" spans="1:1" x14ac:dyDescent="0.3">
      <c r="A235" s="59" t="s">
        <v>805</v>
      </c>
    </row>
    <row r="236" spans="1:1" x14ac:dyDescent="0.3">
      <c r="A236" s="59" t="s">
        <v>806</v>
      </c>
    </row>
    <row r="237" spans="1:1" x14ac:dyDescent="0.3">
      <c r="A237" s="59" t="s">
        <v>807</v>
      </c>
    </row>
    <row r="238" spans="1:1" x14ac:dyDescent="0.3">
      <c r="A238" s="59" t="s">
        <v>656</v>
      </c>
    </row>
    <row r="239" spans="1:1" x14ac:dyDescent="0.3">
      <c r="A239" s="59" t="s">
        <v>808</v>
      </c>
    </row>
    <row r="240" spans="1:1" x14ac:dyDescent="0.3">
      <c r="A240" s="59" t="s">
        <v>809</v>
      </c>
    </row>
    <row r="241" spans="1:1" x14ac:dyDescent="0.3">
      <c r="A241" s="59" t="s">
        <v>656</v>
      </c>
    </row>
    <row r="242" spans="1:1" x14ac:dyDescent="0.3">
      <c r="A242" s="59"/>
    </row>
    <row r="243" spans="1:1" x14ac:dyDescent="0.3">
      <c r="A243" s="59" t="s">
        <v>810</v>
      </c>
    </row>
    <row r="244" spans="1:1" x14ac:dyDescent="0.3">
      <c r="A244" s="59" t="s">
        <v>811</v>
      </c>
    </row>
    <row r="245" spans="1:1" x14ac:dyDescent="0.3">
      <c r="A245" s="59" t="s">
        <v>812</v>
      </c>
    </row>
    <row r="246" spans="1:1" x14ac:dyDescent="0.3">
      <c r="A246" s="59" t="s">
        <v>813</v>
      </c>
    </row>
    <row r="247" spans="1:1" x14ac:dyDescent="0.3">
      <c r="A247" s="59" t="s">
        <v>814</v>
      </c>
    </row>
    <row r="248" spans="1:1" x14ac:dyDescent="0.3">
      <c r="A248" s="59" t="s">
        <v>815</v>
      </c>
    </row>
    <row r="249" spans="1:1" x14ac:dyDescent="0.3">
      <c r="A249" s="59" t="s">
        <v>656</v>
      </c>
    </row>
    <row r="250" spans="1:1" x14ac:dyDescent="0.3">
      <c r="A250" s="59"/>
    </row>
    <row r="251" spans="1:1" x14ac:dyDescent="0.3">
      <c r="A251" s="59" t="s">
        <v>816</v>
      </c>
    </row>
    <row r="252" spans="1:1" x14ac:dyDescent="0.3">
      <c r="A252" s="59" t="s">
        <v>817</v>
      </c>
    </row>
    <row r="253" spans="1:1" x14ac:dyDescent="0.3">
      <c r="A253" s="59" t="s">
        <v>818</v>
      </c>
    </row>
    <row r="254" spans="1:1" x14ac:dyDescent="0.3">
      <c r="A254" s="59" t="s">
        <v>819</v>
      </c>
    </row>
    <row r="255" spans="1:1" x14ac:dyDescent="0.3">
      <c r="A255" s="59" t="s">
        <v>820</v>
      </c>
    </row>
    <row r="256" spans="1:1" x14ac:dyDescent="0.3">
      <c r="A256" s="59" t="s">
        <v>821</v>
      </c>
    </row>
    <row r="257" spans="1:1" x14ac:dyDescent="0.3">
      <c r="A257" s="59" t="s">
        <v>822</v>
      </c>
    </row>
    <row r="258" spans="1:1" x14ac:dyDescent="0.3">
      <c r="A258" s="59" t="s">
        <v>823</v>
      </c>
    </row>
    <row r="259" spans="1:1" x14ac:dyDescent="0.3">
      <c r="A259" s="59"/>
    </row>
    <row r="260" spans="1:1" x14ac:dyDescent="0.3">
      <c r="A260" s="59" t="s">
        <v>824</v>
      </c>
    </row>
    <row r="261" spans="1:1" x14ac:dyDescent="0.3">
      <c r="A261" s="59" t="s">
        <v>825</v>
      </c>
    </row>
    <row r="262" spans="1:1" x14ac:dyDescent="0.3">
      <c r="A262" s="59" t="s">
        <v>826</v>
      </c>
    </row>
    <row r="263" spans="1:1" x14ac:dyDescent="0.3">
      <c r="A263" s="59" t="s">
        <v>827</v>
      </c>
    </row>
    <row r="264" spans="1:1" x14ac:dyDescent="0.3">
      <c r="A264" s="59" t="s">
        <v>828</v>
      </c>
    </row>
    <row r="265" spans="1:1" x14ac:dyDescent="0.3">
      <c r="A265" s="59" t="s">
        <v>657</v>
      </c>
    </row>
    <row r="266" spans="1:1" x14ac:dyDescent="0.3">
      <c r="A266" s="59"/>
    </row>
    <row r="267" spans="1:1" x14ac:dyDescent="0.3">
      <c r="A267" s="59" t="s">
        <v>658</v>
      </c>
    </row>
    <row r="268" spans="1:1" x14ac:dyDescent="0.3">
      <c r="A268" s="59" t="s">
        <v>829</v>
      </c>
    </row>
    <row r="269" spans="1:1" x14ac:dyDescent="0.3">
      <c r="A269" s="59" t="s">
        <v>830</v>
      </c>
    </row>
    <row r="270" spans="1:1" x14ac:dyDescent="0.3">
      <c r="A270" s="59" t="s">
        <v>831</v>
      </c>
    </row>
    <row r="271" spans="1:1" x14ac:dyDescent="0.3">
      <c r="A271" s="59" t="s">
        <v>832</v>
      </c>
    </row>
    <row r="272" spans="1:1" x14ac:dyDescent="0.3">
      <c r="A272" s="59"/>
    </row>
    <row r="273" spans="1:1" x14ac:dyDescent="0.3">
      <c r="A273" s="59" t="s">
        <v>662</v>
      </c>
    </row>
    <row r="274" spans="1:1" x14ac:dyDescent="0.3">
      <c r="A274" s="59" t="s">
        <v>728</v>
      </c>
    </row>
    <row r="275" spans="1:1" x14ac:dyDescent="0.3">
      <c r="A275" s="59"/>
    </row>
    <row r="276" spans="1:1" x14ac:dyDescent="0.3">
      <c r="A276" s="59" t="s">
        <v>833</v>
      </c>
    </row>
    <row r="277" spans="1:1" x14ac:dyDescent="0.3">
      <c r="A277" s="59" t="s">
        <v>834</v>
      </c>
    </row>
    <row r="278" spans="1:1" x14ac:dyDescent="0.3">
      <c r="A278" s="59" t="s">
        <v>835</v>
      </c>
    </row>
    <row r="279" spans="1:1" x14ac:dyDescent="0.3">
      <c r="A279" s="59" t="s">
        <v>836</v>
      </c>
    </row>
    <row r="280" spans="1:1" x14ac:dyDescent="0.3">
      <c r="A280" s="59" t="s">
        <v>656</v>
      </c>
    </row>
    <row r="281" spans="1:1" x14ac:dyDescent="0.3">
      <c r="A281" s="59"/>
    </row>
    <row r="282" spans="1:1" x14ac:dyDescent="0.3">
      <c r="A282" s="59" t="s">
        <v>837</v>
      </c>
    </row>
    <row r="283" spans="1:1" x14ac:dyDescent="0.3">
      <c r="A283" s="59" t="s">
        <v>838</v>
      </c>
    </row>
    <row r="284" spans="1:1" x14ac:dyDescent="0.3">
      <c r="A284" s="59" t="s">
        <v>839</v>
      </c>
    </row>
    <row r="285" spans="1:1" x14ac:dyDescent="0.3">
      <c r="A285" s="59" t="s">
        <v>840</v>
      </c>
    </row>
    <row r="286" spans="1:1" x14ac:dyDescent="0.3">
      <c r="A286" s="59" t="s">
        <v>841</v>
      </c>
    </row>
    <row r="287" spans="1:1" x14ac:dyDescent="0.3">
      <c r="A287" s="59" t="s">
        <v>842</v>
      </c>
    </row>
    <row r="288" spans="1:1" x14ac:dyDescent="0.3">
      <c r="A288" s="59" t="s">
        <v>843</v>
      </c>
    </row>
    <row r="289" spans="1:1" x14ac:dyDescent="0.3">
      <c r="A289" s="59" t="s">
        <v>844</v>
      </c>
    </row>
    <row r="290" spans="1:1" x14ac:dyDescent="0.3">
      <c r="A290" s="59" t="s">
        <v>792</v>
      </c>
    </row>
    <row r="291" spans="1:1" x14ac:dyDescent="0.3">
      <c r="A291" s="59" t="s">
        <v>845</v>
      </c>
    </row>
    <row r="292" spans="1:1" x14ac:dyDescent="0.3">
      <c r="A292" s="59" t="s">
        <v>846</v>
      </c>
    </row>
    <row r="293" spans="1:1" x14ac:dyDescent="0.3">
      <c r="A293" s="59" t="s">
        <v>792</v>
      </c>
    </row>
    <row r="294" spans="1:1" x14ac:dyDescent="0.3">
      <c r="A294" s="59" t="s">
        <v>847</v>
      </c>
    </row>
    <row r="295" spans="1:1" x14ac:dyDescent="0.3">
      <c r="A295" s="59" t="s">
        <v>763</v>
      </c>
    </row>
    <row r="296" spans="1:1" x14ac:dyDescent="0.3">
      <c r="A296" s="59" t="s">
        <v>848</v>
      </c>
    </row>
    <row r="297" spans="1:1" x14ac:dyDescent="0.3">
      <c r="A297" s="59"/>
    </row>
    <row r="298" spans="1:1" x14ac:dyDescent="0.3">
      <c r="A298" s="59" t="s">
        <v>849</v>
      </c>
    </row>
    <row r="299" spans="1:1" x14ac:dyDescent="0.3">
      <c r="A299" s="59" t="s">
        <v>850</v>
      </c>
    </row>
    <row r="300" spans="1:1" x14ac:dyDescent="0.3">
      <c r="A300" s="59" t="s">
        <v>851</v>
      </c>
    </row>
    <row r="301" spans="1:1" x14ac:dyDescent="0.3">
      <c r="A301" s="59" t="s">
        <v>852</v>
      </c>
    </row>
    <row r="302" spans="1:1" x14ac:dyDescent="0.3">
      <c r="A302" s="59" t="s">
        <v>853</v>
      </c>
    </row>
    <row r="303" spans="1:1" x14ac:dyDescent="0.3">
      <c r="A303" s="59" t="s">
        <v>854</v>
      </c>
    </row>
    <row r="304" spans="1:1" x14ac:dyDescent="0.3">
      <c r="A304" s="59" t="s">
        <v>855</v>
      </c>
    </row>
    <row r="305" spans="1:1" x14ac:dyDescent="0.3">
      <c r="A305" s="59" t="s">
        <v>656</v>
      </c>
    </row>
    <row r="306" spans="1:1" x14ac:dyDescent="0.3">
      <c r="A306" s="59" t="s">
        <v>657</v>
      </c>
    </row>
    <row r="307" spans="1:1" x14ac:dyDescent="0.3">
      <c r="A307" s="59"/>
    </row>
    <row r="308" spans="1:1" x14ac:dyDescent="0.3">
      <c r="A308" s="59" t="s">
        <v>658</v>
      </c>
    </row>
    <row r="309" spans="1:1" x14ac:dyDescent="0.3">
      <c r="A309" s="59" t="s">
        <v>856</v>
      </c>
    </row>
    <row r="310" spans="1:1" x14ac:dyDescent="0.3">
      <c r="A310" s="59" t="s">
        <v>857</v>
      </c>
    </row>
    <row r="311" spans="1:1" x14ac:dyDescent="0.3">
      <c r="A311" s="59" t="s">
        <v>858</v>
      </c>
    </row>
    <row r="312" spans="1:1" x14ac:dyDescent="0.3">
      <c r="A312" s="59" t="s">
        <v>859</v>
      </c>
    </row>
    <row r="313" spans="1:1" x14ac:dyDescent="0.3">
      <c r="A313" s="59"/>
    </row>
    <row r="314" spans="1:1" x14ac:dyDescent="0.3">
      <c r="A314" s="59" t="s">
        <v>662</v>
      </c>
    </row>
    <row r="315" spans="1:1" x14ac:dyDescent="0.3">
      <c r="A315" s="59" t="s">
        <v>860</v>
      </c>
    </row>
    <row r="316" spans="1:1" x14ac:dyDescent="0.3">
      <c r="A316" s="59"/>
    </row>
    <row r="317" spans="1:1" x14ac:dyDescent="0.3">
      <c r="A317" s="59" t="s">
        <v>861</v>
      </c>
    </row>
    <row r="318" spans="1:1" x14ac:dyDescent="0.3">
      <c r="A318" s="59" t="s">
        <v>862</v>
      </c>
    </row>
    <row r="319" spans="1:1" x14ac:dyDescent="0.3">
      <c r="A319" s="59" t="s">
        <v>863</v>
      </c>
    </row>
    <row r="320" spans="1:1" x14ac:dyDescent="0.3">
      <c r="A320" s="59" t="s">
        <v>864</v>
      </c>
    </row>
    <row r="321" spans="1:1" x14ac:dyDescent="0.3">
      <c r="A321" s="59" t="s">
        <v>656</v>
      </c>
    </row>
    <row r="322" spans="1:1" x14ac:dyDescent="0.3">
      <c r="A322" s="59" t="s">
        <v>865</v>
      </c>
    </row>
    <row r="323" spans="1:1" x14ac:dyDescent="0.3">
      <c r="A323" s="59" t="s">
        <v>866</v>
      </c>
    </row>
    <row r="324" spans="1:1" x14ac:dyDescent="0.3">
      <c r="A324" s="59" t="s">
        <v>656</v>
      </c>
    </row>
    <row r="325" spans="1:1" x14ac:dyDescent="0.3">
      <c r="A325" s="59"/>
    </row>
    <row r="326" spans="1:1" x14ac:dyDescent="0.3">
      <c r="A326" s="59" t="s">
        <v>867</v>
      </c>
    </row>
    <row r="327" spans="1:1" x14ac:dyDescent="0.3">
      <c r="A327" s="59" t="s">
        <v>868</v>
      </c>
    </row>
    <row r="328" spans="1:1" x14ac:dyDescent="0.3">
      <c r="A328" s="59" t="s">
        <v>839</v>
      </c>
    </row>
    <row r="329" spans="1:1" x14ac:dyDescent="0.3">
      <c r="A329" s="59" t="s">
        <v>869</v>
      </c>
    </row>
    <row r="330" spans="1:1" x14ac:dyDescent="0.3">
      <c r="A330" s="59" t="s">
        <v>870</v>
      </c>
    </row>
    <row r="331" spans="1:1" x14ac:dyDescent="0.3">
      <c r="A331" s="59" t="s">
        <v>871</v>
      </c>
    </row>
    <row r="332" spans="1:1" x14ac:dyDescent="0.3">
      <c r="A332" s="59" t="s">
        <v>872</v>
      </c>
    </row>
    <row r="333" spans="1:1" x14ac:dyDescent="0.3">
      <c r="A333" s="59" t="s">
        <v>763</v>
      </c>
    </row>
    <row r="334" spans="1:1" x14ac:dyDescent="0.3">
      <c r="A334" s="59" t="s">
        <v>848</v>
      </c>
    </row>
    <row r="335" spans="1:1" x14ac:dyDescent="0.3">
      <c r="A335" s="59"/>
    </row>
    <row r="336" spans="1:1" x14ac:dyDescent="0.3">
      <c r="A336" s="59" t="s">
        <v>873</v>
      </c>
    </row>
    <row r="337" spans="1:1" x14ac:dyDescent="0.3">
      <c r="A337" s="59" t="s">
        <v>874</v>
      </c>
    </row>
    <row r="338" spans="1:1" x14ac:dyDescent="0.3">
      <c r="A338" s="59" t="s">
        <v>875</v>
      </c>
    </row>
    <row r="339" spans="1:1" x14ac:dyDescent="0.3">
      <c r="A339" s="59" t="s">
        <v>876</v>
      </c>
    </row>
    <row r="340" spans="1:1" x14ac:dyDescent="0.3">
      <c r="A340" s="59" t="s">
        <v>877</v>
      </c>
    </row>
    <row r="341" spans="1:1" x14ac:dyDescent="0.3">
      <c r="A341" s="59" t="s">
        <v>878</v>
      </c>
    </row>
    <row r="342" spans="1:1" x14ac:dyDescent="0.3">
      <c r="A342" s="59" t="s">
        <v>879</v>
      </c>
    </row>
    <row r="343" spans="1:1" x14ac:dyDescent="0.3">
      <c r="A343" s="59" t="s">
        <v>880</v>
      </c>
    </row>
    <row r="344" spans="1:1" x14ac:dyDescent="0.3">
      <c r="A344" s="59" t="s">
        <v>881</v>
      </c>
    </row>
    <row r="345" spans="1:1" x14ac:dyDescent="0.3">
      <c r="A345" s="59" t="s">
        <v>882</v>
      </c>
    </row>
    <row r="346" spans="1:1" x14ac:dyDescent="0.3">
      <c r="A346" s="59" t="s">
        <v>883</v>
      </c>
    </row>
    <row r="347" spans="1:1" x14ac:dyDescent="0.3">
      <c r="A347" s="59" t="s">
        <v>884</v>
      </c>
    </row>
    <row r="348" spans="1:1" x14ac:dyDescent="0.3">
      <c r="A348" s="59" t="s">
        <v>885</v>
      </c>
    </row>
    <row r="349" spans="1:1" x14ac:dyDescent="0.3">
      <c r="A349" s="59"/>
    </row>
    <row r="350" spans="1:1" x14ac:dyDescent="0.3">
      <c r="A350" s="59" t="s">
        <v>886</v>
      </c>
    </row>
    <row r="351" spans="1:1" x14ac:dyDescent="0.3">
      <c r="A351" s="59" t="s">
        <v>825</v>
      </c>
    </row>
    <row r="352" spans="1:1" x14ac:dyDescent="0.3">
      <c r="A352" s="59" t="s">
        <v>887</v>
      </c>
    </row>
    <row r="353" spans="1:1" x14ac:dyDescent="0.3">
      <c r="A353" s="59" t="s">
        <v>888</v>
      </c>
    </row>
    <row r="354" spans="1:1" x14ac:dyDescent="0.3">
      <c r="A354" s="59" t="s">
        <v>657</v>
      </c>
    </row>
    <row r="355" spans="1:1" x14ac:dyDescent="0.3">
      <c r="A355" s="59"/>
    </row>
  </sheetData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6</vt:i4>
      </vt:variant>
    </vt:vector>
  </HeadingPairs>
  <TitlesOfParts>
    <vt:vector size="24" baseType="lpstr">
      <vt:lpstr>ISTRUZIONI</vt:lpstr>
      <vt:lpstr>MASCHERA</vt:lpstr>
      <vt:lpstr>DASHBOARD</vt:lpstr>
      <vt:lpstr>CONTROLLO_ORE</vt:lpstr>
      <vt:lpstr>COMMESSE</vt:lpstr>
      <vt:lpstr>SERVIZI</vt:lpstr>
      <vt:lpstr>ASSEGNAZIONI</vt:lpstr>
      <vt:lpstr>FASI</vt:lpstr>
      <vt:lpstr>SAL</vt:lpstr>
      <vt:lpstr>ODA</vt:lpstr>
      <vt:lpstr>ORE</vt:lpstr>
      <vt:lpstr>PREVISIONE_ORE</vt:lpstr>
      <vt:lpstr>TEAM</vt:lpstr>
      <vt:lpstr>FORNITORI</vt:lpstr>
      <vt:lpstr>OFFERTE</vt:lpstr>
      <vt:lpstr>TEMPLATE_FASI</vt:lpstr>
      <vt:lpstr>LISTE</vt:lpstr>
      <vt:lpstr>CODICE_VBA</vt:lpstr>
      <vt:lpstr>ALLERTA_ORE</vt:lpstr>
      <vt:lpstr>GIORNI_PAG</vt:lpstr>
      <vt:lpstr>MARKUP_DEF</vt:lpstr>
      <vt:lpstr>SCONTO_MAX</vt:lpstr>
      <vt:lpstr>SOGLIA_DIR</vt:lpstr>
      <vt:lpstr>SOGLIA_PM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Amit Anafi</cp:lastModifiedBy>
  <cp:revision>0</cp:revision>
  <dcterms:created xsi:type="dcterms:W3CDTF">2026-08-12T14:57:36Z</dcterms:created>
  <dcterms:modified xsi:type="dcterms:W3CDTF">2026-08-16T14:05:10Z</dcterms:modified>
  <dc:language>en-US</dc:language>
</cp:coreProperties>
</file>